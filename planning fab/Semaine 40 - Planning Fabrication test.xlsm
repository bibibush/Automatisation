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comments/comment11.xml" ContentType="application/vnd.openxmlformats-officedocument.spreadsheetml.comments+xml"/>
  <Override PartName="/xl/worksheets/sheet14.xml" ContentType="application/vnd.openxmlformats-officedocument.spreadsheetml.worksheet+xml"/>
  <Override PartName="/xl/comments/comment12.xml" ContentType="application/vnd.openxmlformats-officedocument.spreadsheetml.comments+xml"/>
  <Override PartName="/xl/worksheets/sheet15.xml" ContentType="application/vnd.openxmlformats-officedocument.spreadsheetml.worksheet+xml"/>
  <Override PartName="/xl/comments/comment13.xml" ContentType="application/vnd.openxmlformats-officedocument.spreadsheetml.comments+xml"/>
  <Override PartName="/xl/worksheets/sheet16.xml" ContentType="application/vnd.openxmlformats-officedocument.spreadsheetml.worksheet+xml"/>
  <Override PartName="/xl/comments/comment14.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현재_통합_문서"/>
  <bookViews>
    <workbookView visibility="visible" minimized="0" showHorizontalScroll="1" showVerticalScroll="1" showSheetTabs="1" xWindow="-108" yWindow="-108" windowWidth="23256" windowHeight="12456" tabRatio="868" firstSheet="0" activeTab="0" autoFilterDateGrouping="1"/>
  </bookViews>
  <sheets>
    <sheet xmlns:r="http://schemas.openxmlformats.org/officeDocument/2006/relationships" name="PLANNING DE FABRICATION" sheetId="1" state="visible" r:id="rId1"/>
    <sheet xmlns:r="http://schemas.openxmlformats.org/officeDocument/2006/relationships" name="Récap Besoin matières premières" sheetId="2" state="visible" r:id="rId2"/>
    <sheet xmlns:r="http://schemas.openxmlformats.org/officeDocument/2006/relationships" name="Recette viandes" sheetId="3" state="visible" r:id="rId3"/>
    <sheet xmlns:r="http://schemas.openxmlformats.org/officeDocument/2006/relationships" name="data" sheetId="4" state="visible" r:id="rId4"/>
    <sheet xmlns:r="http://schemas.openxmlformats.org/officeDocument/2006/relationships" name="Halrizo 200 + GP " sheetId="5" state="visible" r:id="rId5"/>
    <sheet xmlns:r="http://schemas.openxmlformats.org/officeDocument/2006/relationships" name="Halal 350 BN Pimenté" sheetId="6" state="visible" r:id="rId6"/>
    <sheet xmlns:r="http://schemas.openxmlformats.org/officeDocument/2006/relationships" name="Halal G.P - 200 et BN " sheetId="7" state="visible" r:id="rId7"/>
    <sheet xmlns:r="http://schemas.openxmlformats.org/officeDocument/2006/relationships" name="A cuire" sheetId="8" state="visible" r:id="rId8"/>
    <sheet xmlns:r="http://schemas.openxmlformats.org/officeDocument/2006/relationships" name="Spécialité Fromagère" sheetId="9" state="visible" r:id="rId9"/>
    <sheet xmlns:r="http://schemas.openxmlformats.org/officeDocument/2006/relationships" name="Spécialité carnée" sheetId="10" state="visible" r:id="rId10"/>
    <sheet xmlns:r="http://schemas.openxmlformats.org/officeDocument/2006/relationships" name="Spécialité Autres" sheetId="11" state="visible" r:id="rId11"/>
    <sheet xmlns:r="http://schemas.openxmlformats.org/officeDocument/2006/relationships" name=" Snaking" sheetId="12" state="visible" r:id="rId12"/>
    <sheet xmlns:r="http://schemas.openxmlformats.org/officeDocument/2006/relationships" name="Viande francaise" sheetId="13" state="visible" r:id="rId13"/>
    <sheet xmlns:r="http://schemas.openxmlformats.org/officeDocument/2006/relationships" name="Haché Moyen" sheetId="14" state="visible" r:id="rId14"/>
    <sheet xmlns:r="http://schemas.openxmlformats.org/officeDocument/2006/relationships" name="SAG" sheetId="15" state="visible" r:id="rId15"/>
    <sheet xmlns:r="http://schemas.openxmlformats.org/officeDocument/2006/relationships" name="% MP" sheetId="16" state="visible" r:id="rId16"/>
    <sheet xmlns:r="http://schemas.openxmlformats.org/officeDocument/2006/relationships" name="Recettes ponctuelles" sheetId="17" state="visible" r:id="rId17"/>
    <sheet xmlns:r="http://schemas.openxmlformats.org/officeDocument/2006/relationships" name="ANCIENNCES RECETTES" sheetId="18" state="visible" r:id="rId18"/>
    <sheet xmlns:r="http://schemas.openxmlformats.org/officeDocument/2006/relationships" name="Brouillon" sheetId="19" state="visible" r:id="rId19"/>
  </sheets>
  <externalReferences>
    <externalReference xmlns:r="http://schemas.openxmlformats.org/officeDocument/2006/relationships" r:id="rId20"/>
  </externalReferences>
  <definedNames>
    <definedName name="ETAT">data!$H$2:$H$3</definedName>
    <definedName name="Fournisseur">data!$A$2:$A$14</definedName>
    <definedName name="Jour">data!$C$2:$C$6</definedName>
    <definedName name="_xlnm.Print_Area" localSheetId="0">'PLANNING DE FABRICATION'!$A$1:$F$95</definedName>
    <definedName name="_xlnm.Print_Area" localSheetId="1">'Récap Besoin matières premières'!$M$4:$P$23</definedName>
    <definedName name="_xlnm.Print_Area" localSheetId="4">'Halrizo 200 + GP '!$K$1:$N$21</definedName>
    <definedName name="_xlnm.Print_Area" localSheetId="5">'Halal 350 BN Pimenté'!$A$1:$D$18</definedName>
    <definedName name="_xlnm.Print_Area" localSheetId="6">'Halal G.P - 200 et BN '!$A$2:$D$20</definedName>
    <definedName name="_xlnm.Print_Area" localSheetId="7">'A cuire'!$A$15:$D$25</definedName>
    <definedName name="_xlnm.Print_Area" localSheetId="8">'Spécialité Fromagère'!$A$1:$D$30</definedName>
    <definedName name="_xlnm.Print_Area" localSheetId="9">'Spécialité carnée'!$A$1:$D$29</definedName>
    <definedName name="_xlnm.Print_Area" localSheetId="10">'Spécialité Autres'!$A$1:$D$35</definedName>
    <definedName name="_xlnm.Print_Area" localSheetId="11">' Snaking'!$A$1:$D$2</definedName>
    <definedName name="_xlnm.Print_Area" localSheetId="12">'Viande francaise'!$A$1:$D$28</definedName>
    <definedName name="_xlnm.Print_Area" localSheetId="14">'SAG'!$Z$1:$AB$23</definedName>
  </definedNames>
  <calcPr calcId="181029" fullCalcOnLoad="1"/>
</workbook>
</file>

<file path=xl/styles.xml><?xml version="1.0" encoding="utf-8"?>
<styleSheet xmlns="http://schemas.openxmlformats.org/spreadsheetml/2006/main">
  <numFmts count="3">
    <numFmt numFmtId="164" formatCode="0.000"/>
    <numFmt numFmtId="165" formatCode="0.0000"/>
    <numFmt numFmtId="166" formatCode="0.0"/>
  </numFmts>
  <fonts count="81">
    <font>
      <name val="Calibri"/>
      <family val="2"/>
      <color theme="1"/>
      <sz val="11"/>
      <scheme val="minor"/>
    </font>
    <font>
      <name val="Calibri"/>
      <charset val="129"/>
      <family val="2"/>
      <color theme="1"/>
      <sz val="11"/>
      <scheme val="minor"/>
    </font>
    <font>
      <name val="Traditional Arabic"/>
      <family val="1"/>
      <color theme="1"/>
      <sz val="14"/>
    </font>
    <font>
      <name val="Traditional Arabic"/>
      <family val="1"/>
      <b val="1"/>
      <sz val="14"/>
    </font>
    <font>
      <name val="Traditional Arabic"/>
      <family val="1"/>
      <color theme="1"/>
      <sz val="11"/>
    </font>
    <font>
      <name val="Traditional Arabic"/>
      <family val="1"/>
      <b val="1"/>
      <sz val="12"/>
    </font>
    <font>
      <name val="Traditional Arabic"/>
      <family val="1"/>
      <color theme="1"/>
      <sz val="12"/>
    </font>
    <font>
      <name val="Traditional Arabic"/>
      <family val="1"/>
      <b val="1"/>
      <color theme="1"/>
      <sz val="14"/>
    </font>
    <font>
      <name val="Traditional Arabic"/>
      <family val="1"/>
      <sz val="14"/>
    </font>
    <font>
      <name val="Traditional Arabic"/>
      <family val="1"/>
      <b val="1"/>
      <sz val="14"/>
      <u val="single"/>
    </font>
    <font>
      <name val="Calibri"/>
      <family val="2"/>
      <color theme="1"/>
      <sz val="12"/>
      <scheme val="minor"/>
    </font>
    <font>
      <name val="Traditional Arabic"/>
      <family val="1"/>
      <sz val="12"/>
    </font>
    <font>
      <name val="Traditional Arabic"/>
      <family val="1"/>
      <b val="1"/>
      <sz val="12"/>
      <u val="single"/>
    </font>
    <font>
      <name val="Traditional Arabic"/>
      <family val="1"/>
      <b val="1"/>
      <color theme="1"/>
      <sz val="18"/>
    </font>
    <font>
      <name val="Traditional Arabic"/>
      <family val="1"/>
      <b val="1"/>
      <sz val="18"/>
    </font>
    <font>
      <name val="Traditional Arabic"/>
      <family val="1"/>
      <b val="1"/>
      <sz val="16"/>
    </font>
    <font>
      <name val="Traditional Arabic"/>
      <family val="1"/>
      <b val="1"/>
      <color theme="1"/>
      <sz val="12"/>
    </font>
    <font>
      <name val="Traditional Arabic"/>
      <family val="1"/>
      <color theme="1"/>
      <sz val="10"/>
    </font>
    <font>
      <name val="Traditional Arabic"/>
      <family val="1"/>
      <b val="1"/>
      <color rgb="FF0000FF"/>
      <sz val="14"/>
    </font>
    <font>
      <name val="Traditional Arabic"/>
      <family val="1"/>
      <b val="1"/>
      <color rgb="FF0000FF"/>
      <sz val="12"/>
    </font>
    <font>
      <name val="Traditional Arabic"/>
      <family val="1"/>
      <b val="1"/>
      <color rgb="FF0000FF"/>
      <sz val="11"/>
    </font>
    <font>
      <name val="Traditional Arabic"/>
      <family val="1"/>
      <color rgb="FF0000FF"/>
      <sz val="10"/>
    </font>
    <font>
      <name val="Traditional Arabic"/>
      <family val="1"/>
      <b val="1"/>
      <color rgb="FFC00000"/>
      <sz val="14"/>
    </font>
    <font>
      <name val="Traditional Arabic"/>
      <family val="1"/>
      <i val="1"/>
      <color rgb="FF0000FF"/>
      <sz val="12"/>
    </font>
    <font>
      <name val="Traditional Arabic"/>
      <family val="1"/>
      <b val="1"/>
      <sz val="10"/>
    </font>
    <font>
      <name val="Traditional Arabic"/>
      <family val="1"/>
      <b val="1"/>
      <color rgb="FFC00000"/>
      <sz val="12"/>
    </font>
    <font>
      <name val="Traditional Arabic"/>
      <family val="1"/>
      <sz val="10"/>
    </font>
    <font>
      <name val="Traditional Arabic"/>
      <family val="1"/>
      <color rgb="FF0000FF"/>
      <sz val="11"/>
    </font>
    <font>
      <name val="Calibri"/>
      <family val="2"/>
      <color theme="1"/>
      <sz val="10"/>
      <scheme val="minor"/>
    </font>
    <font>
      <name val="Traditional Arabic"/>
      <family val="1"/>
      <b val="1"/>
      <sz val="10"/>
      <u val="single"/>
    </font>
    <font>
      <name val="Traditional Arabic"/>
      <family val="1"/>
      <color rgb="FF0000FF"/>
      <sz val="14"/>
    </font>
    <font>
      <name val="Traditional Arabic"/>
      <family val="1"/>
      <b val="1"/>
      <sz val="16"/>
      <u val="single"/>
    </font>
    <font>
      <name val="Traditional Arabic"/>
      <family val="1"/>
      <color theme="1"/>
      <sz val="18"/>
    </font>
    <font>
      <name val="Calibri"/>
      <family val="2"/>
      <color theme="1"/>
      <sz val="16"/>
      <scheme val="minor"/>
    </font>
    <font>
      <name val="Traditional Arabic"/>
      <family val="1"/>
      <b val="1"/>
      <color theme="1"/>
      <sz val="11"/>
    </font>
    <font>
      <name val="Traditional Arabic"/>
      <family val="1"/>
      <b val="1"/>
      <color rgb="FF00B050"/>
      <sz val="12"/>
    </font>
    <font>
      <name val="Calibri"/>
      <family val="2"/>
      <color rgb="FFFF0000"/>
      <sz val="11"/>
      <scheme val="minor"/>
    </font>
    <font>
      <name val="Traditional Arabic"/>
      <family val="1"/>
      <b val="1"/>
      <color rgb="FFFF0000"/>
      <sz val="12"/>
    </font>
    <font>
      <name val="Traditional Arabic"/>
      <family val="1"/>
      <b val="1"/>
      <color rgb="FFFF0000"/>
      <sz val="14"/>
    </font>
    <font>
      <name val="Traditional Arabic"/>
      <family val="1"/>
      <b val="1"/>
      <color rgb="FF00B050"/>
      <sz val="14"/>
    </font>
    <font>
      <name val="Traditional Arabic"/>
      <family val="1"/>
      <b val="1"/>
      <color rgb="FFC00000"/>
      <sz val="11"/>
    </font>
    <font>
      <name val="Traditional Arabic"/>
      <family val="1"/>
      <b val="1"/>
      <sz val="11"/>
    </font>
    <font>
      <name val="Traditional Arabic"/>
      <family val="1"/>
      <b val="1"/>
      <sz val="20"/>
    </font>
    <font>
      <name val="Traditional Arabic"/>
      <family val="1"/>
      <b val="1"/>
      <color theme="0"/>
      <sz val="16"/>
    </font>
    <font>
      <name val="Traditional Arabic"/>
      <family val="1"/>
      <b val="1"/>
      <color theme="0"/>
      <sz val="10"/>
    </font>
    <font>
      <name val="Traditional Arabic"/>
      <family val="1"/>
      <b val="1"/>
      <sz val="9"/>
    </font>
    <font>
      <name val="Traditional Arabic"/>
      <family val="1"/>
      <b val="1"/>
      <color theme="2" tint="-0.249977111117893"/>
      <sz val="9"/>
    </font>
    <font>
      <name val="Traditional Arabic"/>
      <family val="1"/>
      <b val="1"/>
      <color theme="2" tint="-0.249977111117893"/>
      <sz val="10"/>
    </font>
    <font>
      <name val="Traditional Arabic"/>
      <family val="1"/>
      <b val="1"/>
      <color theme="2" tint="-0.09997863704336681"/>
      <sz val="11"/>
    </font>
    <font>
      <name val="Traditional Arabic"/>
      <family val="1"/>
      <b val="1"/>
      <color rgb="FF0070C0"/>
      <sz val="16"/>
    </font>
    <font>
      <name val="Traditional Arabic"/>
      <family val="1"/>
      <b val="1"/>
      <color rgb="FFC00000"/>
      <sz val="20"/>
    </font>
    <font>
      <name val="Traditional Arabic"/>
      <family val="1"/>
      <b val="1"/>
      <color rgb="FFFF0000"/>
      <sz val="16"/>
    </font>
    <font>
      <name val="Traditional Arabic"/>
      <family val="1"/>
      <b val="1"/>
      <sz val="28"/>
    </font>
    <font>
      <name val="Traditional Arabic"/>
      <family val="1"/>
      <b val="1"/>
      <sz val="26"/>
    </font>
    <font>
      <name val="Traditional Arabic"/>
      <family val="1"/>
      <b val="1"/>
      <sz val="48"/>
    </font>
    <font>
      <name val="Traditional Arabic"/>
      <family val="1"/>
      <b val="1"/>
      <sz val="22"/>
    </font>
    <font>
      <name val="Traditional Arabic"/>
      <family val="1"/>
      <b val="1"/>
      <sz val="36"/>
    </font>
    <font>
      <name val="Traditional Arabic"/>
      <family val="1"/>
      <b val="1"/>
      <color rgb="FFFF0000"/>
      <sz val="18"/>
    </font>
    <font>
      <name val="Traditional Arabic"/>
      <family val="1"/>
      <b val="1"/>
      <color rgb="FF00B050"/>
      <sz val="18"/>
    </font>
    <font>
      <name val="Traditional Arabic"/>
      <family val="1"/>
      <sz val="18"/>
    </font>
    <font>
      <name val="Traditional Arabic"/>
      <family val="1"/>
      <b val="1"/>
      <color rgb="FFC00000"/>
      <sz val="18"/>
    </font>
    <font>
      <name val="Traditional Arabic"/>
      <family val="1"/>
      <color rgb="FFC00000"/>
      <sz val="18"/>
    </font>
    <font>
      <name val="Traditional Arabic"/>
      <family val="1"/>
      <sz val="12"/>
      <u val="single"/>
    </font>
    <font>
      <name val="Traditional Arabic"/>
      <family val="1"/>
      <color rgb="FFFF0000"/>
      <sz val="12"/>
    </font>
    <font>
      <name val="Calibri"/>
      <family val="2"/>
      <b val="1"/>
      <color theme="1"/>
      <sz val="11"/>
      <scheme val="minor"/>
    </font>
    <font>
      <name val="Traditional Arabic"/>
      <family val="1"/>
      <b val="1"/>
      <color theme="4" tint="-0.499984740745262"/>
      <sz val="14"/>
    </font>
    <font>
      <name val="Traditional Arabic"/>
      <family val="1"/>
      <b val="1"/>
      <color theme="1"/>
      <sz val="17"/>
    </font>
    <font>
      <name val="Calibri"/>
      <family val="2"/>
      <color theme="1"/>
      <sz val="22"/>
      <scheme val="minor"/>
    </font>
    <font>
      <name val="Calibri"/>
      <family val="2"/>
      <color theme="1"/>
      <sz val="18"/>
      <scheme val="minor"/>
    </font>
    <font>
      <name val="Traditional Arabic"/>
      <family val="1"/>
      <b val="1"/>
      <color theme="0" tint="-0.3499862666707358"/>
      <sz val="16"/>
    </font>
    <font>
      <name val="Traditional Arabic"/>
      <family val="1"/>
      <b val="1"/>
      <color theme="0" tint="-0.3499862666707358"/>
      <sz val="10"/>
    </font>
    <font>
      <name val="Calibri"/>
      <family val="2"/>
      <b val="1"/>
      <color theme="1"/>
      <sz val="16"/>
      <scheme val="minor"/>
    </font>
    <font>
      <name val="Calibri"/>
      <family val="2"/>
      <color theme="1"/>
      <sz val="14"/>
      <scheme val="minor"/>
    </font>
    <font>
      <name val="Calibri"/>
      <family val="2"/>
      <sz val="14"/>
      <scheme val="minor"/>
    </font>
    <font>
      <name val="Traditional Arabic"/>
      <family val="1"/>
      <b val="1"/>
      <color indexed="8"/>
      <sz val="22"/>
    </font>
    <font>
      <name val="Traditional Arabic"/>
      <family val="1"/>
      <b val="1"/>
      <color indexed="8"/>
      <sz val="12"/>
    </font>
    <font>
      <name val="Wingdings"/>
      <charset val="2"/>
      <color theme="1"/>
      <sz val="72"/>
    </font>
    <font>
      <name val="Calibri"/>
      <family val="2"/>
      <color theme="1"/>
      <sz val="72"/>
      <scheme val="minor"/>
    </font>
    <font>
      <name val="Traditional Arabic"/>
      <charset val="178"/>
      <family val="1"/>
      <sz val="24"/>
    </font>
    <font>
      <name val="Traditional Arabic"/>
      <charset val="178"/>
      <family val="1"/>
      <sz val="20"/>
    </font>
    <font>
      <name val="Traditional Arabic"/>
      <family val="1"/>
      <b val="1"/>
      <color indexed="30"/>
      <sz val="12"/>
    </font>
  </fonts>
  <fills count="34">
    <fill>
      <patternFill/>
    </fill>
    <fill>
      <patternFill patternType="gray125"/>
    </fill>
    <fill>
      <patternFill patternType="solid">
        <fgColor theme="7" tint="0.7999816888943144"/>
        <bgColor indexed="64"/>
      </patternFill>
    </fill>
    <fill>
      <patternFill patternType="solid">
        <fgColor rgb="FF92D050"/>
        <bgColor indexed="64"/>
      </patternFill>
    </fill>
    <fill>
      <patternFill patternType="solid">
        <fgColor rgb="FFDCC5ED"/>
        <bgColor indexed="64"/>
      </patternFill>
    </fill>
    <fill>
      <patternFill patternType="solid">
        <fgColor theme="0" tint="-0.0499893185216834"/>
        <bgColor indexed="64"/>
      </patternFill>
    </fill>
    <fill>
      <patternFill patternType="solid">
        <fgColor theme="2"/>
        <bgColor indexed="64"/>
      </patternFill>
    </fill>
    <fill>
      <patternFill patternType="solid">
        <fgColor theme="7" tint="0.3999755851924192"/>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
        <bgColor indexed="64"/>
      </patternFill>
    </fill>
    <fill>
      <patternFill patternType="solid">
        <fgColor theme="2" tint="-0.09997863704336681"/>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
        <bgColor indexed="64"/>
      </patternFill>
    </fill>
    <fill>
      <patternFill patternType="solid">
        <fgColor theme="6"/>
        <bgColor indexed="64"/>
      </patternFill>
    </fill>
    <fill>
      <patternFill patternType="solid">
        <fgColor theme="7"/>
        <bgColor indexed="64"/>
      </patternFill>
    </fill>
    <fill>
      <patternFill patternType="solid">
        <fgColor theme="4" tint="0.7999816888943144"/>
        <bgColor indexed="64"/>
      </patternFill>
    </fill>
    <fill>
      <patternFill patternType="solid">
        <fgColor theme="5" tint="0.5999938962981048"/>
        <bgColor indexed="65"/>
      </patternFill>
    </fill>
  </fills>
  <borders count="195">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
      <left/>
      <right style="medium">
        <color indexed="64"/>
      </right>
      <top style="medium">
        <color indexed="64"/>
      </top>
      <bottom/>
      <diagonal/>
    </border>
    <border>
      <left style="double">
        <color auto="1"/>
      </left>
      <right style="double">
        <color auto="1"/>
      </right>
      <top style="double">
        <color auto="1"/>
      </top>
      <bottom style="double">
        <color auto="1"/>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
      <left/>
      <right/>
      <top style="double">
        <color auto="1"/>
      </top>
      <bottom/>
      <diagonal/>
    </border>
    <border>
      <left/>
      <right style="double">
        <color auto="1"/>
      </right>
      <top style="double">
        <color auto="1"/>
      </top>
      <bottom/>
      <diagonal/>
    </border>
    <border>
      <left/>
      <right style="medium">
        <color indexed="64"/>
      </right>
      <top/>
      <bottom/>
      <diagonal/>
    </border>
    <border>
      <left style="medium">
        <color auto="1"/>
      </left>
      <right/>
      <top/>
      <bottom/>
      <diagonal/>
    </border>
    <border>
      <left style="hair">
        <color indexed="64"/>
      </left>
      <right/>
      <top/>
      <bottom/>
      <diagonal/>
    </border>
    <border>
      <left style="medium">
        <color indexed="64"/>
      </left>
      <right style="thin">
        <color indexed="64"/>
      </right>
      <top/>
      <bottom/>
      <diagonal/>
    </border>
  </borders>
  <cellStyleXfs count="2">
    <xf numFmtId="0" fontId="0" fillId="0" borderId="0"/>
    <xf numFmtId="0" fontId="1" fillId="33" borderId="0"/>
  </cellStyleXfs>
  <cellXfs count="1095">
    <xf numFmtId="0" fontId="0" fillId="0" borderId="0" pivotButton="0" quotePrefix="0" xfId="0"/>
    <xf numFmtId="0" fontId="2" fillId="0" borderId="0" pivotButton="0" quotePrefix="0" xfId="0"/>
    <xf numFmtId="0" fontId="2" fillId="0" borderId="0" applyAlignment="1" pivotButton="0" quotePrefix="0" xfId="0">
      <alignment vertical="center"/>
    </xf>
    <xf numFmtId="0" fontId="2" fillId="0" borderId="0" applyAlignment="1" pivotButton="0" quotePrefix="0" xfId="0">
      <alignment horizontal="center" vertical="center"/>
    </xf>
    <xf numFmtId="0" fontId="3" fillId="0" borderId="4" applyAlignment="1" pivotButton="0" quotePrefix="0" xfId="0">
      <alignment vertical="center" wrapText="1"/>
    </xf>
    <xf numFmtId="0" fontId="3" fillId="0" borderId="0" applyAlignment="1" pivotButton="0" quotePrefix="0" xfId="0">
      <alignment vertical="center"/>
    </xf>
    <xf numFmtId="0" fontId="4" fillId="0" borderId="0" applyAlignment="1" pivotButton="0" quotePrefix="0" xfId="0">
      <alignment horizontal="center" vertical="center"/>
    </xf>
    <xf numFmtId="0" fontId="4" fillId="0" borderId="0" applyAlignment="1" pivotButton="0" quotePrefix="0" xfId="0">
      <alignment horizontal="left" vertical="center"/>
    </xf>
    <xf numFmtId="0" fontId="4" fillId="0" borderId="0" applyAlignment="1" pivotButton="0" quotePrefix="0" xfId="0">
      <alignment vertical="center"/>
    </xf>
    <xf numFmtId="0" fontId="10" fillId="0" borderId="0" pivotButton="0" quotePrefix="0" xfId="0"/>
    <xf numFmtId="0" fontId="6" fillId="0" borderId="0" applyAlignment="1" pivotButton="0" quotePrefix="0" xfId="0">
      <alignment vertical="center"/>
    </xf>
    <xf numFmtId="0" fontId="8" fillId="0" borderId="16" applyAlignment="1" applyProtection="1" pivotButton="0" quotePrefix="0" xfId="0">
      <alignment horizontal="center" vertical="center" wrapText="1"/>
      <protection locked="0" hidden="0"/>
    </xf>
    <xf numFmtId="164" fontId="2" fillId="0" borderId="7" applyAlignment="1" pivotButton="0" quotePrefix="0" xfId="0">
      <alignment horizontal="center" vertical="center"/>
    </xf>
    <xf numFmtId="164" fontId="11" fillId="0" borderId="9" applyAlignment="1" pivotButton="0" quotePrefix="0" xfId="0">
      <alignment horizontal="center" vertical="center" wrapText="1"/>
    </xf>
    <xf numFmtId="0" fontId="11" fillId="0" borderId="11" applyAlignment="1" pivotButton="0" quotePrefix="0" xfId="0">
      <alignment horizontal="center" vertical="center" wrapText="1"/>
    </xf>
    <xf numFmtId="0" fontId="11" fillId="0" borderId="9" applyAlignment="1" pivotButton="0" quotePrefix="0" xfId="0">
      <alignment horizontal="center" vertical="center" wrapText="1"/>
    </xf>
    <xf numFmtId="0" fontId="2" fillId="0" borderId="0" applyAlignment="1" pivotButton="0" quotePrefix="0" xfId="0">
      <alignment horizontal="left" vertical="top" wrapText="1"/>
    </xf>
    <xf numFmtId="0" fontId="17" fillId="0" borderId="0" applyAlignment="1" pivotButton="0" quotePrefix="0" xfId="0">
      <alignment horizontal="center" vertical="center"/>
    </xf>
    <xf numFmtId="0" fontId="17" fillId="0" borderId="7" applyAlignment="1" pivotButton="0" quotePrefix="0" xfId="0">
      <alignment horizontal="center" vertical="center"/>
    </xf>
    <xf numFmtId="0" fontId="17" fillId="2" borderId="7" applyAlignment="1" pivotButton="0" quotePrefix="0" xfId="0">
      <alignment horizontal="center" vertical="center"/>
    </xf>
    <xf numFmtId="0" fontId="14" fillId="0" borderId="0" applyAlignment="1" pivotButton="0" quotePrefix="0" xfId="0">
      <alignment vertical="center"/>
    </xf>
    <xf numFmtId="0" fontId="2" fillId="0" borderId="26" applyAlignment="1" pivotButton="0" quotePrefix="0" xfId="0">
      <alignment horizontal="center" vertical="center"/>
    </xf>
    <xf numFmtId="164" fontId="2" fillId="0" borderId="26" applyAlignment="1" pivotButton="0" quotePrefix="0" xfId="0">
      <alignment horizontal="center" vertical="center"/>
    </xf>
    <xf numFmtId="0" fontId="17" fillId="0" borderId="0" pivotButton="0" quotePrefix="0" xfId="0"/>
    <xf numFmtId="0" fontId="17" fillId="0" borderId="26" applyAlignment="1" pivotButton="0" quotePrefix="0" xfId="0">
      <alignment horizontal="center" vertical="center"/>
    </xf>
    <xf numFmtId="0" fontId="7" fillId="19" borderId="7" applyAlignment="1" pivotButton="0" quotePrefix="0" xfId="0">
      <alignment horizontal="center" vertical="center"/>
    </xf>
    <xf numFmtId="0" fontId="2" fillId="2" borderId="7" applyAlignment="1" pivotButton="0" quotePrefix="0" xfId="0">
      <alignment horizontal="center" vertical="center"/>
    </xf>
    <xf numFmtId="164" fontId="2" fillId="2" borderId="7" applyAlignment="1" pivotButton="0" quotePrefix="0" xfId="0">
      <alignment horizontal="center" vertical="center"/>
    </xf>
    <xf numFmtId="0" fontId="3" fillId="0" borderId="26" applyAlignment="1" pivotButton="0" quotePrefix="0" xfId="0">
      <alignment vertical="center" wrapText="1"/>
    </xf>
    <xf numFmtId="0" fontId="3" fillId="2" borderId="7" applyAlignment="1" pivotButton="0" quotePrefix="0" xfId="0">
      <alignment vertical="center" wrapText="1"/>
    </xf>
    <xf numFmtId="0" fontId="3" fillId="0" borderId="7" applyAlignment="1" pivotButton="0" quotePrefix="0" xfId="0">
      <alignment vertical="center" wrapText="1"/>
    </xf>
    <xf numFmtId="0" fontId="3" fillId="0" borderId="7" applyAlignment="1" pivotButton="0" quotePrefix="0" xfId="0">
      <alignment horizontal="left" vertical="center" wrapText="1"/>
    </xf>
    <xf numFmtId="0" fontId="17" fillId="0" borderId="0" applyAlignment="1" pivotButton="0" quotePrefix="0" xfId="0">
      <alignment vertical="center"/>
    </xf>
    <xf numFmtId="0" fontId="6" fillId="0" borderId="0" applyAlignment="1" pivotButton="0" quotePrefix="0" xfId="0">
      <alignment horizontal="center" vertical="center"/>
    </xf>
    <xf numFmtId="0" fontId="25" fillId="0" borderId="28" applyAlignment="1" pivotButton="0" quotePrefix="0" xfId="0">
      <alignment horizontal="center" vertical="center"/>
    </xf>
    <xf numFmtId="0" fontId="16" fillId="19" borderId="7" applyAlignment="1" pivotButton="0" quotePrefix="0" xfId="0">
      <alignment horizontal="center" vertical="center"/>
    </xf>
    <xf numFmtId="0" fontId="3" fillId="2" borderId="15" applyAlignment="1" pivotButton="0" quotePrefix="0" xfId="0">
      <alignment horizontal="left" vertical="center" wrapText="1"/>
    </xf>
    <xf numFmtId="0" fontId="3" fillId="0" borderId="32" applyAlignment="1" pivotButton="0" quotePrefix="0" xfId="0">
      <alignment horizontal="left" vertical="center" wrapText="1"/>
    </xf>
    <xf numFmtId="0" fontId="5" fillId="19" borderId="32" applyAlignment="1" pivotButton="0" quotePrefix="0" xfId="0">
      <alignment horizontal="center" vertical="center" wrapText="1"/>
    </xf>
    <xf numFmtId="164" fontId="2" fillId="2" borderId="15" applyAlignment="1" pivotButton="0" quotePrefix="0" xfId="0">
      <alignment horizontal="center" vertical="center"/>
    </xf>
    <xf numFmtId="0" fontId="17" fillId="2" borderId="15" applyAlignment="1" pivotButton="0" quotePrefix="0" xfId="0">
      <alignment horizontal="center" vertical="center"/>
    </xf>
    <xf numFmtId="0" fontId="16" fillId="19" borderId="15" applyAlignment="1" pivotButton="0" quotePrefix="0" xfId="0">
      <alignment horizontal="center" vertical="center"/>
    </xf>
    <xf numFmtId="0" fontId="2" fillId="0" borderId="32" applyAlignment="1" pivotButton="0" quotePrefix="0" xfId="0">
      <alignment horizontal="center" vertical="center"/>
    </xf>
    <xf numFmtId="0" fontId="17" fillId="0" borderId="32" applyAlignment="1" pivotButton="0" quotePrefix="0" xfId="0">
      <alignment horizontal="center" vertical="center"/>
    </xf>
    <xf numFmtId="0" fontId="16" fillId="19" borderId="32" applyAlignment="1" pivotButton="0" quotePrefix="0" xfId="0">
      <alignment horizontal="center" vertical="center"/>
    </xf>
    <xf numFmtId="0" fontId="26" fillId="0" borderId="0" applyAlignment="1" pivotButton="0" quotePrefix="0" xfId="0">
      <alignment horizontal="center" vertical="center"/>
    </xf>
    <xf numFmtId="0" fontId="2" fillId="0" borderId="15" applyAlignment="1" pivotButton="0" quotePrefix="0" xfId="0">
      <alignment horizontal="center" vertical="center"/>
    </xf>
    <xf numFmtId="164" fontId="2" fillId="0" borderId="15" applyAlignment="1" pivotButton="0" quotePrefix="0" xfId="0">
      <alignment horizontal="center" vertical="center"/>
    </xf>
    <xf numFmtId="0" fontId="17" fillId="0" borderId="15" applyAlignment="1" pivotButton="0" quotePrefix="0" xfId="0">
      <alignment horizontal="center" vertical="center"/>
    </xf>
    <xf numFmtId="0" fontId="7" fillId="19" borderId="15" applyAlignment="1" pivotButton="0" quotePrefix="0" xfId="0">
      <alignment horizontal="center" vertical="center"/>
    </xf>
    <xf numFmtId="0" fontId="2" fillId="2" borderId="32" applyAlignment="1" pivotButton="0" quotePrefix="0" xfId="0">
      <alignment horizontal="center" vertical="center"/>
    </xf>
    <xf numFmtId="0" fontId="17" fillId="2" borderId="32" applyAlignment="1" pivotButton="0" quotePrefix="0" xfId="0">
      <alignment horizontal="center" vertical="center"/>
    </xf>
    <xf numFmtId="0" fontId="7" fillId="19" borderId="32" applyAlignment="1" pivotButton="0" quotePrefix="0" xfId="0">
      <alignment horizontal="center" vertical="center"/>
    </xf>
    <xf numFmtId="0" fontId="11" fillId="0" borderId="0" applyAlignment="1" pivotButton="0" quotePrefix="0" xfId="0">
      <alignment horizontal="center" vertical="center" wrapText="1"/>
    </xf>
    <xf numFmtId="0" fontId="11" fillId="0" borderId="35" applyAlignment="1" pivotButton="0" quotePrefix="0" xfId="0">
      <alignment horizontal="center" vertical="center" wrapText="1"/>
    </xf>
    <xf numFmtId="164" fontId="11" fillId="2" borderId="9" applyAlignment="1" pivotButton="0" quotePrefix="0" xfId="0">
      <alignment horizontal="center" vertical="center" wrapText="1"/>
    </xf>
    <xf numFmtId="0" fontId="5" fillId="19" borderId="9" applyAlignment="1" pivotButton="0" quotePrefix="0" xfId="0">
      <alignment horizontal="center" vertical="center" wrapText="1"/>
    </xf>
    <xf numFmtId="0" fontId="11" fillId="0" borderId="36" applyAlignment="1" pivotButton="0" quotePrefix="0" xfId="0">
      <alignment horizontal="center" vertical="center" wrapText="1"/>
    </xf>
    <xf numFmtId="0" fontId="5" fillId="19" borderId="36" applyAlignment="1" pivotButton="0" quotePrefix="0" xfId="0">
      <alignment horizontal="center" vertical="center" wrapText="1"/>
    </xf>
    <xf numFmtId="164" fontId="11" fillId="0" borderId="10" applyAlignment="1" pivotButton="0" quotePrefix="0" xfId="0">
      <alignment horizontal="center" vertical="center" wrapText="1"/>
    </xf>
    <xf numFmtId="0" fontId="5" fillId="19" borderId="10" applyAlignment="1" pivotButton="0" quotePrefix="0" xfId="0">
      <alignment horizontal="center" vertical="center" wrapText="1"/>
    </xf>
    <xf numFmtId="0" fontId="11" fillId="0" borderId="34" applyAlignment="1" pivotButton="0" quotePrefix="0" xfId="0">
      <alignment horizontal="center" vertical="center" wrapText="1"/>
    </xf>
    <xf numFmtId="0" fontId="5" fillId="19" borderId="34" applyAlignment="1" pivotButton="0" quotePrefix="0" xfId="0">
      <alignment horizontal="center" vertical="center" wrapText="1"/>
    </xf>
    <xf numFmtId="0" fontId="28" fillId="0" borderId="0" pivotButton="0" quotePrefix="0" xfId="0"/>
    <xf numFmtId="0" fontId="26" fillId="0" borderId="35" applyAlignment="1" pivotButton="0" quotePrefix="0" xfId="0">
      <alignment horizontal="center" vertical="center" wrapText="1"/>
    </xf>
    <xf numFmtId="0" fontId="26" fillId="0" borderId="9" applyAlignment="1" pivotButton="0" quotePrefix="0" xfId="0">
      <alignment horizontal="center" vertical="center" wrapText="1"/>
    </xf>
    <xf numFmtId="0" fontId="26" fillId="0" borderId="10" applyAlignment="1" pivotButton="0" quotePrefix="0" xfId="0">
      <alignment horizontal="center" vertical="center" wrapText="1"/>
    </xf>
    <xf numFmtId="0" fontId="26" fillId="0" borderId="0" applyAlignment="1" pivotButton="0" quotePrefix="0" xfId="0">
      <alignment horizontal="center" vertical="center" wrapText="1"/>
    </xf>
    <xf numFmtId="0" fontId="5" fillId="0" borderId="0" applyAlignment="1" pivotButton="0" quotePrefix="0" xfId="0">
      <alignment vertical="center" wrapText="1"/>
    </xf>
    <xf numFmtId="164" fontId="11" fillId="0" borderId="0" applyAlignment="1" pivotButton="0" quotePrefix="0" xfId="0">
      <alignment horizontal="center" vertical="center" wrapText="1"/>
    </xf>
    <xf numFmtId="0" fontId="5" fillId="19" borderId="38" applyAlignment="1" pivotButton="0" quotePrefix="0" xfId="0">
      <alignment horizontal="center" vertical="center" wrapText="1"/>
    </xf>
    <xf numFmtId="0" fontId="26" fillId="0" borderId="36" applyAlignment="1" pivotButton="0" quotePrefix="0" xfId="0">
      <alignment horizontal="center" vertical="center" wrapText="1"/>
    </xf>
    <xf numFmtId="0" fontId="5" fillId="19" borderId="12" applyAlignment="1" pivotButton="0" quotePrefix="0" xfId="0">
      <alignment horizontal="center" vertical="center" wrapText="1"/>
    </xf>
    <xf numFmtId="0" fontId="30" fillId="0" borderId="40" applyAlignment="1" pivotButton="0" quotePrefix="0" xfId="0">
      <alignment horizontal="center" vertical="center" wrapText="1"/>
    </xf>
    <xf numFmtId="0" fontId="30" fillId="0" borderId="42" applyAlignment="1" pivotButton="0" quotePrefix="0" xfId="0">
      <alignment horizontal="center" vertical="center" wrapText="1"/>
    </xf>
    <xf numFmtId="164" fontId="11" fillId="0" borderId="36" applyAlignment="1" pivotButton="0" quotePrefix="0" xfId="0">
      <alignment horizontal="center" vertical="center" wrapText="1"/>
    </xf>
    <xf numFmtId="0" fontId="30" fillId="0" borderId="44" applyAlignment="1" pivotButton="0" quotePrefix="0" xfId="0">
      <alignment horizontal="center" vertical="center" wrapText="1"/>
    </xf>
    <xf numFmtId="164" fontId="11" fillId="0" borderId="32" applyAlignment="1" pivotButton="0" quotePrefix="0" xfId="0">
      <alignment horizontal="center" vertical="center" wrapText="1"/>
    </xf>
    <xf numFmtId="164" fontId="11" fillId="2" borderId="11" applyAlignment="1" pivotButton="0" quotePrefix="0" xfId="0">
      <alignment horizontal="center" vertical="center" wrapText="1"/>
    </xf>
    <xf numFmtId="0" fontId="5" fillId="19" borderId="11" applyAlignment="1" pivotButton="0" quotePrefix="0" xfId="0">
      <alignment horizontal="center" vertical="center" wrapText="1"/>
    </xf>
    <xf numFmtId="164" fontId="11" fillId="0" borderId="11" applyAlignment="1" pivotButton="0" quotePrefix="0" xfId="0">
      <alignment horizontal="center" vertical="center" wrapText="1"/>
    </xf>
    <xf numFmtId="0" fontId="26" fillId="2" borderId="9" applyAlignment="1" pivotButton="0" quotePrefix="0" xfId="0">
      <alignment horizontal="center" vertical="center" wrapText="1"/>
    </xf>
    <xf numFmtId="0" fontId="5" fillId="19" borderId="1" applyAlignment="1" pivotButton="0" quotePrefix="0" xfId="0">
      <alignment horizontal="center" vertical="center" wrapText="1"/>
    </xf>
    <xf numFmtId="0" fontId="5" fillId="0" borderId="0" applyAlignment="1" pivotButton="0" quotePrefix="0" xfId="0">
      <alignment horizontal="center" vertical="center" wrapText="1"/>
    </xf>
    <xf numFmtId="0" fontId="11" fillId="2" borderId="9" applyAlignment="1" pivotButton="0" quotePrefix="0" xfId="0">
      <alignment horizontal="center" vertical="center" wrapText="1"/>
    </xf>
    <xf numFmtId="0" fontId="11" fillId="6" borderId="38" applyAlignment="1" pivotButton="0" quotePrefix="0" xfId="0">
      <alignment horizontal="center" vertical="center" wrapText="1"/>
    </xf>
    <xf numFmtId="0" fontId="17" fillId="6" borderId="38" applyAlignment="1" pivotButton="0" quotePrefix="0" xfId="0">
      <alignment horizontal="center" vertical="center"/>
    </xf>
    <xf numFmtId="0" fontId="5" fillId="19" borderId="37" applyAlignment="1" pivotButton="0" quotePrefix="0" xfId="0">
      <alignment horizontal="center" vertical="center" wrapText="1"/>
    </xf>
    <xf numFmtId="0" fontId="30" fillId="0" borderId="59" applyAlignment="1" pivotButton="0" quotePrefix="0" xfId="0">
      <alignment horizontal="center" vertical="center" wrapText="1"/>
    </xf>
    <xf numFmtId="0" fontId="3" fillId="19" borderId="38" applyAlignment="1" pivotButton="0" quotePrefix="0" xfId="0">
      <alignment horizontal="center" vertical="center" wrapText="1"/>
    </xf>
    <xf numFmtId="0" fontId="18" fillId="14" borderId="56" applyAlignment="1" pivotButton="0" quotePrefix="0" xfId="0">
      <alignment horizontal="center" vertical="center"/>
    </xf>
    <xf numFmtId="0" fontId="0" fillId="0" borderId="57" pivotButton="0" quotePrefix="0" xfId="0"/>
    <xf numFmtId="0" fontId="6" fillId="19" borderId="38" applyAlignment="1" pivotButton="0" quotePrefix="0" xfId="0">
      <alignment horizontal="center" vertical="center"/>
    </xf>
    <xf numFmtId="0" fontId="5" fillId="19" borderId="6" applyAlignment="1" pivotButton="0" quotePrefix="0" xfId="0">
      <alignment horizontal="center" vertical="center" wrapText="1"/>
    </xf>
    <xf numFmtId="0" fontId="26" fillId="2" borderId="36" applyAlignment="1" pivotButton="0" quotePrefix="0" xfId="0">
      <alignment horizontal="center" vertical="center" wrapText="1"/>
    </xf>
    <xf numFmtId="0" fontId="33" fillId="0" borderId="0" applyAlignment="1" pivotButton="0" quotePrefix="0" xfId="0">
      <alignment vertical="center"/>
    </xf>
    <xf numFmtId="0" fontId="13" fillId="0" borderId="0" applyAlignment="1" pivotButton="0" quotePrefix="0" xfId="0">
      <alignment vertical="center"/>
    </xf>
    <xf numFmtId="0" fontId="0" fillId="0" borderId="0" applyAlignment="1" pivotButton="0" quotePrefix="0" xfId="0">
      <alignment vertical="center"/>
    </xf>
    <xf numFmtId="0" fontId="6" fillId="19" borderId="1" applyAlignment="1" pivotButton="0" quotePrefix="0" xfId="0">
      <alignment horizontal="center" vertical="center"/>
    </xf>
    <xf numFmtId="0" fontId="2" fillId="19" borderId="1" applyAlignment="1" pivotButton="0" quotePrefix="0" xfId="0">
      <alignment horizontal="center" vertical="center"/>
    </xf>
    <xf numFmtId="0" fontId="16" fillId="19" borderId="27" applyAlignment="1" pivotButton="0" quotePrefix="0" xfId="0">
      <alignment horizontal="center" vertical="center"/>
    </xf>
    <xf numFmtId="0" fontId="7" fillId="19" borderId="27" applyAlignment="1" pivotButton="0" quotePrefix="0" xfId="0">
      <alignment horizontal="center" vertical="center"/>
    </xf>
    <xf numFmtId="0" fontId="22" fillId="0" borderId="64" applyAlignment="1" pivotButton="0" quotePrefix="0" xfId="0">
      <alignment horizontal="center" vertical="center"/>
    </xf>
    <xf numFmtId="0" fontId="25" fillId="0" borderId="64" applyAlignment="1" pivotButton="0" quotePrefix="0" xfId="0">
      <alignment horizontal="center" vertical="center"/>
    </xf>
    <xf numFmtId="0" fontId="2" fillId="0" borderId="0" applyAlignment="1" pivotButton="0" quotePrefix="0" xfId="0">
      <alignment vertical="top" wrapText="1"/>
    </xf>
    <xf numFmtId="0" fontId="7" fillId="19" borderId="6" applyAlignment="1" pivotButton="0" quotePrefix="0" xfId="0">
      <alignment horizontal="center" vertical="center"/>
    </xf>
    <xf numFmtId="0" fontId="7" fillId="19" borderId="34" applyAlignment="1" pivotButton="0" quotePrefix="0" xfId="0">
      <alignment horizontal="center" vertical="center"/>
    </xf>
    <xf numFmtId="0" fontId="2" fillId="19" borderId="38" applyAlignment="1" pivotButton="0" quotePrefix="0" xfId="0">
      <alignment horizontal="center" vertical="center"/>
    </xf>
    <xf numFmtId="0" fontId="2" fillId="2" borderId="34" applyAlignment="1" pivotButton="0" quotePrefix="0" xfId="0">
      <alignment horizontal="center" vertical="center"/>
    </xf>
    <xf numFmtId="0" fontId="17" fillId="2" borderId="34" applyAlignment="1" pivotButton="0" quotePrefix="0" xfId="0">
      <alignment horizontal="center" vertical="center"/>
    </xf>
    <xf numFmtId="0" fontId="11" fillId="0" borderId="37" applyAlignment="1" pivotButton="0" quotePrefix="0" xfId="0">
      <alignment horizontal="center" vertical="center" wrapText="1"/>
    </xf>
    <xf numFmtId="164" fontId="11" fillId="2" borderId="35" applyAlignment="1" pivotButton="0" quotePrefix="0" xfId="0">
      <alignment horizontal="center" vertical="center" wrapText="1"/>
    </xf>
    <xf numFmtId="0" fontId="17" fillId="0" borderId="68" applyAlignment="1" pivotButton="0" quotePrefix="0" xfId="0">
      <alignment horizontal="center" vertical="center"/>
    </xf>
    <xf numFmtId="0" fontId="32" fillId="0" borderId="0" applyAlignment="1" pivotButton="0" quotePrefix="0" xfId="0">
      <alignment vertical="center"/>
    </xf>
    <xf numFmtId="0" fontId="17" fillId="0" borderId="37" applyAlignment="1" pivotButton="0" quotePrefix="0" xfId="0">
      <alignment horizontal="center" vertical="center"/>
    </xf>
    <xf numFmtId="164" fontId="11" fillId="2" borderId="36" applyAlignment="1" pivotButton="0" quotePrefix="0" xfId="0">
      <alignment horizontal="center" vertical="center" wrapText="1"/>
    </xf>
    <xf numFmtId="164" fontId="11" fillId="2" borderId="8" applyAlignment="1" pivotButton="0" quotePrefix="0" xfId="0">
      <alignment horizontal="center" vertical="center" wrapText="1"/>
    </xf>
    <xf numFmtId="0" fontId="30" fillId="0" borderId="70" applyAlignment="1" pivotButton="0" quotePrefix="0" xfId="0">
      <alignment horizontal="center" vertical="center" wrapText="1"/>
    </xf>
    <xf numFmtId="0" fontId="16" fillId="0" borderId="0" applyAlignment="1" pivotButton="0" quotePrefix="0" xfId="0">
      <alignment horizontal="center" vertical="center"/>
    </xf>
    <xf numFmtId="0" fontId="22" fillId="21" borderId="64" applyAlignment="1" pivotButton="0" quotePrefix="0" xfId="0">
      <alignment horizontal="center" vertical="center"/>
    </xf>
    <xf numFmtId="0" fontId="37" fillId="2" borderId="39" applyAlignment="1" pivotButton="0" quotePrefix="0" xfId="0">
      <alignment horizontal="center" vertical="center" wrapText="1"/>
    </xf>
    <xf numFmtId="0" fontId="37" fillId="0" borderId="41" applyAlignment="1" pivotButton="0" quotePrefix="0" xfId="0">
      <alignment horizontal="center" vertical="center" wrapText="1"/>
    </xf>
    <xf numFmtId="0" fontId="37" fillId="2" borderId="41" applyAlignment="1" pivotButton="0" quotePrefix="0" xfId="0">
      <alignment horizontal="center" vertical="center" wrapText="1"/>
    </xf>
    <xf numFmtId="0" fontId="37" fillId="0" borderId="39" applyAlignment="1" pivotButton="0" quotePrefix="0" xfId="0">
      <alignment horizontal="center" vertical="center" wrapText="1"/>
    </xf>
    <xf numFmtId="0" fontId="37" fillId="2" borderId="69" applyAlignment="1" pivotButton="0" quotePrefix="0" xfId="0">
      <alignment horizontal="center" vertical="center" wrapText="1"/>
    </xf>
    <xf numFmtId="0" fontId="36" fillId="0" borderId="0" pivotButton="0" quotePrefix="0" xfId="0"/>
    <xf numFmtId="0" fontId="37" fillId="0" borderId="43" applyAlignment="1" pivotButton="0" quotePrefix="0" xfId="0">
      <alignment horizontal="center" vertical="center" wrapText="1"/>
    </xf>
    <xf numFmtId="0" fontId="37" fillId="2" borderId="43" applyAlignment="1" pivotButton="0" quotePrefix="0" xfId="0">
      <alignment horizontal="center" vertical="center" wrapText="1"/>
    </xf>
    <xf numFmtId="0" fontId="37" fillId="0" borderId="45" applyAlignment="1" pivotButton="0" quotePrefix="0" xfId="0">
      <alignment horizontal="center" vertical="center" wrapText="1"/>
    </xf>
    <xf numFmtId="0" fontId="38" fillId="0" borderId="50" applyAlignment="1" pivotButton="0" quotePrefix="0" xfId="0">
      <alignment horizontal="center" vertical="center"/>
    </xf>
    <xf numFmtId="0" fontId="35" fillId="0" borderId="58" applyAlignment="1" pivotButton="0" quotePrefix="0" xfId="0">
      <alignment horizontal="center" vertical="center" wrapText="1"/>
    </xf>
    <xf numFmtId="0" fontId="39" fillId="2" borderId="46" applyAlignment="1" pivotButton="0" quotePrefix="0" xfId="0">
      <alignment horizontal="center" vertical="center"/>
    </xf>
    <xf numFmtId="0" fontId="41" fillId="0" borderId="0" pivotButton="0" quotePrefix="0" xfId="0"/>
    <xf numFmtId="0" fontId="15" fillId="0" borderId="0" pivotButton="0" quotePrefix="0" xfId="0"/>
    <xf numFmtId="0" fontId="42" fillId="0" borderId="0" pivotButton="0" quotePrefix="0" xfId="0"/>
    <xf numFmtId="0" fontId="24" fillId="0" borderId="75" applyAlignment="1" pivotButton="0" quotePrefix="0" xfId="0">
      <alignment horizontal="center" vertical="center"/>
    </xf>
    <xf numFmtId="0" fontId="24" fillId="0" borderId="0" applyAlignment="1" pivotButton="0" quotePrefix="0" xfId="0">
      <alignment vertical="center"/>
    </xf>
    <xf numFmtId="0" fontId="41" fillId="0" borderId="0" applyAlignment="1" pivotButton="0" quotePrefix="0" xfId="0">
      <alignment horizontal="left"/>
    </xf>
    <xf numFmtId="0" fontId="4" fillId="0" borderId="0" applyAlignment="1" pivotButton="0" quotePrefix="0" xfId="0">
      <alignment horizontal="center"/>
    </xf>
    <xf numFmtId="0" fontId="34" fillId="0" borderId="0" applyAlignment="1" pivotButton="0" quotePrefix="0" xfId="0">
      <alignment horizontal="center"/>
    </xf>
    <xf numFmtId="0" fontId="4" fillId="0" borderId="74" applyAlignment="1" pivotButton="0" quotePrefix="0" xfId="0">
      <alignment horizontal="center" vertical="center"/>
    </xf>
    <xf numFmtId="0" fontId="4" fillId="0" borderId="52"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86" applyAlignment="1" pivotButton="0" quotePrefix="0" xfId="0">
      <alignment horizontal="center" vertical="center"/>
    </xf>
    <xf numFmtId="0" fontId="4" fillId="0" borderId="90" applyAlignment="1" pivotButton="0" quotePrefix="0" xfId="0">
      <alignment horizontal="center" vertical="center" wrapText="1"/>
    </xf>
    <xf numFmtId="0" fontId="4" fillId="0" borderId="92" applyAlignment="1" pivotButton="0" quotePrefix="0" xfId="0">
      <alignment horizontal="center" vertical="center" wrapText="1"/>
    </xf>
    <xf numFmtId="0" fontId="4" fillId="6" borderId="80" applyAlignment="1" pivotButton="0" quotePrefix="0" xfId="0">
      <alignment horizontal="center"/>
    </xf>
    <xf numFmtId="0" fontId="4" fillId="0" borderId="88" applyAlignment="1" pivotButton="0" quotePrefix="0" xfId="0">
      <alignment horizontal="center"/>
    </xf>
    <xf numFmtId="0" fontId="4" fillId="0" borderId="65" applyAlignment="1" pivotButton="0" quotePrefix="0" xfId="0">
      <alignment horizontal="center"/>
    </xf>
    <xf numFmtId="0" fontId="4" fillId="0" borderId="83" applyAlignment="1" pivotButton="0" quotePrefix="0" xfId="0">
      <alignment horizontal="center"/>
    </xf>
    <xf numFmtId="0" fontId="4" fillId="0" borderId="93" applyAlignment="1" pivotButton="0" quotePrefix="0" xfId="0">
      <alignment horizontal="center"/>
    </xf>
    <xf numFmtId="0" fontId="4" fillId="6" borderId="87" applyAlignment="1" pivotButton="0" quotePrefix="0" xfId="0">
      <alignment horizontal="center"/>
    </xf>
    <xf numFmtId="0" fontId="4" fillId="6" borderId="84" applyAlignment="1" pivotButton="0" quotePrefix="0" xfId="0">
      <alignment horizontal="center"/>
    </xf>
    <xf numFmtId="0" fontId="4" fillId="6" borderId="49" applyAlignment="1" pivotButton="0" quotePrefix="0" xfId="0">
      <alignment horizontal="center"/>
    </xf>
    <xf numFmtId="0" fontId="4" fillId="6" borderId="50" applyAlignment="1" pivotButton="0" quotePrefix="0" xfId="0">
      <alignment horizontal="center"/>
    </xf>
    <xf numFmtId="0" fontId="4" fillId="0" borderId="49" applyAlignment="1" pivotButton="0" quotePrefix="0" xfId="0">
      <alignment horizontal="center"/>
    </xf>
    <xf numFmtId="0" fontId="4" fillId="0" borderId="84" applyAlignment="1" pivotButton="0" quotePrefix="0" xfId="0">
      <alignment horizontal="center"/>
    </xf>
    <xf numFmtId="0" fontId="4" fillId="0" borderId="46" applyAlignment="1" pivotButton="0" quotePrefix="0" xfId="0">
      <alignment horizontal="center"/>
    </xf>
    <xf numFmtId="0" fontId="4" fillId="0" borderId="47" applyAlignment="1" pivotButton="0" quotePrefix="0" xfId="0">
      <alignment horizontal="center"/>
    </xf>
    <xf numFmtId="0" fontId="34" fillId="0" borderId="74" applyAlignment="1" pivotButton="0" quotePrefix="0" xfId="0">
      <alignment horizontal="center"/>
    </xf>
    <xf numFmtId="0" fontId="4" fillId="0" borderId="63" applyAlignment="1" pivotButton="0" quotePrefix="0" xfId="0">
      <alignment horizontal="center"/>
    </xf>
    <xf numFmtId="0" fontId="4" fillId="6" borderId="88" applyAlignment="1" pivotButton="0" quotePrefix="0" xfId="0">
      <alignment horizontal="center"/>
    </xf>
    <xf numFmtId="0" fontId="4" fillId="6" borderId="65" applyAlignment="1" pivotButton="0" quotePrefix="0" xfId="0">
      <alignment horizontal="center"/>
    </xf>
    <xf numFmtId="0" fontId="4" fillId="0" borderId="60" applyAlignment="1" pivotButton="0" quotePrefix="0" xfId="0">
      <alignment horizontal="center"/>
    </xf>
    <xf numFmtId="0" fontId="4" fillId="0" borderId="87" applyAlignment="1" pivotButton="0" quotePrefix="0" xfId="0">
      <alignment horizontal="center"/>
    </xf>
    <xf numFmtId="0" fontId="4" fillId="0" borderId="85" applyAlignment="1" pivotButton="0" quotePrefix="0" xfId="0">
      <alignment horizontal="center"/>
    </xf>
    <xf numFmtId="0" fontId="4" fillId="0" borderId="81" applyAlignment="1" pivotButton="0" quotePrefix="0" xfId="0">
      <alignment horizontal="center"/>
    </xf>
    <xf numFmtId="0" fontId="4" fillId="0" borderId="75" applyAlignment="1" pivotButton="0" quotePrefix="0" xfId="0">
      <alignment horizontal="center"/>
    </xf>
    <xf numFmtId="0" fontId="4" fillId="6" borderId="85" applyAlignment="1" pivotButton="0" quotePrefix="0" xfId="0">
      <alignment horizontal="center"/>
    </xf>
    <xf numFmtId="0" fontId="4" fillId="6" borderId="82" applyAlignment="1" pivotButton="0" quotePrefix="0" xfId="0">
      <alignment horizontal="center"/>
    </xf>
    <xf numFmtId="0" fontId="4" fillId="6" borderId="75" applyAlignment="1" pivotButton="0" quotePrefix="0" xfId="0">
      <alignment horizontal="center"/>
    </xf>
    <xf numFmtId="0" fontId="4" fillId="0" borderId="82" applyAlignment="1" pivotButton="0" quotePrefix="0" xfId="0">
      <alignment horizontal="center"/>
    </xf>
    <xf numFmtId="0" fontId="4" fillId="6" borderId="94" applyAlignment="1" pivotButton="0" quotePrefix="0" xfId="0">
      <alignment horizontal="center"/>
    </xf>
    <xf numFmtId="0" fontId="34" fillId="0" borderId="63" applyAlignment="1" pivotButton="0" quotePrefix="0" xfId="0">
      <alignment horizontal="center"/>
    </xf>
    <xf numFmtId="0" fontId="34" fillId="0" borderId="60" applyAlignment="1" pivotButton="0" quotePrefix="0" xfId="0">
      <alignment horizontal="center"/>
    </xf>
    <xf numFmtId="0" fontId="20" fillId="0" borderId="60" applyAlignment="1" pivotButton="0" quotePrefix="0" xfId="0">
      <alignment horizontal="center" vertical="center"/>
    </xf>
    <xf numFmtId="0" fontId="20" fillId="0" borderId="74" applyAlignment="1" pivotButton="0" quotePrefix="0" xfId="0">
      <alignment horizontal="center" vertical="center" wrapText="1"/>
    </xf>
    <xf numFmtId="0" fontId="20" fillId="0" borderId="74" applyAlignment="1" pivotButton="0" quotePrefix="0" xfId="0">
      <alignment horizontal="center" wrapText="1"/>
    </xf>
    <xf numFmtId="0" fontId="20" fillId="0" borderId="60" applyAlignment="1" pivotButton="0" quotePrefix="0" xfId="0">
      <alignment horizontal="center"/>
    </xf>
    <xf numFmtId="0" fontId="20" fillId="0" borderId="60" applyAlignment="1" pivotButton="0" quotePrefix="0" xfId="0">
      <alignment horizontal="center" wrapText="1"/>
    </xf>
    <xf numFmtId="0" fontId="20" fillId="0" borderId="74" applyAlignment="1" pivotButton="0" quotePrefix="0" xfId="0">
      <alignment horizontal="center"/>
    </xf>
    <xf numFmtId="0" fontId="4" fillId="6" borderId="95" applyAlignment="1" pivotButton="0" quotePrefix="0" xfId="0">
      <alignment horizontal="center"/>
    </xf>
    <xf numFmtId="0" fontId="4" fillId="0" borderId="96" applyAlignment="1" pivotButton="0" quotePrefix="0" xfId="0">
      <alignment horizontal="center"/>
    </xf>
    <xf numFmtId="0" fontId="4" fillId="0" borderId="97" applyAlignment="1" pivotButton="0" quotePrefix="0" xfId="0">
      <alignment horizontal="center"/>
    </xf>
    <xf numFmtId="0" fontId="4" fillId="0" borderId="98" applyAlignment="1" pivotButton="0" quotePrefix="0" xfId="0">
      <alignment horizontal="center"/>
    </xf>
    <xf numFmtId="0" fontId="4" fillId="0" borderId="90" applyAlignment="1" pivotButton="0" quotePrefix="0" xfId="0">
      <alignment horizontal="center"/>
    </xf>
    <xf numFmtId="0" fontId="4" fillId="6" borderId="100" applyAlignment="1" pivotButton="0" quotePrefix="0" xfId="0">
      <alignment horizontal="center"/>
    </xf>
    <xf numFmtId="0" fontId="4" fillId="6" borderId="99" applyAlignment="1" pivotButton="0" quotePrefix="0" xfId="0">
      <alignment horizontal="center"/>
    </xf>
    <xf numFmtId="0" fontId="4" fillId="6" borderId="98" applyAlignment="1" pivotButton="0" quotePrefix="0" xfId="0">
      <alignment horizontal="center"/>
    </xf>
    <xf numFmtId="0" fontId="4" fillId="6" borderId="96" applyAlignment="1" pivotButton="0" quotePrefix="0" xfId="0">
      <alignment horizontal="center"/>
    </xf>
    <xf numFmtId="0" fontId="4" fillId="6" borderId="93" applyAlignment="1" pivotButton="0" quotePrefix="0" xfId="0">
      <alignment horizontal="center"/>
    </xf>
    <xf numFmtId="0" fontId="49" fillId="0" borderId="0" applyAlignment="1" pivotButton="0" quotePrefix="0" xfId="0">
      <alignment horizontal="center"/>
    </xf>
    <xf numFmtId="0" fontId="49" fillId="0" borderId="0" applyAlignment="1" pivotButton="0" quotePrefix="0" xfId="0">
      <alignment horizontal="center" vertical="center" wrapText="1"/>
    </xf>
    <xf numFmtId="0" fontId="49" fillId="0" borderId="0" applyAlignment="1" pivotButton="0" quotePrefix="0" xfId="0">
      <alignment horizontal="center" vertical="center"/>
    </xf>
    <xf numFmtId="0" fontId="49" fillId="20" borderId="0" applyAlignment="1" pivotButton="0" quotePrefix="0" xfId="0">
      <alignment horizontal="center" vertical="center"/>
    </xf>
    <xf numFmtId="0" fontId="5" fillId="0" borderId="0" applyAlignment="1" pivotButton="0" quotePrefix="0" xfId="0">
      <alignment horizontal="center"/>
    </xf>
    <xf numFmtId="0" fontId="5" fillId="0" borderId="74" applyAlignment="1" pivotButton="0" quotePrefix="0" xfId="0">
      <alignment horizontal="center"/>
    </xf>
    <xf numFmtId="0" fontId="5" fillId="0" borderId="77" applyAlignment="1" pivotButton="0" quotePrefix="0" xfId="0">
      <alignment horizontal="center"/>
    </xf>
    <xf numFmtId="0" fontId="5" fillId="0" borderId="75" applyAlignment="1" pivotButton="0" quotePrefix="0" xfId="0">
      <alignment horizontal="center"/>
    </xf>
    <xf numFmtId="0" fontId="42" fillId="0" borderId="0" applyAlignment="1" pivotButton="0" quotePrefix="0" xfId="0">
      <alignment horizontal="center" vertical="center" wrapText="1"/>
    </xf>
    <xf numFmtId="0" fontId="42" fillId="0" borderId="72" applyAlignment="1" pivotButton="0" quotePrefix="0" xfId="0">
      <alignment horizontal="center" vertical="center" wrapText="1"/>
    </xf>
    <xf numFmtId="0" fontId="42" fillId="0" borderId="11" applyAlignment="1" pivotButton="0" quotePrefix="0" xfId="0">
      <alignment horizontal="center" vertical="center" wrapText="1"/>
    </xf>
    <xf numFmtId="0" fontId="42" fillId="0" borderId="73" applyAlignment="1" pivotButton="0" quotePrefix="0" xfId="0">
      <alignment horizontal="center" vertical="center" wrapText="1"/>
    </xf>
    <xf numFmtId="0" fontId="42" fillId="0" borderId="29" applyAlignment="1" pivotButton="0" quotePrefix="0" xfId="0">
      <alignment horizontal="center" vertical="center" wrapText="1"/>
    </xf>
    <xf numFmtId="0" fontId="42" fillId="0" borderId="1" applyAlignment="1" pivotButton="0" quotePrefix="0" xfId="0">
      <alignment horizontal="center" vertical="center" wrapText="1"/>
    </xf>
    <xf numFmtId="0" fontId="42" fillId="0" borderId="25" applyAlignment="1" pivotButton="0" quotePrefix="0" xfId="0">
      <alignment horizontal="center" vertical="center" wrapText="1"/>
    </xf>
    <xf numFmtId="0" fontId="42" fillId="0" borderId="14" applyAlignment="1" pivotButton="0" quotePrefix="0" xfId="0">
      <alignment horizontal="center" vertical="center" wrapText="1"/>
    </xf>
    <xf numFmtId="0" fontId="42" fillId="0" borderId="5" applyAlignment="1" pivotButton="0" quotePrefix="0" xfId="0">
      <alignment horizontal="center" vertical="center" wrapText="1"/>
    </xf>
    <xf numFmtId="0" fontId="42" fillId="0" borderId="71" applyAlignment="1" pivotButton="0" quotePrefix="0" xfId="0">
      <alignment horizontal="center" vertical="center" wrapText="1"/>
    </xf>
    <xf numFmtId="0" fontId="50" fillId="0" borderId="72" applyAlignment="1" pivotButton="0" quotePrefix="0" xfId="0">
      <alignment horizontal="center" vertical="center" wrapText="1"/>
    </xf>
    <xf numFmtId="0" fontId="20" fillId="0" borderId="74" applyAlignment="1" pivotButton="0" quotePrefix="0" xfId="0">
      <alignment horizontal="center" vertical="center"/>
    </xf>
    <xf numFmtId="0" fontId="4" fillId="6" borderId="66" applyAlignment="1" pivotButton="0" quotePrefix="0" xfId="0">
      <alignment horizontal="center"/>
    </xf>
    <xf numFmtId="0" fontId="4" fillId="6" borderId="102" applyAlignment="1" pivotButton="0" quotePrefix="0" xfId="0">
      <alignment horizontal="center"/>
    </xf>
    <xf numFmtId="0" fontId="4" fillId="0" borderId="86" applyAlignment="1" pivotButton="0" quotePrefix="0" xfId="0">
      <alignment horizontal="center"/>
    </xf>
    <xf numFmtId="2" fontId="4" fillId="0" borderId="74" applyAlignment="1" pivotButton="0" quotePrefix="0" xfId="0">
      <alignment horizontal="center"/>
    </xf>
    <xf numFmtId="0" fontId="4" fillId="0" borderId="74" applyAlignment="1" pivotButton="0" quotePrefix="0" xfId="0">
      <alignment horizontal="center" vertical="center" wrapText="1"/>
    </xf>
    <xf numFmtId="0" fontId="4" fillId="27" borderId="78" applyAlignment="1" pivotButton="0" quotePrefix="0" xfId="0">
      <alignment horizontal="center"/>
    </xf>
    <xf numFmtId="0" fontId="4" fillId="27" borderId="88" applyAlignment="1" pivotButton="0" quotePrefix="0" xfId="0">
      <alignment horizontal="center"/>
    </xf>
    <xf numFmtId="0" fontId="4" fillId="27" borderId="79" applyAlignment="1" pivotButton="0" quotePrefix="0" xfId="0">
      <alignment horizontal="center"/>
    </xf>
    <xf numFmtId="0" fontId="4" fillId="27" borderId="53" applyAlignment="1" pivotButton="0" quotePrefix="0" xfId="0">
      <alignment horizontal="center"/>
    </xf>
    <xf numFmtId="0" fontId="4" fillId="15" borderId="80" applyAlignment="1" pivotButton="0" quotePrefix="0" xfId="0">
      <alignment horizontal="center"/>
    </xf>
    <xf numFmtId="0" fontId="4" fillId="15" borderId="87" applyAlignment="1" pivotButton="0" quotePrefix="0" xfId="0">
      <alignment horizontal="center"/>
    </xf>
    <xf numFmtId="0" fontId="4" fillId="15" borderId="49" applyAlignment="1" pivotButton="0" quotePrefix="0" xfId="0">
      <alignment horizontal="center"/>
    </xf>
    <xf numFmtId="0" fontId="15" fillId="28" borderId="63" applyAlignment="1" pivotButton="0" quotePrefix="0" xfId="0">
      <alignment vertical="center"/>
    </xf>
    <xf numFmtId="0" fontId="15" fillId="28" borderId="21" applyAlignment="1" pivotButton="0" quotePrefix="0" xfId="0">
      <alignment vertical="center"/>
    </xf>
    <xf numFmtId="0" fontId="42" fillId="5" borderId="0" applyAlignment="1" pivotButton="0" quotePrefix="0" xfId="0">
      <alignment vertical="center" wrapText="1"/>
    </xf>
    <xf numFmtId="0" fontId="52" fillId="0" borderId="31" applyAlignment="1" pivotButton="0" quotePrefix="0" xfId="0">
      <alignment horizontal="center" vertical="center" wrapText="1"/>
    </xf>
    <xf numFmtId="0" fontId="52" fillId="0" borderId="101" applyAlignment="1" applyProtection="1" pivotButton="0" quotePrefix="0" xfId="0">
      <alignment horizontal="center" vertical="center" wrapText="1"/>
      <protection locked="0" hidden="0"/>
    </xf>
    <xf numFmtId="0" fontId="52" fillId="16" borderId="14" applyAlignment="1" pivotButton="0" quotePrefix="0" xfId="0">
      <alignment horizontal="center" vertical="center" wrapText="1"/>
    </xf>
    <xf numFmtId="0" fontId="52" fillId="0" borderId="71" applyAlignment="1" pivotButton="0" quotePrefix="0" xfId="0">
      <alignment horizontal="center" vertical="center" wrapText="1"/>
    </xf>
    <xf numFmtId="0" fontId="52" fillId="0" borderId="72" applyAlignment="1" pivotButton="0" quotePrefix="0" xfId="0">
      <alignment horizontal="center" vertical="center" wrapText="1"/>
    </xf>
    <xf numFmtId="0" fontId="52" fillId="0" borderId="73" applyAlignment="1" pivotButton="0" quotePrefix="0" xfId="0">
      <alignment horizontal="center" vertical="center" wrapText="1"/>
    </xf>
    <xf numFmtId="0" fontId="4" fillId="0" borderId="103" applyAlignment="1" pivotButton="0" quotePrefix="0" xfId="0">
      <alignment horizontal="center"/>
    </xf>
    <xf numFmtId="0" fontId="4" fillId="15" borderId="100" applyAlignment="1" pivotButton="0" quotePrefix="0" xfId="0">
      <alignment horizontal="center"/>
    </xf>
    <xf numFmtId="0" fontId="14" fillId="0" borderId="0" applyAlignment="1" pivotButton="0" quotePrefix="0" xfId="0">
      <alignment horizontal="center" vertical="center"/>
    </xf>
    <xf numFmtId="0" fontId="8" fillId="0" borderId="0" applyAlignment="1" pivotButton="0" quotePrefix="0" xfId="0">
      <alignment horizontal="left" vertical="center" wrapText="1"/>
    </xf>
    <xf numFmtId="164" fontId="2" fillId="0" borderId="104" applyAlignment="1" pivotButton="0" quotePrefix="0" xfId="0">
      <alignment horizontal="center" vertical="center"/>
    </xf>
    <xf numFmtId="0" fontId="17" fillId="0" borderId="104" applyAlignment="1" pivotButton="0" quotePrefix="0" xfId="0">
      <alignment horizontal="center" vertical="center"/>
    </xf>
    <xf numFmtId="0" fontId="2" fillId="2" borderId="67" applyAlignment="1" pivotButton="0" quotePrefix="0" xfId="0">
      <alignment horizontal="center" vertical="center"/>
    </xf>
    <xf numFmtId="0" fontId="15" fillId="0" borderId="104" applyAlignment="1" pivotButton="0" quotePrefix="0" xfId="0">
      <alignment horizontal="center" vertical="center"/>
    </xf>
    <xf numFmtId="0" fontId="15" fillId="2" borderId="7" applyAlignment="1" pivotButton="0" quotePrefix="0" xfId="0">
      <alignment horizontal="center" vertical="center"/>
    </xf>
    <xf numFmtId="0" fontId="15" fillId="0" borderId="7" applyAlignment="1" pivotButton="0" quotePrefix="0" xfId="0">
      <alignment horizontal="center" vertical="center"/>
    </xf>
    <xf numFmtId="0" fontId="15" fillId="2" borderId="67" applyAlignment="1" pivotButton="0" quotePrefix="0" xfId="0">
      <alignment horizontal="center" vertical="center"/>
    </xf>
    <xf numFmtId="0" fontId="17" fillId="0" borderId="67" applyAlignment="1" pivotButton="0" quotePrefix="0" xfId="0">
      <alignment horizontal="center" vertical="center"/>
    </xf>
    <xf numFmtId="0" fontId="22" fillId="21" borderId="105" applyAlignment="1" pivotButton="0" quotePrefix="0" xfId="0">
      <alignment horizontal="center" vertical="center"/>
    </xf>
    <xf numFmtId="0" fontId="2" fillId="19" borderId="74" applyAlignment="1" pivotButton="0" quotePrefix="0" xfId="0">
      <alignment horizontal="center" vertical="center"/>
    </xf>
    <xf numFmtId="0" fontId="42" fillId="0" borderId="71" applyAlignment="1" pivotButton="0" quotePrefix="1" xfId="0">
      <alignment horizontal="center" vertical="center" wrapText="1"/>
    </xf>
    <xf numFmtId="0" fontId="4" fillId="0" borderId="80" applyAlignment="1" pivotButton="0" quotePrefix="0" xfId="0">
      <alignment horizontal="center"/>
    </xf>
    <xf numFmtId="0" fontId="53" fillId="0" borderId="0" applyAlignment="1" pivotButton="0" quotePrefix="0" xfId="0">
      <alignment horizontal="center" vertical="center" wrapText="1"/>
    </xf>
    <xf numFmtId="0" fontId="41" fillId="0" borderId="76" pivotButton="0" quotePrefix="0" xfId="0"/>
    <xf numFmtId="0" fontId="15" fillId="0" borderId="76" applyAlignment="1" pivotButton="0" quotePrefix="0" xfId="0">
      <alignment horizontal="center" vertical="center"/>
    </xf>
    <xf numFmtId="0" fontId="55" fillId="0" borderId="0" applyAlignment="1" pivotButton="0" quotePrefix="0" xfId="0">
      <alignment horizontal="center" vertical="center" wrapText="1"/>
    </xf>
    <xf numFmtId="0" fontId="52" fillId="0" borderId="0" applyAlignment="1" pivotButton="0" quotePrefix="0" xfId="0">
      <alignment horizontal="center" vertical="center" wrapText="1"/>
    </xf>
    <xf numFmtId="0" fontId="56" fillId="0" borderId="0" applyAlignment="1" pivotButton="0" quotePrefix="0" xfId="0">
      <alignment horizontal="center" vertical="center" wrapText="1"/>
    </xf>
    <xf numFmtId="0" fontId="56" fillId="29" borderId="0" applyAlignment="1" pivotButton="0" quotePrefix="0" xfId="0">
      <alignment horizontal="center" vertical="center" wrapText="1"/>
    </xf>
    <xf numFmtId="0" fontId="56" fillId="30" borderId="0" applyAlignment="1" pivotButton="0" quotePrefix="0" xfId="0">
      <alignment horizontal="center" vertical="center" wrapText="1"/>
    </xf>
    <xf numFmtId="0" fontId="52" fillId="29" borderId="71" applyAlignment="1" pivotButton="0" quotePrefix="0" xfId="0">
      <alignment horizontal="center" vertical="center" wrapText="1"/>
    </xf>
    <xf numFmtId="0" fontId="52" fillId="29" borderId="73" applyAlignment="1" pivotButton="0" quotePrefix="0" xfId="0">
      <alignment horizontal="center" vertical="center" wrapText="1"/>
    </xf>
    <xf numFmtId="0" fontId="56" fillId="29" borderId="0" applyAlignment="1" pivotButton="0" quotePrefix="0" xfId="0">
      <alignment horizontal="center" wrapText="1"/>
    </xf>
    <xf numFmtId="0" fontId="52" fillId="29" borderId="0" applyAlignment="1" pivotButton="0" quotePrefix="0" xfId="0">
      <alignment horizontal="center" vertical="center" wrapText="1"/>
    </xf>
    <xf numFmtId="0" fontId="24" fillId="20" borderId="75" applyAlignment="1" pivotButton="0" quotePrefix="0" xfId="0">
      <alignment horizontal="center" vertical="center"/>
    </xf>
    <xf numFmtId="0" fontId="41" fillId="0" borderId="0" applyAlignment="1" pivotButton="0" quotePrefix="0" xfId="0">
      <alignment vertical="center"/>
    </xf>
    <xf numFmtId="0" fontId="42" fillId="0" borderId="0" applyAlignment="1" pivotButton="0" quotePrefix="0" xfId="0">
      <alignment horizontal="center" vertical="center"/>
    </xf>
    <xf numFmtId="0" fontId="15" fillId="0" borderId="0" applyAlignment="1" pivotButton="0" quotePrefix="0" xfId="0">
      <alignment horizontal="center" vertical="center"/>
    </xf>
    <xf numFmtId="0" fontId="15" fillId="13" borderId="19" applyAlignment="1" pivotButton="0" quotePrefix="0" xfId="0">
      <alignment vertical="center" wrapText="1"/>
    </xf>
    <xf numFmtId="0" fontId="15" fillId="0" borderId="76" pivotButton="0" quotePrefix="0" xfId="0"/>
    <xf numFmtId="0" fontId="15" fillId="0" borderId="106" pivotButton="0" quotePrefix="0" xfId="0"/>
    <xf numFmtId="0" fontId="15" fillId="4" borderId="19" applyAlignment="1" pivotButton="0" quotePrefix="0" xfId="0">
      <alignment vertical="center" wrapText="1"/>
    </xf>
    <xf numFmtId="0" fontId="15" fillId="11" borderId="19" applyAlignment="1" pivotButton="0" quotePrefix="0" xfId="0">
      <alignment vertical="center"/>
    </xf>
    <xf numFmtId="0" fontId="42" fillId="11" borderId="0" applyAlignment="1" pivotButton="0" quotePrefix="0" xfId="0">
      <alignment vertical="center"/>
    </xf>
    <xf numFmtId="0" fontId="42" fillId="11" borderId="0" applyAlignment="1" pivotButton="0" quotePrefix="0" xfId="0">
      <alignment vertical="center" wrapText="1"/>
    </xf>
    <xf numFmtId="0" fontId="7" fillId="19" borderId="85" applyAlignment="1" pivotButton="0" quotePrefix="0" xfId="0">
      <alignment horizontal="center" vertical="center"/>
    </xf>
    <xf numFmtId="0" fontId="32" fillId="0" borderId="11" applyAlignment="1" pivotButton="0" quotePrefix="0" xfId="0">
      <alignment horizontal="center" vertical="center"/>
    </xf>
    <xf numFmtId="0" fontId="0" fillId="0" borderId="0" applyAlignment="1" pivotButton="0" quotePrefix="0" xfId="0">
      <alignment horizontal="center"/>
    </xf>
    <xf numFmtId="0" fontId="42" fillId="0" borderId="107" applyAlignment="1" pivotButton="0" quotePrefix="0" xfId="0">
      <alignment horizontal="center" vertical="center" wrapText="1"/>
    </xf>
    <xf numFmtId="0" fontId="32" fillId="0" borderId="1" applyAlignment="1" pivotButton="0" quotePrefix="0" xfId="0">
      <alignment horizontal="center" vertical="center"/>
    </xf>
    <xf numFmtId="164" fontId="59" fillId="2" borderId="32" applyAlignment="1" pivotButton="0" quotePrefix="0" xfId="0">
      <alignment horizontal="center" vertical="center"/>
    </xf>
    <xf numFmtId="164" fontId="59" fillId="2" borderId="11" applyAlignment="1" pivotButton="0" quotePrefix="0" xfId="0">
      <alignment horizontal="center" vertical="center"/>
    </xf>
    <xf numFmtId="0" fontId="57" fillId="0" borderId="11" applyAlignment="1" pivotButton="0" quotePrefix="0" xfId="0">
      <alignment horizontal="left" vertical="center" wrapText="1"/>
    </xf>
    <xf numFmtId="164" fontId="61" fillId="0" borderId="11" applyAlignment="1" pivotButton="0" quotePrefix="0" xfId="0">
      <alignment horizontal="center" vertical="center"/>
    </xf>
    <xf numFmtId="0" fontId="57" fillId="2" borderId="11" applyAlignment="1" pivotButton="0" quotePrefix="0" xfId="0">
      <alignment horizontal="left" vertical="center" wrapText="1"/>
    </xf>
    <xf numFmtId="0" fontId="59" fillId="2" borderId="11" applyAlignment="1" pivotButton="0" quotePrefix="0" xfId="0">
      <alignment horizontal="center" vertical="center" wrapText="1"/>
    </xf>
    <xf numFmtId="0" fontId="57" fillId="2" borderId="11" applyAlignment="1" pivotButton="0" quotePrefix="0" xfId="0">
      <alignment vertical="center" wrapText="1"/>
    </xf>
    <xf numFmtId="0" fontId="32" fillId="2" borderId="11" applyAlignment="1" pivotButton="0" quotePrefix="0" xfId="0">
      <alignment horizontal="center" vertical="center"/>
    </xf>
    <xf numFmtId="0" fontId="59" fillId="2" borderId="11" applyAlignment="1" pivotButton="0" quotePrefix="0" xfId="0">
      <alignment horizontal="center" vertical="center"/>
    </xf>
    <xf numFmtId="0" fontId="58" fillId="2" borderId="32" applyAlignment="1" pivotButton="0" quotePrefix="0" xfId="0">
      <alignment horizontal="left" vertical="center" wrapText="1"/>
    </xf>
    <xf numFmtId="0" fontId="59" fillId="2" borderId="32" applyAlignment="1" pivotButton="0" quotePrefix="0" xfId="0">
      <alignment horizontal="center" vertical="center"/>
    </xf>
    <xf numFmtId="0" fontId="32" fillId="2" borderId="32" applyAlignment="1" pivotButton="0" quotePrefix="0" xfId="0">
      <alignment horizontal="center" vertical="center"/>
    </xf>
    <xf numFmtId="0" fontId="57" fillId="0" borderId="1" applyAlignment="1" pivotButton="0" quotePrefix="0" xfId="0">
      <alignment vertical="center" wrapText="1"/>
    </xf>
    <xf numFmtId="0" fontId="61" fillId="0" borderId="1" applyAlignment="1" pivotButton="0" quotePrefix="0" xfId="0">
      <alignment horizontal="center" vertical="center"/>
    </xf>
    <xf numFmtId="164" fontId="59" fillId="0" borderId="1" applyAlignment="1" pivotButton="0" quotePrefix="0" xfId="0">
      <alignment horizontal="center" vertical="center"/>
    </xf>
    <xf numFmtId="0" fontId="57" fillId="0" borderId="11" applyAlignment="1" pivotButton="0" quotePrefix="0" xfId="0">
      <alignment vertical="center" wrapText="1"/>
    </xf>
    <xf numFmtId="164" fontId="59" fillId="0" borderId="11" applyAlignment="1" pivotButton="0" quotePrefix="0" xfId="0">
      <alignment horizontal="center" vertical="center"/>
    </xf>
    <xf numFmtId="0" fontId="59" fillId="0" borderId="11" applyAlignment="1" pivotButton="0" quotePrefix="0" xfId="0">
      <alignment horizontal="center" vertical="center"/>
    </xf>
    <xf numFmtId="0" fontId="58" fillId="0" borderId="32" applyAlignment="1" pivotButton="0" quotePrefix="0" xfId="0">
      <alignment horizontal="left" vertical="center" wrapText="1"/>
    </xf>
    <xf numFmtId="0" fontId="57" fillId="2" borderId="32" applyAlignment="1" pivotButton="0" quotePrefix="0" xfId="0">
      <alignment vertical="center" wrapText="1"/>
    </xf>
    <xf numFmtId="0" fontId="26" fillId="2" borderId="34" applyAlignment="1" pivotButton="0" quotePrefix="0" xfId="0">
      <alignment horizontal="center" vertical="center" wrapText="1"/>
    </xf>
    <xf numFmtId="1" fontId="32" fillId="2" borderId="32" applyAlignment="1" pivotButton="0" quotePrefix="0" xfId="0">
      <alignment horizontal="center" vertical="center"/>
    </xf>
    <xf numFmtId="0" fontId="59" fillId="0" borderId="11" applyAlignment="1" pivotButton="0" quotePrefix="0" xfId="0">
      <alignment horizontal="center" vertical="center" wrapText="1"/>
    </xf>
    <xf numFmtId="1" fontId="59" fillId="0" borderId="32" applyAlignment="1" pivotButton="0" quotePrefix="0" xfId="0">
      <alignment horizontal="center" vertical="center"/>
    </xf>
    <xf numFmtId="0" fontId="59" fillId="0" borderId="32" applyAlignment="1" pivotButton="0" quotePrefix="0" xfId="0">
      <alignment horizontal="center" vertical="center" wrapText="1"/>
    </xf>
    <xf numFmtId="0" fontId="35" fillId="2" borderId="46" applyAlignment="1" pivotButton="0" quotePrefix="0" xfId="0">
      <alignment horizontal="center" vertical="center" wrapText="1"/>
    </xf>
    <xf numFmtId="0" fontId="11" fillId="2" borderId="34" applyAlignment="1" pivotButton="0" quotePrefix="0" xfId="0">
      <alignment horizontal="center" vertical="center" wrapText="1"/>
    </xf>
    <xf numFmtId="164" fontId="11" fillId="2" borderId="10" applyAlignment="1" pivotButton="0" quotePrefix="0" xfId="0">
      <alignment horizontal="center" vertical="center" wrapText="1"/>
    </xf>
    <xf numFmtId="0" fontId="26" fillId="2" borderId="35" applyAlignment="1" pivotButton="0" quotePrefix="0" xfId="0">
      <alignment horizontal="center" vertical="center" wrapText="1"/>
    </xf>
    <xf numFmtId="0" fontId="35" fillId="2" borderId="58" applyAlignment="1" pivotButton="0" quotePrefix="0" xfId="0">
      <alignment horizontal="center" vertical="center" wrapText="1"/>
    </xf>
    <xf numFmtId="0" fontId="11" fillId="2" borderId="37" applyAlignment="1" pivotButton="0" quotePrefix="0" xfId="0">
      <alignment horizontal="center" vertical="center" wrapText="1"/>
    </xf>
    <xf numFmtId="0" fontId="17" fillId="2" borderId="68" applyAlignment="1" pivotButton="0" quotePrefix="0" xfId="0">
      <alignment horizontal="center" vertical="center"/>
    </xf>
    <xf numFmtId="0" fontId="26" fillId="2" borderId="37" applyAlignment="1" pivotButton="0" quotePrefix="0" xfId="0">
      <alignment horizontal="center" vertical="center" wrapText="1"/>
    </xf>
    <xf numFmtId="0" fontId="26" fillId="2" borderId="8" applyAlignment="1" pivotButton="0" quotePrefix="0" xfId="0">
      <alignment horizontal="center" vertical="center" wrapText="1"/>
    </xf>
    <xf numFmtId="0" fontId="11" fillId="2" borderId="10" applyAlignment="1" pivotButton="0" quotePrefix="0" xfId="0">
      <alignment horizontal="center" vertical="center" wrapText="1"/>
    </xf>
    <xf numFmtId="0" fontId="11" fillId="0" borderId="10" applyAlignment="1" pivotButton="0" quotePrefix="0" xfId="0">
      <alignment horizontal="center" vertical="center" wrapText="1"/>
    </xf>
    <xf numFmtId="0" fontId="11" fillId="2" borderId="35" applyAlignment="1" pivotButton="0" quotePrefix="0" xfId="0">
      <alignment horizontal="center" vertical="center" wrapText="1"/>
    </xf>
    <xf numFmtId="0" fontId="17" fillId="2" borderId="37" applyAlignment="1" pivotButton="0" quotePrefix="0" xfId="0">
      <alignment horizontal="center" vertical="center"/>
    </xf>
    <xf numFmtId="0" fontId="2" fillId="19" borderId="110" applyAlignment="1" pivotButton="0" quotePrefix="0" xfId="0">
      <alignment horizontal="center" vertical="center"/>
    </xf>
    <xf numFmtId="0" fontId="22" fillId="21" borderId="111" applyAlignment="1" pivotButton="0" quotePrefix="0" xfId="0">
      <alignment horizontal="center" vertical="center"/>
    </xf>
    <xf numFmtId="0" fontId="7" fillId="19" borderId="82" applyAlignment="1" pivotButton="0" quotePrefix="0" xfId="0">
      <alignment horizontal="center" vertical="center"/>
    </xf>
    <xf numFmtId="0" fontId="7" fillId="19" borderId="95" applyAlignment="1" pivotButton="0" quotePrefix="0" xfId="0">
      <alignment horizontal="center" vertical="center"/>
    </xf>
    <xf numFmtId="0" fontId="7" fillId="19" borderId="112" applyAlignment="1" pivotButton="0" quotePrefix="0" xfId="0">
      <alignment horizontal="center" vertical="center"/>
    </xf>
    <xf numFmtId="0" fontId="7" fillId="19" borderId="113" applyAlignment="1" pivotButton="0" quotePrefix="0" xfId="0">
      <alignment horizontal="center" vertical="center"/>
    </xf>
    <xf numFmtId="0" fontId="7" fillId="19" borderId="14" applyAlignment="1" pivotButton="0" quotePrefix="0" xfId="0">
      <alignment horizontal="center" vertical="center"/>
    </xf>
    <xf numFmtId="164" fontId="32" fillId="2" borderId="11" applyAlignment="1" pivotButton="0" quotePrefix="0" xfId="0">
      <alignment horizontal="center" vertical="center"/>
    </xf>
    <xf numFmtId="164" fontId="32" fillId="0" borderId="11" applyAlignment="1" pivotButton="0" quotePrefix="0" xfId="0">
      <alignment horizontal="center" vertical="center"/>
    </xf>
    <xf numFmtId="164" fontId="61" fillId="0" borderId="1" applyAlignment="1" pivotButton="0" quotePrefix="0" xfId="0">
      <alignment horizontal="center" vertical="center"/>
    </xf>
    <xf numFmtId="164" fontId="32" fillId="0" borderId="1" applyAlignment="1" pivotButton="0" quotePrefix="0" xfId="0">
      <alignment horizontal="center" vertical="center"/>
    </xf>
    <xf numFmtId="0" fontId="57" fillId="0" borderId="1" applyAlignment="1" pivotButton="0" quotePrefix="0" xfId="0">
      <alignment horizontal="left" vertical="center" wrapText="1"/>
    </xf>
    <xf numFmtId="164" fontId="32" fillId="2" borderId="32" applyAlignment="1" pivotButton="0" quotePrefix="0" xfId="0">
      <alignment horizontal="center" vertical="center"/>
    </xf>
    <xf numFmtId="0" fontId="32" fillId="19" borderId="29" applyAlignment="1" pivotButton="0" quotePrefix="0" xfId="0">
      <alignment horizontal="center" vertical="center"/>
    </xf>
    <xf numFmtId="0" fontId="60" fillId="0" borderId="114" applyAlignment="1" pivotButton="0" quotePrefix="0" xfId="0">
      <alignment horizontal="center" vertical="center"/>
    </xf>
    <xf numFmtId="0" fontId="14" fillId="19" borderId="72" applyAlignment="1" pivotButton="0" quotePrefix="0" xfId="0">
      <alignment horizontal="center" vertical="center" wrapText="1"/>
    </xf>
    <xf numFmtId="0" fontId="14" fillId="19" borderId="115" applyAlignment="1" pivotButton="0" quotePrefix="0" xfId="0">
      <alignment horizontal="center" vertical="center" wrapText="1"/>
    </xf>
    <xf numFmtId="0" fontId="14" fillId="19" borderId="81" applyAlignment="1" pivotButton="0" quotePrefix="0" xfId="0">
      <alignment horizontal="center" vertical="center" wrapText="1"/>
    </xf>
    <xf numFmtId="0" fontId="14" fillId="19" borderId="82" applyAlignment="1" pivotButton="0" quotePrefix="0" xfId="0">
      <alignment horizontal="center" vertical="center" wrapText="1"/>
    </xf>
    <xf numFmtId="0" fontId="14" fillId="19" borderId="116" applyAlignment="1" pivotButton="0" quotePrefix="0" xfId="0">
      <alignment horizontal="center" vertical="center" wrapText="1"/>
    </xf>
    <xf numFmtId="0" fontId="59" fillId="0" borderId="1" applyAlignment="1" pivotButton="0" quotePrefix="0" xfId="0">
      <alignment horizontal="center" vertical="center" wrapText="1"/>
    </xf>
    <xf numFmtId="0" fontId="57" fillId="2" borderId="32" applyAlignment="1" pivotButton="0" quotePrefix="0" xfId="0">
      <alignment horizontal="left" vertical="center" wrapText="1"/>
    </xf>
    <xf numFmtId="0" fontId="59" fillId="2" borderId="32" applyAlignment="1" pivotButton="0" quotePrefix="0" xfId="0">
      <alignment horizontal="center" vertical="center" wrapText="1"/>
    </xf>
    <xf numFmtId="0" fontId="60" fillId="0" borderId="117" applyAlignment="1" pivotButton="0" quotePrefix="0" xfId="0">
      <alignment horizontal="center" vertical="center"/>
    </xf>
    <xf numFmtId="0" fontId="6" fillId="19" borderId="29" applyAlignment="1" pivotButton="0" quotePrefix="0" xfId="0">
      <alignment horizontal="center" vertical="center"/>
    </xf>
    <xf numFmtId="1" fontId="25" fillId="0" borderId="114" applyAlignment="1" pivotButton="0" quotePrefix="0" xfId="0">
      <alignment horizontal="center" vertical="center"/>
    </xf>
    <xf numFmtId="0" fontId="5" fillId="19" borderId="118" applyAlignment="1" pivotButton="0" quotePrefix="0" xfId="0">
      <alignment horizontal="center" vertical="center" wrapText="1"/>
    </xf>
    <xf numFmtId="0" fontId="5" fillId="19" borderId="119" applyAlignment="1" pivotButton="0" quotePrefix="0" xfId="0">
      <alignment horizontal="center" vertical="center" wrapText="1"/>
    </xf>
    <xf numFmtId="0" fontId="5" fillId="19" borderId="109" applyAlignment="1" pivotButton="0" quotePrefix="0" xfId="0">
      <alignment horizontal="center" vertical="center" wrapText="1"/>
    </xf>
    <xf numFmtId="0" fontId="25" fillId="0" borderId="114" applyAlignment="1" pivotButton="0" quotePrefix="0" xfId="0">
      <alignment horizontal="center" vertical="center"/>
    </xf>
    <xf numFmtId="0" fontId="5" fillId="19" borderId="120" applyAlignment="1" pivotButton="0" quotePrefix="0" xfId="0">
      <alignment horizontal="center" vertical="center" wrapText="1"/>
    </xf>
    <xf numFmtId="0" fontId="5" fillId="19" borderId="121" applyAlignment="1" pivotButton="0" quotePrefix="0" xfId="0">
      <alignment horizontal="center" vertical="center" wrapText="1"/>
    </xf>
    <xf numFmtId="0" fontId="37" fillId="0" borderId="11" applyAlignment="1" pivotButton="0" quotePrefix="0" xfId="0">
      <alignment horizontal="left" vertical="center" wrapText="1"/>
    </xf>
    <xf numFmtId="0" fontId="26" fillId="0" borderId="11" applyAlignment="1" pivotButton="0" quotePrefix="0" xfId="0">
      <alignment horizontal="center" vertical="center" wrapText="1"/>
    </xf>
    <xf numFmtId="0" fontId="37" fillId="2" borderId="11" applyAlignment="1" pivotButton="0" quotePrefix="0" xfId="0">
      <alignment vertical="center" wrapText="1"/>
    </xf>
    <xf numFmtId="0" fontId="26" fillId="2" borderId="11" applyAlignment="1" pivotButton="0" quotePrefix="0" xfId="0">
      <alignment horizontal="center" vertical="center" wrapText="1"/>
    </xf>
    <xf numFmtId="0" fontId="37" fillId="0" borderId="11" applyAlignment="1" pivotButton="0" quotePrefix="0" xfId="0">
      <alignment vertical="center" wrapText="1"/>
    </xf>
    <xf numFmtId="165" fontId="11" fillId="0" borderId="11" applyAlignment="1" pivotButton="0" quotePrefix="0" xfId="0">
      <alignment horizontal="center" vertical="center" wrapText="1"/>
    </xf>
    <xf numFmtId="165" fontId="11" fillId="2" borderId="11" applyAlignment="1" pivotButton="0" quotePrefix="0" xfId="0">
      <alignment horizontal="center" vertical="center" wrapText="1"/>
    </xf>
    <xf numFmtId="0" fontId="37" fillId="0" borderId="1" applyAlignment="1" pivotButton="0" quotePrefix="0" xfId="0">
      <alignment vertical="center" wrapText="1"/>
    </xf>
    <xf numFmtId="164" fontId="11" fillId="0" borderId="1" applyAlignment="1" pivotButton="0" quotePrefix="0" xfId="0">
      <alignment horizontal="center" vertical="center" wrapText="1"/>
    </xf>
    <xf numFmtId="0" fontId="26" fillId="0" borderId="1" applyAlignment="1" pivotButton="0" quotePrefix="0" xfId="0">
      <alignment horizontal="center" vertical="center" wrapText="1"/>
    </xf>
    <xf numFmtId="0" fontId="35" fillId="2" borderId="32" applyAlignment="1" pivotButton="0" quotePrefix="0" xfId="0">
      <alignment vertical="center" wrapText="1"/>
    </xf>
    <xf numFmtId="1" fontId="11" fillId="2" borderId="32" applyAlignment="1" pivotButton="0" quotePrefix="0" xfId="0">
      <alignment horizontal="center" vertical="center" wrapText="1"/>
    </xf>
    <xf numFmtId="0" fontId="26" fillId="2" borderId="32" applyAlignment="1" pivotButton="0" quotePrefix="0" xfId="0">
      <alignment horizontal="center" vertical="center" wrapText="1"/>
    </xf>
    <xf numFmtId="0" fontId="37" fillId="2" borderId="1" applyAlignment="1" pivotButton="0" quotePrefix="0" xfId="0">
      <alignment vertical="center" wrapText="1"/>
    </xf>
    <xf numFmtId="165" fontId="11" fillId="2" borderId="1" applyAlignment="1" pivotButton="0" quotePrefix="0" xfId="0">
      <alignment horizontal="center" vertical="center" wrapText="1"/>
    </xf>
    <xf numFmtId="164" fontId="11" fillId="2" borderId="1" applyAlignment="1" pivotButton="0" quotePrefix="0" xfId="0">
      <alignment horizontal="center" vertical="center" wrapText="1"/>
    </xf>
    <xf numFmtId="0" fontId="26" fillId="2" borderId="1" applyAlignment="1" pivotButton="0" quotePrefix="0" xfId="0">
      <alignment horizontal="center" vertical="center" wrapText="1"/>
    </xf>
    <xf numFmtId="0" fontId="19" fillId="2" borderId="32" applyAlignment="1" pivotButton="0" quotePrefix="0" xfId="0">
      <alignment horizontal="left" vertical="center" wrapText="1"/>
    </xf>
    <xf numFmtId="165" fontId="11" fillId="2" borderId="32" applyAlignment="1" pivotButton="0" quotePrefix="0" xfId="0">
      <alignment horizontal="center" vertical="center" wrapText="1"/>
    </xf>
    <xf numFmtId="0" fontId="5" fillId="19" borderId="108" applyAlignment="1" pivotButton="0" quotePrefix="0" xfId="0">
      <alignment horizontal="center" vertical="center" wrapText="1"/>
    </xf>
    <xf numFmtId="0" fontId="19" fillId="0" borderId="32" applyAlignment="1" pivotButton="0" quotePrefix="0" xfId="0">
      <alignment vertical="center" wrapText="1"/>
    </xf>
    <xf numFmtId="0" fontId="26" fillId="0" borderId="32" applyAlignment="1" pivotButton="0" quotePrefix="0" xfId="0">
      <alignment horizontal="center" vertical="center" wrapText="1"/>
    </xf>
    <xf numFmtId="0" fontId="19" fillId="2" borderId="32" applyAlignment="1" pivotButton="0" quotePrefix="0" xfId="0">
      <alignment vertical="center" wrapText="1"/>
    </xf>
    <xf numFmtId="164" fontId="11" fillId="2" borderId="32" applyAlignment="1" pivotButton="0" quotePrefix="0" xfId="0">
      <alignment horizontal="center" vertical="center" wrapText="1"/>
    </xf>
    <xf numFmtId="0" fontId="37" fillId="0" borderId="11" applyAlignment="1" pivotButton="0" quotePrefix="0" xfId="0">
      <alignment horizontal="center" vertical="center" wrapText="1"/>
    </xf>
    <xf numFmtId="0" fontId="37" fillId="2" borderId="11" applyAlignment="1" pivotButton="0" quotePrefix="0" xfId="0">
      <alignment horizontal="center" vertical="center" wrapText="1"/>
    </xf>
    <xf numFmtId="0" fontId="16" fillId="0" borderId="11" applyAlignment="1" pivotButton="0" quotePrefix="0" xfId="0">
      <alignment horizontal="center" vertical="center"/>
    </xf>
    <xf numFmtId="0" fontId="37" fillId="0" borderId="1" applyAlignment="1" pivotButton="0" quotePrefix="0" xfId="0">
      <alignment horizontal="center" vertical="center" wrapText="1"/>
    </xf>
    <xf numFmtId="0" fontId="11" fillId="0" borderId="1" applyAlignment="1" pivotButton="0" quotePrefix="0" xfId="0">
      <alignment horizontal="center" vertical="center" wrapText="1"/>
    </xf>
    <xf numFmtId="0" fontId="35" fillId="0" borderId="32" applyAlignment="1" pivotButton="0" quotePrefix="0" xfId="0">
      <alignment horizontal="center" vertical="center" wrapText="1"/>
    </xf>
    <xf numFmtId="0" fontId="19" fillId="6" borderId="32" applyAlignment="1" pivotButton="0" quotePrefix="0" xfId="0">
      <alignment vertical="center" wrapText="1"/>
    </xf>
    <xf numFmtId="0" fontId="11" fillId="6" borderId="32" applyAlignment="1" pivotButton="0" quotePrefix="0" xfId="0">
      <alignment horizontal="center" vertical="center" wrapText="1"/>
    </xf>
    <xf numFmtId="1" fontId="11" fillId="0" borderId="32" applyAlignment="1" pivotButton="0" quotePrefix="0" xfId="0">
      <alignment horizontal="center" vertical="center" wrapText="1"/>
    </xf>
    <xf numFmtId="0" fontId="19" fillId="6" borderId="32" applyAlignment="1" pivotButton="0" quotePrefix="0" xfId="0">
      <alignment horizontal="center" vertical="center" wrapText="1"/>
    </xf>
    <xf numFmtId="0" fontId="6" fillId="0" borderId="32" applyAlignment="1" pivotButton="0" quotePrefix="0" xfId="0">
      <alignment horizontal="center" vertical="center"/>
    </xf>
    <xf numFmtId="0" fontId="5" fillId="14" borderId="20" applyAlignment="1" pivotButton="0" quotePrefix="0" xfId="0">
      <alignment vertical="center" wrapText="1"/>
    </xf>
    <xf numFmtId="0" fontId="19" fillId="19" borderId="32" applyAlignment="1" pivotButton="0" quotePrefix="0" xfId="0">
      <alignment vertical="center" wrapText="1"/>
    </xf>
    <xf numFmtId="0" fontId="11" fillId="19" borderId="32" applyAlignment="1" pivotButton="0" quotePrefix="0" xfId="0">
      <alignment horizontal="center" vertical="center" wrapText="1"/>
    </xf>
    <xf numFmtId="0" fontId="19" fillId="19" borderId="32" applyAlignment="1" pivotButton="0" quotePrefix="0" xfId="0">
      <alignment horizontal="center" vertical="center" wrapText="1"/>
    </xf>
    <xf numFmtId="0" fontId="11" fillId="2" borderId="11" applyAlignment="1" pivotButton="0" quotePrefix="0" xfId="0">
      <alignment horizontal="center" vertical="center" wrapText="1"/>
    </xf>
    <xf numFmtId="0" fontId="37" fillId="2" borderId="1" applyAlignment="1" pivotButton="0" quotePrefix="0" xfId="0">
      <alignment horizontal="center" vertical="center" wrapText="1"/>
    </xf>
    <xf numFmtId="0" fontId="11" fillId="2" borderId="1" applyAlignment="1" pivotButton="0" quotePrefix="0" xfId="0">
      <alignment horizontal="center" vertical="center" wrapText="1"/>
    </xf>
    <xf numFmtId="0" fontId="6" fillId="19" borderId="120" applyAlignment="1" pivotButton="0" quotePrefix="0" xfId="0">
      <alignment horizontal="center" vertical="center"/>
    </xf>
    <xf numFmtId="0" fontId="37" fillId="19" borderId="11" applyAlignment="1" pivotButton="0" quotePrefix="0" xfId="0">
      <alignment horizontal="center" vertical="center" wrapText="1"/>
    </xf>
    <xf numFmtId="0" fontId="11" fillId="0" borderId="32" applyAlignment="1" pivotButton="0" quotePrefix="0" xfId="0">
      <alignment horizontal="center" vertical="center" wrapText="1"/>
    </xf>
    <xf numFmtId="0" fontId="5" fillId="6" borderId="32" applyAlignment="1" pivotButton="0" quotePrefix="0" xfId="0">
      <alignment horizontal="center" vertical="center" wrapText="1"/>
    </xf>
    <xf numFmtId="0" fontId="26" fillId="6" borderId="32" applyAlignment="1" pivotButton="0" quotePrefix="0" xfId="0">
      <alignment horizontal="center" vertical="center" wrapText="1"/>
    </xf>
    <xf numFmtId="0" fontId="5" fillId="7" borderId="19" applyAlignment="1" pivotButton="0" quotePrefix="0" xfId="0">
      <alignment vertical="center" wrapText="1"/>
    </xf>
    <xf numFmtId="0" fontId="3" fillId="19" borderId="11" applyAlignment="1" pivotButton="0" quotePrefix="0" xfId="0">
      <alignment horizontal="center" vertical="center" wrapText="1"/>
    </xf>
    <xf numFmtId="0" fontId="3" fillId="19" borderId="1" applyAlignment="1" pivotButton="0" quotePrefix="0" xfId="0">
      <alignment horizontal="center" vertical="center" wrapText="1"/>
    </xf>
    <xf numFmtId="0" fontId="35" fillId="0" borderId="38" applyAlignment="1" pivotButton="0" quotePrefix="0" xfId="0">
      <alignment horizontal="center" vertical="center" wrapText="1"/>
    </xf>
    <xf numFmtId="0" fontId="11" fillId="0" borderId="38" applyAlignment="1" pivotButton="0" quotePrefix="0" xfId="0">
      <alignment horizontal="center" vertical="center" wrapText="1"/>
    </xf>
    <xf numFmtId="0" fontId="17" fillId="0" borderId="38" applyAlignment="1" pivotButton="0" quotePrefix="0" xfId="0">
      <alignment horizontal="center" vertical="center"/>
    </xf>
    <xf numFmtId="0" fontId="20" fillId="6" borderId="32" applyAlignment="1" pivotButton="0" quotePrefix="0" xfId="0">
      <alignment vertical="center" wrapText="1"/>
    </xf>
    <xf numFmtId="0" fontId="3" fillId="19" borderId="32" applyAlignment="1" pivotButton="0" quotePrefix="0" xfId="0">
      <alignment horizontal="center" vertical="center" wrapText="1"/>
    </xf>
    <xf numFmtId="0" fontId="19" fillId="6" borderId="38" applyAlignment="1" pivotButton="0" quotePrefix="0" xfId="0">
      <alignment vertical="center" wrapText="1"/>
    </xf>
    <xf numFmtId="0" fontId="26" fillId="6" borderId="38" applyAlignment="1" pivotButton="0" quotePrefix="0" xfId="0">
      <alignment horizontal="center" vertical="center" wrapText="1"/>
    </xf>
    <xf numFmtId="164" fontId="11" fillId="6" borderId="32" applyAlignment="1" pivotButton="0" quotePrefix="0" xfId="0">
      <alignment horizontal="center" vertical="center" wrapText="1"/>
    </xf>
    <xf numFmtId="0" fontId="37" fillId="6" borderId="38" applyAlignment="1" pivotButton="0" quotePrefix="0" xfId="0">
      <alignment vertical="center" wrapText="1"/>
    </xf>
    <xf numFmtId="0" fontId="37" fillId="6" borderId="32" applyAlignment="1" pivotButton="0" quotePrefix="0" xfId="0">
      <alignment vertical="center" wrapText="1"/>
    </xf>
    <xf numFmtId="0" fontId="0" fillId="0" borderId="6" pivotButton="0" quotePrefix="0" xfId="0"/>
    <xf numFmtId="0" fontId="5" fillId="15" borderId="19" applyAlignment="1" pivotButton="0" quotePrefix="0" xfId="0">
      <alignment vertical="center" wrapText="1"/>
    </xf>
    <xf numFmtId="2" fontId="11" fillId="0" borderId="11" applyAlignment="1" pivotButton="0" quotePrefix="0" xfId="0">
      <alignment horizontal="center" vertical="center" wrapText="1"/>
    </xf>
    <xf numFmtId="0" fontId="13" fillId="9" borderId="63" applyAlignment="1" pivotButton="0" quotePrefix="0" xfId="0">
      <alignment vertical="center"/>
    </xf>
    <xf numFmtId="0" fontId="13" fillId="20" borderId="21" applyAlignment="1" pivotButton="0" quotePrefix="0" xfId="0">
      <alignment vertical="center"/>
    </xf>
    <xf numFmtId="0" fontId="35" fillId="2" borderId="32" applyAlignment="1" pivotButton="0" quotePrefix="0" xfId="0">
      <alignment horizontal="center" vertical="center" wrapText="1"/>
    </xf>
    <xf numFmtId="0" fontId="11" fillId="2" borderId="32" applyAlignment="1" pivotButton="0" quotePrefix="0" xfId="0">
      <alignment horizontal="center" vertical="center" wrapText="1"/>
    </xf>
    <xf numFmtId="0" fontId="13" fillId="22" borderId="21" applyAlignment="1" pivotButton="0" quotePrefix="0" xfId="0">
      <alignment vertical="center"/>
    </xf>
    <xf numFmtId="0" fontId="31" fillId="16" borderId="19" applyAlignment="1" pivotButton="0" quotePrefix="0" xfId="0">
      <alignment vertical="center" wrapText="1"/>
    </xf>
    <xf numFmtId="0" fontId="6" fillId="0" borderId="72" applyAlignment="1" pivotButton="0" quotePrefix="0" xfId="0">
      <alignment vertical="center"/>
    </xf>
    <xf numFmtId="0" fontId="6" fillId="0" borderId="11" applyAlignment="1" pivotButton="0" quotePrefix="0" xfId="0">
      <alignment vertical="center"/>
    </xf>
    <xf numFmtId="2" fontId="16" fillId="0" borderId="11" applyAlignment="1" pivotButton="0" quotePrefix="0" xfId="0">
      <alignment horizontal="center" vertical="center"/>
    </xf>
    <xf numFmtId="0" fontId="6" fillId="2" borderId="72" applyAlignment="1" pivotButton="0" quotePrefix="0" xfId="0">
      <alignment vertical="center"/>
    </xf>
    <xf numFmtId="0" fontId="16" fillId="2" borderId="11" applyAlignment="1" pivotButton="0" quotePrefix="0" xfId="0">
      <alignment horizontal="center" vertical="center"/>
    </xf>
    <xf numFmtId="0" fontId="6" fillId="2" borderId="11" applyAlignment="1" pivotButton="0" quotePrefix="0" xfId="0">
      <alignment vertical="center"/>
    </xf>
    <xf numFmtId="2" fontId="16" fillId="2" borderId="11" applyAlignment="1" pivotButton="0" quotePrefix="0" xfId="0">
      <alignment horizontal="center" vertical="center"/>
    </xf>
    <xf numFmtId="164" fontId="16" fillId="2" borderId="11" applyAlignment="1" pivotButton="0" quotePrefix="0" xfId="0">
      <alignment horizontal="center" vertical="center"/>
    </xf>
    <xf numFmtId="0" fontId="17" fillId="2" borderId="62" applyAlignment="1" pivotButton="0" quotePrefix="0" xfId="0">
      <alignment horizontal="center" vertical="center"/>
    </xf>
    <xf numFmtId="166" fontId="25" fillId="0" borderId="114" applyAlignment="1" pivotButton="0" quotePrefix="0" xfId="0">
      <alignment horizontal="center" vertical="center"/>
    </xf>
    <xf numFmtId="20" fontId="37" fillId="2" borderId="11" applyAlignment="1" pivotButton="0" quotePrefix="0" xfId="0">
      <alignment horizontal="center" vertical="center" wrapText="1"/>
    </xf>
    <xf numFmtId="0" fontId="9" fillId="16" borderId="19" applyAlignment="1" pivotButton="0" quotePrefix="0" xfId="0">
      <alignment vertical="center" wrapText="1"/>
    </xf>
    <xf numFmtId="0" fontId="12" fillId="17" borderId="60" applyAlignment="1" pivotButton="0" quotePrefix="0" xfId="0">
      <alignment vertical="center" wrapText="1"/>
    </xf>
    <xf numFmtId="0" fontId="6" fillId="2" borderId="32" applyAlignment="1" pivotButton="0" quotePrefix="0" xfId="0">
      <alignment horizontal="center" vertical="center"/>
    </xf>
    <xf numFmtId="0" fontId="12" fillId="18" borderId="0" applyAlignment="1" pivotButton="0" quotePrefix="0" xfId="0">
      <alignment vertical="center" wrapText="1"/>
    </xf>
    <xf numFmtId="0" fontId="31" fillId="15" borderId="19" applyAlignment="1" pivotButton="0" quotePrefix="0" xfId="0">
      <alignment vertical="center" wrapText="1"/>
    </xf>
    <xf numFmtId="0" fontId="31" fillId="18" borderId="19" applyAlignment="1" pivotButton="0" quotePrefix="0" xfId="0">
      <alignment vertical="center" wrapText="1"/>
    </xf>
    <xf numFmtId="0" fontId="31" fillId="18" borderId="20" applyAlignment="1" pivotButton="0" quotePrefix="0" xfId="0">
      <alignment vertical="center" wrapText="1"/>
    </xf>
    <xf numFmtId="0" fontId="12" fillId="10" borderId="0" applyAlignment="1" pivotButton="0" quotePrefix="0" xfId="0">
      <alignment vertical="center" wrapText="1"/>
    </xf>
    <xf numFmtId="0" fontId="19" fillId="2" borderId="46" applyAlignment="1" pivotButton="0" quotePrefix="0" xfId="0">
      <alignment horizontal="center" vertical="center" wrapText="1"/>
    </xf>
    <xf numFmtId="0" fontId="35" fillId="2" borderId="13" applyAlignment="1" pivotButton="0" quotePrefix="0" xfId="0">
      <alignment horizontal="center" vertical="center" wrapText="1"/>
    </xf>
    <xf numFmtId="0" fontId="11" fillId="2" borderId="13" applyAlignment="1" pivotButton="0" quotePrefix="0" xfId="0">
      <alignment horizontal="center" vertical="center" wrapText="1"/>
    </xf>
    <xf numFmtId="0" fontId="17" fillId="2" borderId="17" applyAlignment="1" pivotButton="0" quotePrefix="0" xfId="0">
      <alignment horizontal="center" vertical="center"/>
    </xf>
    <xf numFmtId="0" fontId="42" fillId="31" borderId="11" applyAlignment="1" pivotButton="0" quotePrefix="0" xfId="0">
      <alignment horizontal="center" vertical="center" wrapText="1"/>
    </xf>
    <xf numFmtId="2" fontId="11" fillId="6" borderId="32" applyAlignment="1" pivotButton="0" quotePrefix="0" xfId="0">
      <alignment horizontal="center" vertical="center" wrapText="1"/>
    </xf>
    <xf numFmtId="0" fontId="14" fillId="19" borderId="14" applyAlignment="1" pivotButton="0" quotePrefix="0" xfId="0">
      <alignment horizontal="center" vertical="center" wrapText="1"/>
    </xf>
    <xf numFmtId="0" fontId="14" fillId="19" borderId="29" applyAlignment="1" pivotButton="0" quotePrefix="0" xfId="0">
      <alignment horizontal="center" vertical="center" wrapText="1"/>
    </xf>
    <xf numFmtId="20" fontId="6" fillId="0" borderId="0" applyAlignment="1" pivotButton="0" quotePrefix="0" xfId="0">
      <alignment vertical="center"/>
    </xf>
    <xf numFmtId="0" fontId="11" fillId="0" borderId="122" applyAlignment="1" applyProtection="1" pivotButton="0" quotePrefix="0" xfId="0">
      <alignment horizontal="center" vertical="center" wrapText="1"/>
      <protection locked="0" hidden="0"/>
    </xf>
    <xf numFmtId="0" fontId="10" fillId="0" borderId="122" pivotButton="0" quotePrefix="0" xfId="0"/>
    <xf numFmtId="164" fontId="0" fillId="0" borderId="0" pivotButton="0" quotePrefix="0" xfId="0"/>
    <xf numFmtId="2" fontId="11" fillId="2" borderId="11" applyAlignment="1" pivotButton="0" quotePrefix="0" xfId="0">
      <alignment horizontal="center" vertical="center" wrapText="1"/>
    </xf>
    <xf numFmtId="2" fontId="11" fillId="19" borderId="32" applyAlignment="1" pivotButton="0" quotePrefix="0" xfId="0">
      <alignment horizontal="center" vertical="center" wrapText="1"/>
    </xf>
    <xf numFmtId="2" fontId="11" fillId="5" borderId="123" applyAlignment="1" pivotButton="0" quotePrefix="0" xfId="0">
      <alignment horizontal="center" vertical="center" wrapText="1"/>
    </xf>
    <xf numFmtId="2" fontId="5" fillId="5" borderId="123" applyAlignment="1" pivotButton="0" quotePrefix="0" xfId="0">
      <alignment horizontal="center" vertical="center" wrapText="1"/>
    </xf>
    <xf numFmtId="2" fontId="5" fillId="5" borderId="124" applyAlignment="1" pivotButton="0" quotePrefix="0" xfId="0">
      <alignment horizontal="center" vertical="center" wrapText="1"/>
    </xf>
    <xf numFmtId="164" fontId="5" fillId="2" borderId="11" applyAlignment="1" pivotButton="0" quotePrefix="0" xfId="0">
      <alignment horizontal="center" vertical="center" wrapText="1"/>
    </xf>
    <xf numFmtId="164" fontId="5" fillId="0" borderId="11" applyAlignment="1" pivotButton="0" quotePrefix="0" xfId="0">
      <alignment horizontal="center" vertical="center" wrapText="1"/>
    </xf>
    <xf numFmtId="165" fontId="5" fillId="2" borderId="11" applyAlignment="1" pivotButton="0" quotePrefix="0" xfId="0">
      <alignment horizontal="center" vertical="center" wrapText="1"/>
    </xf>
    <xf numFmtId="164" fontId="5" fillId="2" borderId="1" applyAlignment="1" pivotButton="0" quotePrefix="0" xfId="0">
      <alignment horizontal="center" vertical="center" wrapText="1"/>
    </xf>
    <xf numFmtId="0" fontId="63" fillId="2" borderId="11" applyAlignment="1" pivotButton="0" quotePrefix="0" xfId="0">
      <alignment horizontal="center" vertical="center" wrapText="1"/>
    </xf>
    <xf numFmtId="0" fontId="63" fillId="0" borderId="11" applyAlignment="1" pivotButton="0" quotePrefix="0" xfId="0">
      <alignment horizontal="center" vertical="center" wrapText="1"/>
    </xf>
    <xf numFmtId="0" fontId="63" fillId="2" borderId="1" applyAlignment="1" pivotButton="0" quotePrefix="0" xfId="0">
      <alignment horizontal="center" vertical="center" wrapText="1"/>
    </xf>
    <xf numFmtId="0" fontId="5" fillId="32" borderId="11" applyAlignment="1" pivotButton="0" quotePrefix="0" xfId="0">
      <alignment horizontal="center" vertical="center" wrapText="1"/>
    </xf>
    <xf numFmtId="0" fontId="5" fillId="32" borderId="11" applyAlignment="1" pivotButton="0" quotePrefix="0" xfId="0">
      <alignment horizontal="center"/>
    </xf>
    <xf numFmtId="2" fontId="11" fillId="32" borderId="11" pivotButton="0" quotePrefix="0" xfId="0"/>
    <xf numFmtId="1" fontId="0" fillId="0" borderId="0" pivotButton="0" quotePrefix="0" xfId="0"/>
    <xf numFmtId="0" fontId="19" fillId="19" borderId="1" applyAlignment="1" pivotButton="0" quotePrefix="0" xfId="0">
      <alignment vertical="center" wrapText="1"/>
    </xf>
    <xf numFmtId="2" fontId="11" fillId="5" borderId="126" applyAlignment="1" pivotButton="0" quotePrefix="0" xfId="0">
      <alignment horizontal="center" vertical="center" wrapText="1"/>
    </xf>
    <xf numFmtId="2" fontId="5" fillId="5" borderId="126" applyAlignment="1" pivotButton="0" quotePrefix="0" xfId="0">
      <alignment horizontal="center" vertical="center" wrapText="1"/>
    </xf>
    <xf numFmtId="2" fontId="11" fillId="19" borderId="38" applyAlignment="1" pivotButton="0" quotePrefix="0" xfId="0">
      <alignment horizontal="center" vertical="center" wrapText="1"/>
    </xf>
    <xf numFmtId="0" fontId="5" fillId="32" borderId="125" applyAlignment="1" pivotButton="0" quotePrefix="0" xfId="0">
      <alignment horizontal="center" vertical="center" wrapText="1"/>
    </xf>
    <xf numFmtId="0" fontId="5" fillId="32" borderId="125" applyAlignment="1" pivotButton="0" quotePrefix="0" xfId="0">
      <alignment horizontal="center"/>
    </xf>
    <xf numFmtId="2" fontId="11" fillId="32" borderId="125" pivotButton="0" quotePrefix="0" xfId="0"/>
    <xf numFmtId="2" fontId="11" fillId="0" borderId="127" pivotButton="0" quotePrefix="0" xfId="0"/>
    <xf numFmtId="2" fontId="11" fillId="0" borderId="128" pivotButton="0" quotePrefix="0" xfId="0"/>
    <xf numFmtId="2" fontId="11" fillId="0" borderId="4" pivotButton="0" quotePrefix="0" xfId="0"/>
    <xf numFmtId="2" fontId="11" fillId="0" borderId="0" pivotButton="0" quotePrefix="0" xfId="0"/>
    <xf numFmtId="166" fontId="11" fillId="19" borderId="32" applyAlignment="1" pivotButton="0" quotePrefix="0" xfId="0">
      <alignment horizontal="center" vertical="center" wrapText="1"/>
    </xf>
    <xf numFmtId="0" fontId="6" fillId="0" borderId="11" applyAlignment="1" pivotButton="0" quotePrefix="0" xfId="0">
      <alignment vertical="center" wrapText="1"/>
    </xf>
    <xf numFmtId="164" fontId="16" fillId="0" borderId="11" applyAlignment="1" pivotButton="0" quotePrefix="0" xfId="0">
      <alignment horizontal="center" vertical="center" wrapText="1"/>
    </xf>
    <xf numFmtId="2" fontId="0" fillId="0" borderId="11" pivotButton="0" quotePrefix="0" xfId="0"/>
    <xf numFmtId="2" fontId="0" fillId="2" borderId="11" pivotButton="0" quotePrefix="0" xfId="0"/>
    <xf numFmtId="0" fontId="64" fillId="0" borderId="0" applyAlignment="1" pivotButton="0" quotePrefix="0" xfId="0">
      <alignment horizontal="center"/>
    </xf>
    <xf numFmtId="0" fontId="16" fillId="0" borderId="130" applyAlignment="1" pivotButton="0" quotePrefix="0" xfId="0">
      <alignment horizontal="center" vertical="center"/>
    </xf>
    <xf numFmtId="0" fontId="16" fillId="0" borderId="129" applyAlignment="1" pivotButton="0" quotePrefix="0" xfId="0">
      <alignment horizontal="center" vertical="center"/>
    </xf>
    <xf numFmtId="0" fontId="41" fillId="0" borderId="74" applyAlignment="1" pivotButton="0" quotePrefix="0" xfId="0">
      <alignment horizontal="center" vertical="center" wrapText="1"/>
    </xf>
    <xf numFmtId="1" fontId="4" fillId="0" borderId="93" applyAlignment="1" pivotButton="0" quotePrefix="0" xfId="0">
      <alignment horizontal="center"/>
    </xf>
    <xf numFmtId="1" fontId="4" fillId="0" borderId="60" applyAlignment="1" pivotButton="0" quotePrefix="0" xfId="0">
      <alignment horizontal="center"/>
    </xf>
    <xf numFmtId="0" fontId="4" fillId="16" borderId="83" applyAlignment="1" pivotButton="0" quotePrefix="0" xfId="0">
      <alignment horizontal="center"/>
    </xf>
    <xf numFmtId="1" fontId="4" fillId="16" borderId="93" applyAlignment="1" pivotButton="0" quotePrefix="0" xfId="0">
      <alignment horizontal="center"/>
    </xf>
    <xf numFmtId="0" fontId="4" fillId="16" borderId="49" applyAlignment="1" pivotButton="0" quotePrefix="0" xfId="0">
      <alignment horizontal="center"/>
    </xf>
    <xf numFmtId="0" fontId="3" fillId="0" borderId="58" applyAlignment="1" pivotButton="0" quotePrefix="0" xfId="0">
      <alignment horizontal="center" vertical="center" wrapText="1"/>
    </xf>
    <xf numFmtId="0" fontId="2" fillId="0" borderId="0" applyAlignment="1" pivotButton="0" quotePrefix="0" xfId="0">
      <alignment wrapText="1"/>
    </xf>
    <xf numFmtId="0" fontId="2" fillId="19" borderId="25" applyAlignment="1" pivotButton="0" quotePrefix="0" xfId="0">
      <alignment horizontal="center" vertical="center"/>
    </xf>
    <xf numFmtId="0" fontId="3" fillId="0" borderId="46" applyAlignment="1" pivotButton="0" quotePrefix="0" xfId="0">
      <alignment horizontal="center" vertical="center" wrapText="1"/>
    </xf>
    <xf numFmtId="0" fontId="7" fillId="0" borderId="34" applyAlignment="1" pivotButton="0" quotePrefix="0" xfId="0">
      <alignment horizontal="center" vertical="center" wrapText="1"/>
    </xf>
    <xf numFmtId="0" fontId="7" fillId="0" borderId="34" applyAlignment="1" pivotButton="0" quotePrefix="0" xfId="0">
      <alignment horizontal="center" vertical="center"/>
    </xf>
    <xf numFmtId="0" fontId="7" fillId="0" borderId="47" applyAlignment="1" pivotButton="0" quotePrefix="0" xfId="0">
      <alignment horizontal="center" vertical="center"/>
    </xf>
    <xf numFmtId="0" fontId="22" fillId="0" borderId="134" applyAlignment="1" pivotButton="0" quotePrefix="0" xfId="0">
      <alignment horizontal="center" vertical="center"/>
    </xf>
    <xf numFmtId="0" fontId="38" fillId="0" borderId="135" applyAlignment="1" pivotButton="0" quotePrefix="0" xfId="0">
      <alignment vertical="center" wrapText="1"/>
    </xf>
    <xf numFmtId="0" fontId="8" fillId="0" borderId="5" applyAlignment="1" pivotButton="0" quotePrefix="0" xfId="0">
      <alignment horizontal="center" vertical="center"/>
    </xf>
    <xf numFmtId="2" fontId="2" fillId="0" borderId="136" applyAlignment="1" pivotButton="0" quotePrefix="0" xfId="0">
      <alignment horizontal="center" vertical="center"/>
    </xf>
    <xf numFmtId="0" fontId="2" fillId="0" borderId="137" applyAlignment="1" pivotButton="0" quotePrefix="0" xfId="0">
      <alignment horizontal="center" vertical="center"/>
    </xf>
    <xf numFmtId="0" fontId="7" fillId="19" borderId="96" applyAlignment="1" pivotButton="0" quotePrefix="0" xfId="0">
      <alignment horizontal="center" vertical="center"/>
    </xf>
    <xf numFmtId="0" fontId="38" fillId="2" borderId="138" applyAlignment="1" pivotButton="0" quotePrefix="0" xfId="0">
      <alignment vertical="center" wrapText="1"/>
    </xf>
    <xf numFmtId="2" fontId="8" fillId="2" borderId="11" applyAlignment="1" pivotButton="0" quotePrefix="0" xfId="0">
      <alignment horizontal="center" vertical="center"/>
    </xf>
    <xf numFmtId="2" fontId="8" fillId="2" borderId="11" applyAlignment="1" pivotButton="0" quotePrefix="0" xfId="0">
      <alignment horizontal="center" vertical="center" wrapText="1"/>
    </xf>
    <xf numFmtId="0" fontId="8" fillId="2" borderId="11" applyAlignment="1" pivotButton="0" quotePrefix="0" xfId="0">
      <alignment horizontal="center" vertical="center"/>
    </xf>
    <xf numFmtId="0" fontId="2" fillId="2" borderId="49" applyAlignment="1" pivotButton="0" quotePrefix="0" xfId="0">
      <alignment horizontal="center" vertical="center"/>
    </xf>
    <xf numFmtId="0" fontId="8" fillId="0" borderId="140" applyAlignment="1" pivotButton="0" quotePrefix="0" xfId="0">
      <alignment horizontal="center" vertical="center"/>
    </xf>
    <xf numFmtId="2" fontId="2" fillId="0" borderId="141" applyAlignment="1" pivotButton="0" quotePrefix="0" xfId="0">
      <alignment horizontal="center" vertical="center"/>
    </xf>
    <xf numFmtId="0" fontId="38" fillId="0" borderId="139" applyAlignment="1" pivotButton="0" quotePrefix="0" xfId="0">
      <alignment vertical="center" wrapText="1"/>
    </xf>
    <xf numFmtId="0" fontId="2" fillId="0" borderId="50" applyAlignment="1" pivotButton="0" quotePrefix="0" xfId="0">
      <alignment horizontal="center" vertical="center"/>
    </xf>
    <xf numFmtId="0" fontId="7" fillId="19" borderId="142" applyAlignment="1" pivotButton="0" quotePrefix="0" xfId="0">
      <alignment horizontal="center" vertical="center"/>
    </xf>
    <xf numFmtId="0" fontId="38" fillId="2" borderId="135" applyAlignment="1" pivotButton="0" quotePrefix="0" xfId="0">
      <alignment vertical="center" wrapText="1"/>
    </xf>
    <xf numFmtId="2" fontId="2" fillId="2" borderId="136" applyAlignment="1" pivotButton="0" quotePrefix="0" xfId="0">
      <alignment horizontal="center" vertical="center"/>
    </xf>
    <xf numFmtId="2" fontId="8" fillId="2" borderId="5" applyAlignment="1" pivotButton="0" quotePrefix="0" xfId="0">
      <alignment horizontal="center" vertical="center"/>
    </xf>
    <xf numFmtId="0" fontId="8" fillId="2" borderId="5" applyAlignment="1" pivotButton="0" quotePrefix="0" xfId="0">
      <alignment horizontal="center" vertical="center"/>
    </xf>
    <xf numFmtId="0" fontId="2" fillId="2" borderId="143" applyAlignment="1" pivotButton="0" quotePrefix="0" xfId="0">
      <alignment horizontal="center" vertical="center"/>
    </xf>
    <xf numFmtId="0" fontId="7" fillId="19" borderId="144" applyAlignment="1" pivotButton="0" quotePrefix="0" xfId="0">
      <alignment horizontal="center" vertical="center"/>
    </xf>
    <xf numFmtId="0" fontId="38" fillId="0" borderId="138" applyAlignment="1" pivotButton="0" quotePrefix="0" xfId="0">
      <alignment vertical="center" wrapText="1"/>
    </xf>
    <xf numFmtId="0" fontId="2" fillId="0" borderId="11" applyAlignment="1" pivotButton="0" quotePrefix="0" xfId="0">
      <alignment horizontal="center" vertical="center"/>
    </xf>
    <xf numFmtId="2" fontId="8" fillId="0" borderId="11" applyAlignment="1" pivotButton="0" quotePrefix="0" xfId="0">
      <alignment horizontal="center" vertical="center"/>
    </xf>
    <xf numFmtId="0" fontId="8" fillId="0" borderId="11" applyAlignment="1" pivotButton="0" quotePrefix="0" xfId="0">
      <alignment horizontal="center" vertical="center"/>
    </xf>
    <xf numFmtId="0" fontId="2" fillId="2" borderId="11" applyAlignment="1" pivotButton="0" quotePrefix="0" xfId="0">
      <alignment horizontal="center" vertical="center"/>
    </xf>
    <xf numFmtId="0" fontId="2" fillId="0" borderId="88" applyAlignment="1" pivotButton="0" quotePrefix="0" xfId="0">
      <alignment vertical="top" wrapText="1"/>
    </xf>
    <xf numFmtId="0" fontId="2" fillId="0" borderId="88" pivotButton="0" quotePrefix="0" xfId="0"/>
    <xf numFmtId="0" fontId="2" fillId="19" borderId="48" applyAlignment="1" pivotButton="0" quotePrefix="0" xfId="0">
      <alignment horizontal="center" vertical="center"/>
    </xf>
    <xf numFmtId="0" fontId="38" fillId="2" borderId="138" applyAlignment="1" pivotButton="0" quotePrefix="0" xfId="0">
      <alignment horizontal="left" vertical="center" wrapText="1"/>
    </xf>
    <xf numFmtId="0" fontId="22" fillId="21" borderId="134" applyAlignment="1" pivotButton="0" quotePrefix="0" xfId="0">
      <alignment horizontal="center" vertical="center"/>
    </xf>
    <xf numFmtId="0" fontId="38" fillId="0" borderId="139" applyAlignment="1" pivotButton="0" quotePrefix="0" xfId="0">
      <alignment horizontal="left" vertical="center" wrapText="1"/>
    </xf>
    <xf numFmtId="0" fontId="2" fillId="0" borderId="140" applyAlignment="1" pivotButton="0" quotePrefix="0" xfId="0">
      <alignment horizontal="center" vertical="center"/>
    </xf>
    <xf numFmtId="0" fontId="7" fillId="19" borderId="4" applyAlignment="1" pivotButton="0" quotePrefix="0" xfId="0">
      <alignment horizontal="center" vertical="center"/>
    </xf>
    <xf numFmtId="0" fontId="39" fillId="2" borderId="135" applyAlignment="1" pivotButton="0" quotePrefix="0" xfId="0">
      <alignment horizontal="left" vertical="center" wrapText="1"/>
    </xf>
    <xf numFmtId="0" fontId="2" fillId="2" borderId="5" applyAlignment="1" pivotButton="0" quotePrefix="0" xfId="0">
      <alignment horizontal="center" vertical="center"/>
    </xf>
    <xf numFmtId="0" fontId="7" fillId="19" borderId="146" applyAlignment="1" pivotButton="0" quotePrefix="0" xfId="0">
      <alignment horizontal="center" vertical="center"/>
    </xf>
    <xf numFmtId="166" fontId="7" fillId="0" borderId="47" applyAlignment="1" pivotButton="0" quotePrefix="0" xfId="0">
      <alignment horizontal="center" vertical="center"/>
    </xf>
    <xf numFmtId="0" fontId="3" fillId="0" borderId="0" applyAlignment="1" pivotButton="0" quotePrefix="0" xfId="0">
      <alignment vertical="center" wrapText="1"/>
    </xf>
    <xf numFmtId="0" fontId="39" fillId="2" borderId="88" applyAlignment="1" pivotButton="0" quotePrefix="0" xfId="0">
      <alignment horizontal="center" vertical="center"/>
    </xf>
    <xf numFmtId="0" fontId="2" fillId="2" borderId="0" applyAlignment="1" pivotButton="0" quotePrefix="0" xfId="0">
      <alignment horizontal="center" vertical="center"/>
    </xf>
    <xf numFmtId="0" fontId="17" fillId="2" borderId="0" applyAlignment="1" pivotButton="0" quotePrefix="0" xfId="0">
      <alignment horizontal="center" vertical="center"/>
    </xf>
    <xf numFmtId="0" fontId="7" fillId="19" borderId="0" applyAlignment="1" pivotButton="0" quotePrefix="0" xfId="0">
      <alignment horizontal="center" vertical="center"/>
    </xf>
    <xf numFmtId="0" fontId="65" fillId="2" borderId="135" applyAlignment="1" pivotButton="0" quotePrefix="0" xfId="0">
      <alignment vertical="center" wrapText="1"/>
    </xf>
    <xf numFmtId="2" fontId="8" fillId="2" borderId="5" applyAlignment="1" pivotButton="0" quotePrefix="0" xfId="0">
      <alignment horizontal="center" vertical="center" wrapText="1"/>
    </xf>
    <xf numFmtId="0" fontId="8" fillId="2" borderId="71" applyAlignment="1" pivotButton="0" quotePrefix="0" xfId="0">
      <alignment horizontal="center" vertical="center"/>
    </xf>
    <xf numFmtId="0" fontId="65" fillId="2" borderId="138" applyAlignment="1" pivotButton="0" quotePrefix="0" xfId="0">
      <alignment vertical="center" wrapText="1"/>
    </xf>
    <xf numFmtId="0" fontId="65" fillId="0" borderId="138" applyAlignment="1" pivotButton="0" quotePrefix="0" xfId="0">
      <alignment vertical="center" wrapText="1"/>
    </xf>
    <xf numFmtId="2" fontId="8" fillId="0" borderId="11" applyAlignment="1" pivotButton="0" quotePrefix="0" xfId="0">
      <alignment horizontal="center" vertical="center" wrapText="1"/>
    </xf>
    <xf numFmtId="0" fontId="65" fillId="2" borderId="147" applyAlignment="1" pivotButton="0" quotePrefix="0" xfId="0">
      <alignment vertical="center" wrapText="1"/>
    </xf>
    <xf numFmtId="2" fontId="2" fillId="2" borderId="1" applyAlignment="1" pivotButton="0" quotePrefix="0" xfId="0">
      <alignment horizontal="center" vertical="center"/>
    </xf>
    <xf numFmtId="2" fontId="8" fillId="2" borderId="1" applyAlignment="1" pivotButton="0" quotePrefix="0" xfId="0">
      <alignment horizontal="center" vertical="center" wrapText="1"/>
    </xf>
    <xf numFmtId="0" fontId="2" fillId="2" borderId="25" applyAlignment="1" pivotButton="0" quotePrefix="0" xfId="0">
      <alignment horizontal="center" vertical="center"/>
    </xf>
    <xf numFmtId="2" fontId="7" fillId="0" borderId="34" applyAlignment="1" pivotButton="0" quotePrefix="0" xfId="0">
      <alignment horizontal="center" vertical="center"/>
    </xf>
    <xf numFmtId="0" fontId="2" fillId="0" borderId="89" pivotButton="0" quotePrefix="0" xfId="0"/>
    <xf numFmtId="0" fontId="2" fillId="0" borderId="55" pivotButton="0" quotePrefix="0" xfId="0"/>
    <xf numFmtId="0" fontId="17" fillId="0" borderId="55" pivotButton="0" quotePrefix="0" xfId="0"/>
    <xf numFmtId="166" fontId="7" fillId="0" borderId="0" applyAlignment="1" pivotButton="0" quotePrefix="0" xfId="0">
      <alignment horizontal="center" vertical="center"/>
    </xf>
    <xf numFmtId="0" fontId="3" fillId="0" borderId="34" applyAlignment="1" applyProtection="1" pivotButton="0" quotePrefix="0" xfId="0">
      <alignment horizontal="center" vertical="center" wrapText="1"/>
      <protection locked="0" hidden="0"/>
    </xf>
    <xf numFmtId="0" fontId="7" fillId="0" borderId="60" applyAlignment="1" pivotButton="0" quotePrefix="0" xfId="0">
      <alignment horizontal="center" vertical="center"/>
    </xf>
    <xf numFmtId="0" fontId="38" fillId="0" borderId="135" applyAlignment="1" pivotButton="0" quotePrefix="0" xfId="0">
      <alignment horizontal="left" vertical="center" wrapText="1"/>
    </xf>
    <xf numFmtId="2" fontId="8" fillId="0" borderId="148" applyAlignment="1" pivotButton="0" quotePrefix="0" xfId="0">
      <alignment horizontal="center" vertical="center" wrapText="1"/>
    </xf>
    <xf numFmtId="0" fontId="38" fillId="2" borderId="138" applyAlignment="1" pivotButton="0" quotePrefix="0" xfId="0">
      <alignment vertical="center"/>
    </xf>
    <xf numFmtId="2" fontId="8" fillId="2" borderId="148" applyAlignment="1" pivotButton="0" quotePrefix="0" xfId="0">
      <alignment horizontal="center" vertical="center" wrapText="1"/>
    </xf>
    <xf numFmtId="2" fontId="2" fillId="0" borderId="0" pivotButton="0" quotePrefix="0" xfId="0"/>
    <xf numFmtId="0" fontId="7" fillId="0" borderId="37" applyAlignment="1" pivotButton="0" quotePrefix="0" xfId="0">
      <alignment horizontal="center" vertical="center" wrapText="1"/>
    </xf>
    <xf numFmtId="0" fontId="7" fillId="0" borderId="37" applyAlignment="1" pivotButton="0" quotePrefix="0" xfId="0">
      <alignment horizontal="center" vertical="center"/>
    </xf>
    <xf numFmtId="166" fontId="2" fillId="0" borderId="59" applyAlignment="1" pivotButton="0" quotePrefix="0" xfId="0">
      <alignment horizontal="center" vertical="center"/>
    </xf>
    <xf numFmtId="1" fontId="7" fillId="0" borderId="34" applyAlignment="1" pivotButton="0" quotePrefix="0" xfId="0">
      <alignment horizontal="center" vertical="center"/>
    </xf>
    <xf numFmtId="1" fontId="7" fillId="0" borderId="34" applyAlignment="1" pivotButton="0" quotePrefix="0" xfId="0">
      <alignment horizontal="center" vertical="center" wrapText="1"/>
    </xf>
    <xf numFmtId="1" fontId="7" fillId="0" borderId="47" applyAlignment="1" pivotButton="0" quotePrefix="0" xfId="0">
      <alignment horizontal="center" vertical="center"/>
    </xf>
    <xf numFmtId="0" fontId="7" fillId="0" borderId="46" applyAlignment="1" pivotButton="0" quotePrefix="0" xfId="0">
      <alignment horizontal="center" vertical="center"/>
    </xf>
    <xf numFmtId="1" fontId="2" fillId="0" borderId="47" applyAlignment="1" pivotButton="0" quotePrefix="0" xfId="0">
      <alignment horizontal="center" vertical="center"/>
    </xf>
    <xf numFmtId="0" fontId="39" fillId="0" borderId="135" applyAlignment="1" pivotButton="0" quotePrefix="0" xfId="0">
      <alignment horizontal="left" vertical="center" wrapText="1"/>
    </xf>
    <xf numFmtId="0" fontId="2" fillId="0" borderId="5" applyAlignment="1" pivotButton="0" quotePrefix="0" xfId="0">
      <alignment horizontal="center" vertical="center"/>
    </xf>
    <xf numFmtId="0" fontId="38" fillId="2" borderId="139" applyAlignment="1" pivotButton="0" quotePrefix="0" xfId="0">
      <alignment vertical="center" wrapText="1"/>
    </xf>
    <xf numFmtId="0" fontId="2" fillId="2" borderId="140" applyAlignment="1" pivotButton="0" quotePrefix="0" xfId="0">
      <alignment horizontal="center" vertical="center"/>
    </xf>
    <xf numFmtId="2" fontId="8" fillId="0" borderId="141" applyAlignment="1" pivotButton="0" quotePrefix="0" xfId="0">
      <alignment horizontal="center" vertical="center" wrapText="1"/>
    </xf>
    <xf numFmtId="2" fontId="8" fillId="2" borderId="141" applyAlignment="1" pivotButton="0" quotePrefix="0" xfId="0">
      <alignment horizontal="center" vertical="center" wrapText="1"/>
    </xf>
    <xf numFmtId="0" fontId="17" fillId="0" borderId="0" applyAlignment="1" pivotButton="0" quotePrefix="0" xfId="0">
      <alignment vertical="top"/>
    </xf>
    <xf numFmtId="0" fontId="16" fillId="0" borderId="0" pivotButton="0" quotePrefix="0" xfId="0"/>
    <xf numFmtId="164" fontId="8" fillId="0" borderId="5" applyAlignment="1" pivotButton="0" quotePrefix="0" xfId="0">
      <alignment horizontal="center" vertical="center"/>
    </xf>
    <xf numFmtId="164" fontId="8" fillId="2" borderId="11" applyAlignment="1" pivotButton="0" quotePrefix="0" xfId="0">
      <alignment horizontal="center" vertical="center"/>
    </xf>
    <xf numFmtId="164" fontId="8" fillId="0" borderId="140" applyAlignment="1" pivotButton="0" quotePrefix="0" xfId="0">
      <alignment horizontal="center" vertical="center"/>
    </xf>
    <xf numFmtId="164" fontId="8" fillId="2" borderId="5" applyAlignment="1" pivotButton="0" quotePrefix="0" xfId="0">
      <alignment horizontal="center" vertical="center"/>
    </xf>
    <xf numFmtId="164" fontId="8" fillId="0" borderId="11" applyAlignment="1" pivotButton="0" quotePrefix="0" xfId="0">
      <alignment horizontal="center" vertical="center"/>
    </xf>
    <xf numFmtId="164" fontId="8" fillId="2" borderId="140" applyAlignment="1" pivotButton="0" quotePrefix="0" xfId="0">
      <alignment horizontal="center" vertical="center"/>
    </xf>
    <xf numFmtId="0" fontId="38" fillId="0" borderId="147" applyAlignment="1" pivotButton="0" quotePrefix="0" xfId="0">
      <alignment vertical="center" wrapText="1"/>
    </xf>
    <xf numFmtId="164" fontId="8" fillId="0" borderId="1" applyAlignment="1" pivotButton="0" quotePrefix="0" xfId="0">
      <alignment horizontal="center" vertical="center"/>
    </xf>
    <xf numFmtId="0" fontId="8" fillId="0" borderId="1" applyAlignment="1" pivotButton="0" quotePrefix="0" xfId="0">
      <alignment horizontal="center" vertical="center"/>
    </xf>
    <xf numFmtId="0" fontId="38" fillId="2" borderId="147" applyAlignment="1" pivotButton="0" quotePrefix="0" xfId="0">
      <alignment vertical="center" wrapText="1"/>
    </xf>
    <xf numFmtId="164" fontId="8" fillId="2" borderId="1" applyAlignment="1" pivotButton="0" quotePrefix="0" xfId="0">
      <alignment horizontal="center" vertical="center"/>
    </xf>
    <xf numFmtId="0" fontId="8" fillId="2" borderId="1" applyAlignment="1" pivotButton="0" quotePrefix="0" xfId="0">
      <alignment horizontal="center" vertical="center"/>
    </xf>
    <xf numFmtId="1" fontId="8" fillId="2" borderId="5" applyAlignment="1" pivotButton="0" quotePrefix="0" xfId="0">
      <alignment horizontal="center" vertical="center"/>
    </xf>
    <xf numFmtId="0" fontId="8" fillId="2" borderId="140" applyAlignment="1" pivotButton="0" quotePrefix="0" xfId="0">
      <alignment horizontal="center" vertical="center"/>
    </xf>
    <xf numFmtId="1" fontId="8" fillId="0" borderId="5" applyAlignment="1" pivotButton="0" quotePrefix="0" xfId="0">
      <alignment horizontal="center" vertical="center"/>
    </xf>
    <xf numFmtId="0" fontId="38" fillId="0" borderId="138" applyAlignment="1" pivotButton="0" quotePrefix="0" xfId="0">
      <alignment horizontal="left" vertical="center" wrapText="1"/>
    </xf>
    <xf numFmtId="0" fontId="39" fillId="2" borderId="58" applyAlignment="1" pivotButton="0" quotePrefix="0" xfId="0">
      <alignment horizontal="left" vertical="center" wrapText="1"/>
    </xf>
    <xf numFmtId="2" fontId="2" fillId="0" borderId="0" applyAlignment="1" pivotButton="0" quotePrefix="0" xfId="0">
      <alignment horizontal="center" vertical="center"/>
    </xf>
    <xf numFmtId="2" fontId="2" fillId="2" borderId="61" applyAlignment="1" pivotButton="0" quotePrefix="0" xfId="0">
      <alignment horizontal="center" vertical="center"/>
    </xf>
    <xf numFmtId="0" fontId="2" fillId="2" borderId="149" applyAlignment="1" pivotButton="0" quotePrefix="0" xfId="0">
      <alignment horizontal="center" vertical="center"/>
    </xf>
    <xf numFmtId="0" fontId="3" fillId="0" borderId="51" applyAlignment="1" pivotButton="0" quotePrefix="0" xfId="0">
      <alignment horizontal="center" vertical="center" wrapText="1"/>
    </xf>
    <xf numFmtId="0" fontId="13" fillId="11" borderId="74" applyAlignment="1" pivotButton="0" quotePrefix="0" xfId="0">
      <alignment horizontal="left"/>
    </xf>
    <xf numFmtId="0" fontId="2" fillId="2" borderId="37" applyAlignment="1" pivotButton="0" quotePrefix="0" xfId="0">
      <alignment horizontal="center" vertical="center"/>
    </xf>
    <xf numFmtId="2" fontId="2" fillId="2" borderId="150" applyAlignment="1" pivotButton="0" quotePrefix="0" xfId="0">
      <alignment horizontal="center" vertical="center"/>
    </xf>
    <xf numFmtId="1" fontId="7" fillId="0" borderId="150" applyAlignment="1" pivotButton="0" quotePrefix="0" xfId="0">
      <alignment horizontal="center" vertical="center"/>
    </xf>
    <xf numFmtId="2" fontId="3" fillId="0" borderId="34" applyAlignment="1" pivotButton="0" quotePrefix="0" xfId="0">
      <alignment horizontal="center" vertical="center"/>
    </xf>
    <xf numFmtId="164" fontId="2" fillId="0" borderId="140" applyAlignment="1" pivotButton="0" quotePrefix="0" xfId="0">
      <alignment horizontal="center" vertical="center"/>
    </xf>
    <xf numFmtId="164" fontId="2" fillId="2" borderId="5" applyAlignment="1" pivotButton="0" quotePrefix="0" xfId="0">
      <alignment horizontal="center" vertical="center"/>
    </xf>
    <xf numFmtId="164" fontId="2" fillId="0" borderId="11" applyAlignment="1" pivotButton="0" quotePrefix="0" xfId="0">
      <alignment horizontal="center" vertical="center"/>
    </xf>
    <xf numFmtId="164" fontId="2" fillId="2" borderId="11" applyAlignment="1" pivotButton="0" quotePrefix="0" xfId="0">
      <alignment horizontal="center" vertical="center"/>
    </xf>
    <xf numFmtId="0" fontId="38" fillId="20" borderId="138" applyAlignment="1" pivotButton="0" quotePrefix="0" xfId="0">
      <alignment vertical="center" wrapText="1"/>
    </xf>
    <xf numFmtId="164" fontId="2" fillId="20" borderId="11" applyAlignment="1" pivotButton="0" quotePrefix="0" xfId="0">
      <alignment horizontal="center" vertical="center"/>
    </xf>
    <xf numFmtId="0" fontId="2" fillId="20" borderId="11" applyAlignment="1" pivotButton="0" quotePrefix="0" xfId="0">
      <alignment horizontal="center" vertical="center"/>
    </xf>
    <xf numFmtId="2" fontId="2" fillId="20" borderId="136" applyAlignment="1" pivotButton="0" quotePrefix="0" xfId="0">
      <alignment horizontal="center" vertical="center"/>
    </xf>
    <xf numFmtId="0" fontId="38" fillId="20" borderId="138" applyAlignment="1" pivotButton="0" quotePrefix="0" xfId="0">
      <alignment horizontal="left" vertical="center" wrapText="1"/>
    </xf>
    <xf numFmtId="0" fontId="39" fillId="20" borderId="58" applyAlignment="1" pivotButton="0" quotePrefix="0" xfId="0">
      <alignment horizontal="left" vertical="center" wrapText="1"/>
    </xf>
    <xf numFmtId="0" fontId="2" fillId="20" borderId="37" applyAlignment="1" pivotButton="0" quotePrefix="0" xfId="0">
      <alignment horizontal="center" vertical="center"/>
    </xf>
    <xf numFmtId="2" fontId="2" fillId="20" borderId="61" applyAlignment="1" pivotButton="0" quotePrefix="0" xfId="0">
      <alignment horizontal="center" vertical="center"/>
    </xf>
    <xf numFmtId="0" fontId="38" fillId="2" borderId="139" applyAlignment="1" pivotButton="0" quotePrefix="0" xfId="0">
      <alignment horizontal="left" vertical="center" wrapText="1"/>
    </xf>
    <xf numFmtId="164" fontId="2" fillId="2" borderId="140" applyAlignment="1" pivotButton="0" quotePrefix="0" xfId="0">
      <alignment horizontal="center" vertical="center"/>
    </xf>
    <xf numFmtId="2" fontId="2" fillId="2" borderId="141" applyAlignment="1" pivotButton="0" quotePrefix="0" xfId="0">
      <alignment horizontal="center" vertical="center"/>
    </xf>
    <xf numFmtId="164" fontId="8" fillId="0" borderId="5" applyAlignment="1" pivotButton="0" quotePrefix="0" xfId="0">
      <alignment horizontal="center" vertical="center" wrapText="1"/>
    </xf>
    <xf numFmtId="164" fontId="8" fillId="2" borderId="11" applyAlignment="1" pivotButton="0" quotePrefix="0" xfId="0">
      <alignment horizontal="center" vertical="center" wrapText="1"/>
    </xf>
    <xf numFmtId="164" fontId="8" fillId="0" borderId="140" applyAlignment="1" pivotButton="0" quotePrefix="0" xfId="0">
      <alignment horizontal="center" vertical="center" wrapText="1"/>
    </xf>
    <xf numFmtId="164" fontId="8" fillId="2" borderId="5" applyAlignment="1" pivotButton="0" quotePrefix="0" xfId="0">
      <alignment horizontal="center" vertical="center" wrapText="1"/>
    </xf>
    <xf numFmtId="164" fontId="8" fillId="0" borderId="11" applyAlignment="1" pivotButton="0" quotePrefix="0" xfId="0">
      <alignment horizontal="center" vertical="center" wrapText="1"/>
    </xf>
    <xf numFmtId="1" fontId="2" fillId="2" borderId="37" applyAlignment="1" pivotButton="0" quotePrefix="0" xfId="0">
      <alignment horizontal="center" vertical="center"/>
    </xf>
    <xf numFmtId="1" fontId="2" fillId="20" borderId="37" applyAlignment="1" pivotButton="0" quotePrefix="0" xfId="0">
      <alignment horizontal="center" vertical="center"/>
    </xf>
    <xf numFmtId="164" fontId="3" fillId="0" borderId="140" applyAlignment="1" pivotButton="0" quotePrefix="0" xfId="0">
      <alignment horizontal="center" vertical="center"/>
    </xf>
    <xf numFmtId="164" fontId="3" fillId="2" borderId="140" applyAlignment="1" pivotButton="0" quotePrefix="0" xfId="0">
      <alignment horizontal="center" vertical="center"/>
    </xf>
    <xf numFmtId="0" fontId="3" fillId="0" borderId="5" applyAlignment="1" pivotButton="0" quotePrefix="0" xfId="0">
      <alignment horizontal="center" vertical="center"/>
    </xf>
    <xf numFmtId="0" fontId="3" fillId="2" borderId="5" applyAlignment="1" pivotButton="0" quotePrefix="0" xfId="0">
      <alignment horizontal="center" vertical="center"/>
    </xf>
    <xf numFmtId="164" fontId="3" fillId="0" borderId="140" applyAlignment="1" pivotButton="0" quotePrefix="0" xfId="0">
      <alignment horizontal="center" vertical="center" wrapText="1"/>
    </xf>
    <xf numFmtId="1" fontId="7" fillId="2" borderId="37" applyAlignment="1" pivotButton="0" quotePrefix="0" xfId="0">
      <alignment horizontal="center" vertical="center" wrapText="1"/>
    </xf>
    <xf numFmtId="1" fontId="7" fillId="20" borderId="37" applyAlignment="1" pivotButton="0" quotePrefix="0" xfId="0">
      <alignment horizontal="center" vertical="center" wrapText="1"/>
    </xf>
    <xf numFmtId="164" fontId="3" fillId="2" borderId="140" applyAlignment="1" pivotButton="0" quotePrefix="0" xfId="0">
      <alignment horizontal="center" vertical="center" wrapText="1"/>
    </xf>
    <xf numFmtId="0" fontId="13" fillId="16" borderId="74" applyAlignment="1" pivotButton="0" quotePrefix="0" xfId="0">
      <alignment horizontal="left"/>
    </xf>
    <xf numFmtId="0" fontId="2" fillId="0" borderId="63" applyAlignment="1" pivotButton="0" quotePrefix="0" xfId="0">
      <alignment vertical="center"/>
    </xf>
    <xf numFmtId="0" fontId="2" fillId="0" borderId="21" applyAlignment="1" pivotButton="0" quotePrefix="0" xfId="0">
      <alignment horizontal="center" vertical="center"/>
    </xf>
    <xf numFmtId="0" fontId="17" fillId="0" borderId="21" applyAlignment="1" pivotButton="0" quotePrefix="0" xfId="0">
      <alignment horizontal="center" vertical="center"/>
    </xf>
    <xf numFmtId="0" fontId="6" fillId="0" borderId="21" applyAlignment="1" pivotButton="0" quotePrefix="0" xfId="0">
      <alignment horizontal="center" vertical="center"/>
    </xf>
    <xf numFmtId="0" fontId="2" fillId="0" borderId="21" pivotButton="0" quotePrefix="0" xfId="0"/>
    <xf numFmtId="0" fontId="17" fillId="0" borderId="21" pivotButton="0" quotePrefix="0" xfId="0"/>
    <xf numFmtId="0" fontId="65" fillId="0" borderId="135" applyAlignment="1" pivotButton="0" quotePrefix="0" xfId="0">
      <alignment vertical="center" wrapText="1"/>
    </xf>
    <xf numFmtId="2" fontId="8" fillId="0" borderId="5" applyAlignment="1" pivotButton="0" quotePrefix="0" xfId="0">
      <alignment horizontal="center" vertical="center"/>
    </xf>
    <xf numFmtId="2" fontId="8" fillId="0" borderId="5" applyAlignment="1" pivotButton="0" quotePrefix="0" xfId="0">
      <alignment horizontal="center" vertical="center" wrapText="1"/>
    </xf>
    <xf numFmtId="0" fontId="8" fillId="0" borderId="71" applyAlignment="1" pivotButton="0" quotePrefix="0" xfId="0">
      <alignment horizontal="center" vertical="center"/>
    </xf>
    <xf numFmtId="2" fontId="8" fillId="2" borderId="1" applyAlignment="1" pivotButton="0" quotePrefix="0" xfId="0">
      <alignment horizontal="center" vertical="center"/>
    </xf>
    <xf numFmtId="2" fontId="2" fillId="2" borderId="65" applyAlignment="1" pivotButton="0" quotePrefix="0" xfId="0">
      <alignment horizontal="center" vertical="center"/>
    </xf>
    <xf numFmtId="0" fontId="3" fillId="0" borderId="34" applyAlignment="1" pivotButton="0" quotePrefix="0" xfId="0">
      <alignment horizontal="center" vertical="center" wrapText="1"/>
    </xf>
    <xf numFmtId="0" fontId="8" fillId="2" borderId="5" applyAlignment="1" pivotButton="0" quotePrefix="0" xfId="0">
      <alignment horizontal="center" vertical="center" wrapText="1"/>
    </xf>
    <xf numFmtId="0" fontId="8" fillId="0" borderId="11" applyAlignment="1" pivotButton="0" quotePrefix="0" xfId="0">
      <alignment horizontal="center" vertical="center" wrapText="1"/>
    </xf>
    <xf numFmtId="0" fontId="8" fillId="2" borderId="11" applyAlignment="1" pivotButton="0" quotePrefix="0" xfId="0">
      <alignment horizontal="center" vertical="center" wrapText="1"/>
    </xf>
    <xf numFmtId="0" fontId="8" fillId="0" borderId="140" applyAlignment="1" pivotButton="0" quotePrefix="0" xfId="0">
      <alignment horizontal="center" vertical="center" wrapText="1"/>
    </xf>
    <xf numFmtId="0" fontId="8" fillId="2" borderId="37" applyAlignment="1" pivotButton="0" quotePrefix="0" xfId="0">
      <alignment horizontal="center" vertical="center" wrapText="1"/>
    </xf>
    <xf numFmtId="0" fontId="3" fillId="2" borderId="37" applyAlignment="1" pivotButton="0" quotePrefix="0" xfId="0">
      <alignment horizontal="center" vertical="center" wrapText="1"/>
    </xf>
    <xf numFmtId="164" fontId="8" fillId="2" borderId="32" applyAlignment="1" pivotButton="0" quotePrefix="0" xfId="0">
      <alignment horizontal="center" vertical="center" wrapText="1"/>
    </xf>
    <xf numFmtId="0" fontId="8" fillId="2" borderId="32" applyAlignment="1" pivotButton="0" quotePrefix="0" xfId="0">
      <alignment horizontal="center" vertical="center" wrapText="1"/>
    </xf>
    <xf numFmtId="0" fontId="38" fillId="2" borderId="143" applyAlignment="1" pivotButton="0" quotePrefix="0" xfId="0">
      <alignment vertical="center" wrapText="1"/>
    </xf>
    <xf numFmtId="0" fontId="39" fillId="2" borderId="58" applyAlignment="1" pivotButton="0" quotePrefix="0" xfId="0">
      <alignment vertical="center" wrapText="1"/>
    </xf>
    <xf numFmtId="2" fontId="2" fillId="2" borderId="154" applyAlignment="1" pivotButton="0" quotePrefix="0" xfId="0">
      <alignment horizontal="center"/>
    </xf>
    <xf numFmtId="2" fontId="2" fillId="0" borderId="136" applyAlignment="1" pivotButton="0" quotePrefix="0" xfId="0">
      <alignment horizontal="center"/>
    </xf>
    <xf numFmtId="2" fontId="2" fillId="2" borderId="136" applyAlignment="1" pivotButton="0" quotePrefix="0" xfId="0">
      <alignment horizontal="center"/>
    </xf>
    <xf numFmtId="2" fontId="2" fillId="0" borderId="141" applyAlignment="1" pivotButton="0" quotePrefix="0" xfId="0">
      <alignment horizontal="center"/>
    </xf>
    <xf numFmtId="0" fontId="2" fillId="2" borderId="59" applyAlignment="1" pivotButton="0" quotePrefix="0" xfId="0">
      <alignment horizontal="center"/>
    </xf>
    <xf numFmtId="0" fontId="38" fillId="2" borderId="143" applyAlignment="1" pivotButton="0" quotePrefix="0" xfId="0">
      <alignment horizontal="left" vertical="center" wrapText="1"/>
    </xf>
    <xf numFmtId="0" fontId="38" fillId="2" borderId="135" applyAlignment="1" pivotButton="0" quotePrefix="0" xfId="0">
      <alignment horizontal="left" vertical="center" wrapText="1"/>
    </xf>
    <xf numFmtId="0" fontId="3" fillId="0" borderId="46" applyAlignment="1" pivotButton="0" quotePrefix="0" xfId="0">
      <alignment horizontal="center" vertical="center"/>
    </xf>
    <xf numFmtId="0" fontId="2" fillId="0" borderId="0" applyAlignment="1" pivotButton="0" quotePrefix="0" xfId="0">
      <alignment vertical="top"/>
    </xf>
    <xf numFmtId="1" fontId="8" fillId="2" borderId="37" applyAlignment="1" pivotButton="0" quotePrefix="0" xfId="0">
      <alignment horizontal="center" vertical="center" wrapText="1"/>
    </xf>
    <xf numFmtId="20" fontId="38" fillId="2" borderId="138" applyAlignment="1" pivotButton="0" quotePrefix="0" xfId="0">
      <alignment horizontal="left" vertical="center" wrapText="1"/>
    </xf>
    <xf numFmtId="20" fontId="38" fillId="2" borderId="135" applyAlignment="1" pivotButton="0" quotePrefix="0" xfId="0">
      <alignment horizontal="left" vertical="center" wrapText="1"/>
    </xf>
    <xf numFmtId="0" fontId="18" fillId="6" borderId="58" applyAlignment="1" pivotButton="0" quotePrefix="0" xfId="0">
      <alignment horizontal="left" vertical="center" wrapText="1"/>
    </xf>
    <xf numFmtId="0" fontId="8" fillId="6" borderId="37" applyAlignment="1" pivotButton="0" quotePrefix="0" xfId="0">
      <alignment horizontal="center" vertical="center" wrapText="1"/>
    </xf>
    <xf numFmtId="0" fontId="39" fillId="2" borderId="156" applyAlignment="1" pivotButton="0" quotePrefix="0" xfId="0">
      <alignment horizontal="left" vertical="center" wrapText="1"/>
    </xf>
    <xf numFmtId="0" fontId="8" fillId="2" borderId="157" applyAlignment="1" pivotButton="0" quotePrefix="0" xfId="0">
      <alignment horizontal="center" vertical="center" wrapText="1"/>
    </xf>
    <xf numFmtId="0" fontId="2" fillId="2" borderId="157" applyAlignment="1" pivotButton="0" quotePrefix="0" xfId="0">
      <alignment horizontal="center" vertical="center"/>
    </xf>
    <xf numFmtId="0" fontId="3" fillId="2" borderId="157" applyAlignment="1" pivotButton="0" quotePrefix="0" xfId="0">
      <alignment horizontal="center" vertical="center" wrapText="1"/>
    </xf>
    <xf numFmtId="0" fontId="3" fillId="6" borderId="37" applyAlignment="1" pivotButton="0" quotePrefix="0" xfId="0">
      <alignment horizontal="center" vertical="center" wrapText="1"/>
    </xf>
    <xf numFmtId="2" fontId="8" fillId="2" borderId="136" applyAlignment="1" pivotButton="0" quotePrefix="0" xfId="0">
      <alignment horizontal="center" vertical="center" wrapText="1"/>
    </xf>
    <xf numFmtId="2" fontId="8" fillId="0" borderId="136" applyAlignment="1" pivotButton="0" quotePrefix="0" xfId="0">
      <alignment horizontal="center" vertical="center" wrapText="1"/>
    </xf>
    <xf numFmtId="2" fontId="8" fillId="6" borderId="59" applyAlignment="1" pivotButton="0" quotePrefix="0" xfId="0">
      <alignment horizontal="center" vertical="center" wrapText="1"/>
    </xf>
    <xf numFmtId="0" fontId="13" fillId="18" borderId="74" applyAlignment="1" pivotButton="0" quotePrefix="0" xfId="0">
      <alignment horizontal="left"/>
    </xf>
    <xf numFmtId="2" fontId="2" fillId="0" borderId="151" applyAlignment="1" pivotButton="0" quotePrefix="0" xfId="0">
      <alignment horizontal="center" vertical="center"/>
    </xf>
    <xf numFmtId="2" fontId="2" fillId="2" borderId="155" applyAlignment="1" pivotButton="0" quotePrefix="0" xfId="0">
      <alignment horizontal="center" vertical="center"/>
    </xf>
    <xf numFmtId="0" fontId="8" fillId="0" borderId="37" applyAlignment="1" pivotButton="0" quotePrefix="0" xfId="0">
      <alignment horizontal="center" vertical="center" wrapText="1"/>
    </xf>
    <xf numFmtId="0" fontId="2" fillId="0" borderId="37" applyAlignment="1" pivotButton="0" quotePrefix="0" xfId="0">
      <alignment horizontal="center" vertical="center"/>
    </xf>
    <xf numFmtId="0" fontId="3" fillId="0" borderId="38" applyAlignment="1" pivotButton="0" quotePrefix="0" xfId="0">
      <alignment horizontal="center" vertical="center" wrapText="1"/>
    </xf>
    <xf numFmtId="0" fontId="39" fillId="0" borderId="58" applyAlignment="1" pivotButton="0" quotePrefix="0" xfId="0">
      <alignment horizontal="left" vertical="center" wrapText="1"/>
    </xf>
    <xf numFmtId="0" fontId="3" fillId="0" borderId="59" applyAlignment="1" pivotButton="0" quotePrefix="0" xfId="0">
      <alignment horizontal="center" vertical="center" wrapText="1"/>
    </xf>
    <xf numFmtId="0" fontId="3" fillId="0" borderId="37" applyAlignment="1" pivotButton="0" quotePrefix="0" xfId="0">
      <alignment horizontal="center" vertical="center" wrapText="1"/>
    </xf>
    <xf numFmtId="164" fontId="8" fillId="2" borderId="140" applyAlignment="1" pivotButton="0" quotePrefix="0" xfId="0">
      <alignment horizontal="center" vertical="center" wrapText="1"/>
    </xf>
    <xf numFmtId="0" fontId="8" fillId="2" borderId="140" applyAlignment="1" pivotButton="0" quotePrefix="0" xfId="0">
      <alignment horizontal="center" vertical="center" wrapText="1"/>
    </xf>
    <xf numFmtId="2" fontId="8" fillId="2" borderId="154" applyAlignment="1" pivotButton="0" quotePrefix="0" xfId="0">
      <alignment horizontal="center" vertical="center" wrapText="1"/>
    </xf>
    <xf numFmtId="2" fontId="8" fillId="0" borderId="151" applyAlignment="1" pivotButton="0" quotePrefix="0" xfId="0">
      <alignment horizontal="center" vertical="center" wrapText="1"/>
    </xf>
    <xf numFmtId="2" fontId="8" fillId="2" borderId="151" applyAlignment="1" pivotButton="0" quotePrefix="0" xfId="0">
      <alignment horizontal="center" vertical="center" wrapText="1"/>
    </xf>
    <xf numFmtId="0" fontId="2" fillId="2" borderId="68" applyAlignment="1" pivotButton="0" quotePrefix="0" xfId="0">
      <alignment horizontal="center" vertical="center"/>
    </xf>
    <xf numFmtId="0" fontId="8" fillId="2" borderId="59" applyAlignment="1" pivotButton="0" quotePrefix="0" xfId="0">
      <alignment horizontal="center" vertical="center" wrapText="1"/>
    </xf>
    <xf numFmtId="0" fontId="2" fillId="0" borderId="68" applyAlignment="1" pivotButton="0" quotePrefix="0" xfId="0">
      <alignment horizontal="center" vertical="center"/>
    </xf>
    <xf numFmtId="0" fontId="39" fillId="0" borderId="58" applyAlignment="1" pivotButton="0" quotePrefix="0" xfId="0">
      <alignment vertical="center" wrapText="1"/>
    </xf>
    <xf numFmtId="0" fontId="8" fillId="0" borderId="59" applyAlignment="1" pivotButton="0" quotePrefix="0" xfId="0">
      <alignment horizontal="center" vertical="center" wrapText="1"/>
    </xf>
    <xf numFmtId="20" fontId="38" fillId="2" borderId="143" applyAlignment="1" pivotButton="0" quotePrefix="0" xfId="0">
      <alignment horizontal="left" vertical="center" wrapText="1"/>
    </xf>
    <xf numFmtId="20" fontId="38" fillId="0" borderId="138" applyAlignment="1" pivotButton="0" quotePrefix="0" xfId="0">
      <alignment horizontal="left" vertical="center" wrapText="1"/>
    </xf>
    <xf numFmtId="20" fontId="39" fillId="2" borderId="58" applyAlignment="1" pivotButton="0" quotePrefix="0" xfId="0">
      <alignment horizontal="left" vertical="center" wrapText="1"/>
    </xf>
    <xf numFmtId="20" fontId="38" fillId="0" borderId="139" applyAlignment="1" pivotButton="0" quotePrefix="0" xfId="0">
      <alignment horizontal="left" vertical="center" wrapText="1"/>
    </xf>
    <xf numFmtId="0" fontId="30" fillId="6" borderId="11" applyAlignment="1" pivotButton="0" quotePrefix="0" xfId="0">
      <alignment horizontal="center" vertical="center" wrapText="1"/>
    </xf>
    <xf numFmtId="0" fontId="18" fillId="6" borderId="138" applyAlignment="1" pivotButton="0" quotePrefix="0" xfId="0">
      <alignment horizontal="left" vertical="center" wrapText="1"/>
    </xf>
    <xf numFmtId="2" fontId="30" fillId="6" borderId="151" applyAlignment="1" pivotButton="0" quotePrefix="0" xfId="0">
      <alignment horizontal="center" vertical="center" wrapText="1"/>
    </xf>
    <xf numFmtId="0" fontId="18" fillId="6" borderId="152" applyAlignment="1" pivotButton="0" quotePrefix="0" xfId="0">
      <alignment horizontal="left" vertical="center" wrapText="1"/>
    </xf>
    <xf numFmtId="0" fontId="30" fillId="6" borderId="153" applyAlignment="1" pivotButton="0" quotePrefix="0" xfId="0">
      <alignment horizontal="center" vertical="center" wrapText="1"/>
    </xf>
    <xf numFmtId="0" fontId="18" fillId="6" borderId="153" applyAlignment="1" pivotButton="0" quotePrefix="0" xfId="0">
      <alignment horizontal="center" vertical="center" wrapText="1"/>
    </xf>
    <xf numFmtId="2" fontId="30" fillId="6" borderId="150" applyAlignment="1" pivotButton="0" quotePrefix="0" xfId="0">
      <alignment horizontal="center" vertical="center" wrapText="1"/>
    </xf>
    <xf numFmtId="0" fontId="18" fillId="6" borderId="135" applyAlignment="1" pivotButton="0" quotePrefix="0" xfId="0">
      <alignment horizontal="left" vertical="center" wrapText="1"/>
    </xf>
    <xf numFmtId="0" fontId="30" fillId="6" borderId="5" applyAlignment="1" pivotButton="0" quotePrefix="0" xfId="0">
      <alignment horizontal="center" vertical="center" wrapText="1"/>
    </xf>
    <xf numFmtId="2" fontId="30" fillId="6" borderId="136" applyAlignment="1" pivotButton="0" quotePrefix="0" xfId="0">
      <alignment horizontal="center" vertical="center" wrapText="1"/>
    </xf>
    <xf numFmtId="0" fontId="3" fillId="2" borderId="140" applyAlignment="1" pivotButton="0" quotePrefix="0" xfId="0">
      <alignment horizontal="center" vertical="center" wrapText="1"/>
    </xf>
    <xf numFmtId="0" fontId="39" fillId="0" borderId="156" applyAlignment="1" pivotButton="0" quotePrefix="0" xfId="0">
      <alignment horizontal="left" vertical="center" wrapText="1"/>
    </xf>
    <xf numFmtId="0" fontId="8" fillId="0" borderId="157" applyAlignment="1" pivotButton="0" quotePrefix="0" xfId="0">
      <alignment horizontal="center" vertical="center" wrapText="1"/>
    </xf>
    <xf numFmtId="0" fontId="3" fillId="0" borderId="157" applyAlignment="1" pivotButton="0" quotePrefix="0" xfId="0">
      <alignment horizontal="center" vertical="center" wrapText="1"/>
    </xf>
    <xf numFmtId="0" fontId="2" fillId="0" borderId="157" applyAlignment="1" pivotButton="0" quotePrefix="0" xfId="0">
      <alignment horizontal="center" vertical="center"/>
    </xf>
    <xf numFmtId="2" fontId="2" fillId="0" borderId="158" applyAlignment="1" pivotButton="0" quotePrefix="0" xfId="0">
      <alignment horizontal="center" vertical="center"/>
    </xf>
    <xf numFmtId="0" fontId="38" fillId="2" borderId="159" applyAlignment="1" pivotButton="0" quotePrefix="0" xfId="0">
      <alignment horizontal="left" vertical="center" wrapText="1"/>
    </xf>
    <xf numFmtId="0" fontId="38" fillId="0" borderId="160" applyAlignment="1" pivotButton="0" quotePrefix="0" xfId="0">
      <alignment horizontal="left" vertical="center" wrapText="1"/>
    </xf>
    <xf numFmtId="0" fontId="38" fillId="2" borderId="160" applyAlignment="1" pivotButton="0" quotePrefix="0" xfId="0">
      <alignment horizontal="left" vertical="center" wrapText="1"/>
    </xf>
    <xf numFmtId="0" fontId="38" fillId="2" borderId="161" applyAlignment="1" pivotButton="0" quotePrefix="0" xfId="0">
      <alignment horizontal="left" vertical="center" wrapText="1"/>
    </xf>
    <xf numFmtId="164" fontId="8" fillId="2" borderId="116" applyAlignment="1" pivotButton="0" quotePrefix="0" xfId="0">
      <alignment horizontal="center" vertical="center" wrapText="1"/>
    </xf>
    <xf numFmtId="164" fontId="8" fillId="0" borderId="72" applyAlignment="1" pivotButton="0" quotePrefix="0" xfId="0">
      <alignment horizontal="center" vertical="center" wrapText="1"/>
    </xf>
    <xf numFmtId="164" fontId="8" fillId="2" borderId="72" applyAlignment="1" pivotButton="0" quotePrefix="0" xfId="0">
      <alignment horizontal="center" vertical="center" wrapText="1"/>
    </xf>
    <xf numFmtId="164" fontId="3" fillId="2" borderId="162" applyAlignment="1" pivotButton="0" quotePrefix="0" xfId="0">
      <alignment horizontal="center" vertical="center" wrapText="1"/>
    </xf>
    <xf numFmtId="0" fontId="39" fillId="0" borderId="164" applyAlignment="1" pivotButton="0" quotePrefix="0" xfId="0">
      <alignment horizontal="left" vertical="center" wrapText="1"/>
    </xf>
    <xf numFmtId="0" fontId="3" fillId="0" borderId="165" applyAlignment="1" pivotButton="0" quotePrefix="0" xfId="0">
      <alignment horizontal="center" vertical="center" wrapText="1"/>
    </xf>
    <xf numFmtId="0" fontId="2" fillId="0" borderId="149" applyAlignment="1" pivotButton="0" quotePrefix="0" xfId="0">
      <alignment horizontal="center" vertical="center"/>
    </xf>
    <xf numFmtId="0" fontId="3" fillId="0" borderId="166" applyAlignment="1" pivotButton="0" quotePrefix="0" xfId="0">
      <alignment horizontal="center" vertical="center" wrapText="1"/>
    </xf>
    <xf numFmtId="0" fontId="38" fillId="2" borderId="133" applyAlignment="1" pivotButton="0" quotePrefix="0" xfId="0">
      <alignment horizontal="left" vertical="center" wrapText="1"/>
    </xf>
    <xf numFmtId="164" fontId="8" fillId="2" borderId="14" applyAlignment="1" pivotButton="0" quotePrefix="0" xfId="0">
      <alignment horizontal="center" vertical="center" wrapText="1"/>
    </xf>
    <xf numFmtId="1" fontId="8" fillId="0" borderId="149" applyAlignment="1" pivotButton="0" quotePrefix="0" xfId="0">
      <alignment horizontal="center" vertical="center" wrapText="1"/>
    </xf>
    <xf numFmtId="164" fontId="8" fillId="0" borderId="37" applyAlignment="1" pivotButton="0" quotePrefix="0" xfId="0">
      <alignment horizontal="center" vertical="center" wrapText="1"/>
    </xf>
    <xf numFmtId="0" fontId="39" fillId="0" borderId="89" applyAlignment="1" pivotButton="0" quotePrefix="0" xfId="0">
      <alignment horizontal="left" vertical="center" wrapText="1"/>
    </xf>
    <xf numFmtId="0" fontId="3" fillId="0" borderId="163" applyAlignment="1" pivotButton="0" quotePrefix="0" xfId="0">
      <alignment horizontal="center" vertical="center" wrapText="1"/>
    </xf>
    <xf numFmtId="164" fontId="8" fillId="2" borderId="157" applyAlignment="1" pivotButton="0" quotePrefix="0" xfId="0">
      <alignment horizontal="center" vertical="center" wrapText="1"/>
    </xf>
    <xf numFmtId="2" fontId="8" fillId="2" borderId="158" applyAlignment="1" pivotButton="0" quotePrefix="0" xfId="0">
      <alignment horizontal="center" vertical="center" wrapText="1"/>
    </xf>
    <xf numFmtId="20" fontId="16" fillId="0" borderId="0" pivotButton="0" quotePrefix="0" xfId="0"/>
    <xf numFmtId="1" fontId="8" fillId="0" borderId="37" applyAlignment="1" pivotButton="0" quotePrefix="0" xfId="0">
      <alignment horizontal="center" vertical="center" wrapText="1"/>
    </xf>
    <xf numFmtId="20" fontId="38" fillId="2" borderId="138" applyAlignment="1" pivotButton="0" quotePrefix="0" xfId="0">
      <alignment vertical="center" wrapText="1"/>
    </xf>
    <xf numFmtId="20" fontId="38" fillId="0" borderId="138" applyAlignment="1" pivotButton="0" quotePrefix="0" xfId="0">
      <alignment vertical="center" wrapText="1"/>
    </xf>
    <xf numFmtId="20" fontId="38" fillId="2" borderId="135" applyAlignment="1" pivotButton="0" quotePrefix="0" xfId="0">
      <alignment vertical="center" wrapText="1"/>
    </xf>
    <xf numFmtId="20" fontId="18" fillId="6" borderId="58" applyAlignment="1" pivotButton="0" quotePrefix="0" xfId="0">
      <alignment vertical="center" wrapText="1"/>
    </xf>
    <xf numFmtId="20" fontId="30" fillId="6" borderId="37" applyAlignment="1" pivotButton="0" quotePrefix="0" xfId="0">
      <alignment horizontal="center" vertical="center" wrapText="1"/>
    </xf>
    <xf numFmtId="2" fontId="30" fillId="6" borderId="59" applyAlignment="1" pivotButton="0" quotePrefix="0" xfId="0">
      <alignment horizontal="center" vertical="center" wrapText="1"/>
    </xf>
    <xf numFmtId="20" fontId="38" fillId="2" borderId="139" applyAlignment="1" pivotButton="0" quotePrefix="0" xfId="0">
      <alignment vertical="center" wrapText="1"/>
    </xf>
    <xf numFmtId="20" fontId="39" fillId="0" borderId="139" applyAlignment="1" pivotButton="0" quotePrefix="0" xfId="0">
      <alignment vertical="center" wrapText="1"/>
    </xf>
    <xf numFmtId="164" fontId="30" fillId="6" borderId="37" applyAlignment="1" pivotButton="0" quotePrefix="0" xfId="0">
      <alignment horizontal="center" vertical="center" wrapText="1"/>
    </xf>
    <xf numFmtId="0" fontId="39" fillId="0" borderId="139" applyAlignment="1" pivotButton="0" quotePrefix="0" xfId="0">
      <alignment horizontal="left" vertical="center" wrapText="1"/>
    </xf>
    <xf numFmtId="1" fontId="8" fillId="0" borderId="140" applyAlignment="1" pivotButton="0" quotePrefix="0" xfId="0">
      <alignment horizontal="center" vertical="center" wrapText="1"/>
    </xf>
    <xf numFmtId="0" fontId="18" fillId="19" borderId="58" applyAlignment="1" pivotButton="0" quotePrefix="0" xfId="0">
      <alignment horizontal="left" vertical="center" wrapText="1"/>
    </xf>
    <xf numFmtId="0" fontId="30" fillId="19" borderId="37" applyAlignment="1" pivotButton="0" quotePrefix="0" xfId="0">
      <alignment horizontal="center" vertical="center" wrapText="1"/>
    </xf>
    <xf numFmtId="0" fontId="3" fillId="0" borderId="140" applyAlignment="1" pivotButton="0" quotePrefix="0" xfId="0">
      <alignment horizontal="center" vertical="center" wrapText="1"/>
    </xf>
    <xf numFmtId="164" fontId="18" fillId="6" borderId="37" applyAlignment="1" pivotButton="0" quotePrefix="0" xfId="0">
      <alignment horizontal="center" vertical="center" wrapText="1"/>
    </xf>
    <xf numFmtId="1" fontId="3" fillId="0" borderId="140" applyAlignment="1" pivotButton="0" quotePrefix="0" xfId="0">
      <alignment horizontal="center" vertical="center" wrapText="1"/>
    </xf>
    <xf numFmtId="0" fontId="18" fillId="19" borderId="37" applyAlignment="1" pivotButton="0" quotePrefix="0" xfId="0">
      <alignment horizontal="center" vertical="center" wrapText="1"/>
    </xf>
    <xf numFmtId="0" fontId="30" fillId="6" borderId="37" applyAlignment="1" pivotButton="0" quotePrefix="0" xfId="0">
      <alignment horizontal="center" vertical="center" wrapText="1"/>
    </xf>
    <xf numFmtId="0" fontId="18" fillId="6" borderId="37" applyAlignment="1" pivotButton="0" quotePrefix="0" xfId="0">
      <alignment horizontal="center" vertical="center" wrapText="1"/>
    </xf>
    <xf numFmtId="2" fontId="30" fillId="19" borderId="59" applyAlignment="1" pivotButton="0" quotePrefix="0" xfId="0">
      <alignment horizontal="center" vertical="center" wrapText="1"/>
    </xf>
    <xf numFmtId="0" fontId="2" fillId="0" borderId="0" applyAlignment="1" pivotButton="0" quotePrefix="0" xfId="0">
      <alignment horizontal="center" vertical="top"/>
    </xf>
    <xf numFmtId="0" fontId="17" fillId="0" borderId="0" applyAlignment="1" pivotButton="0" quotePrefix="0" xfId="0">
      <alignment horizontal="center" vertical="top"/>
    </xf>
    <xf numFmtId="0" fontId="6" fillId="0" borderId="0" applyAlignment="1" pivotButton="0" quotePrefix="0" xfId="0">
      <alignment horizontal="center" vertical="top"/>
    </xf>
    <xf numFmtId="0" fontId="3" fillId="0" borderId="7" applyAlignment="1" pivotButton="0" quotePrefix="0" xfId="0">
      <alignment vertical="top" wrapText="1"/>
    </xf>
    <xf numFmtId="164" fontId="2" fillId="0" borderId="7" applyAlignment="1" pivotButton="0" quotePrefix="0" xfId="0">
      <alignment horizontal="center" vertical="top"/>
    </xf>
    <xf numFmtId="0" fontId="17" fillId="0" borderId="7" applyAlignment="1" pivotButton="0" quotePrefix="0" xfId="0">
      <alignment horizontal="center" vertical="top"/>
    </xf>
    <xf numFmtId="0" fontId="16" fillId="19" borderId="7" applyAlignment="1" pivotButton="0" quotePrefix="0" xfId="0">
      <alignment horizontal="center" vertical="top"/>
    </xf>
    <xf numFmtId="2" fontId="8" fillId="0" borderId="158" applyAlignment="1" pivotButton="0" quotePrefix="0" xfId="0">
      <alignment horizontal="center" vertical="center" wrapText="1"/>
    </xf>
    <xf numFmtId="20" fontId="18" fillId="6" borderId="58" applyAlignment="1" pivotButton="0" quotePrefix="0" xfId="0">
      <alignment horizontal="left" vertical="center" wrapText="1"/>
    </xf>
    <xf numFmtId="20" fontId="38" fillId="2" borderId="139" applyAlignment="1" pivotButton="0" quotePrefix="0" xfId="0">
      <alignment horizontal="left" vertical="center" wrapText="1"/>
    </xf>
    <xf numFmtId="20" fontId="39" fillId="0" borderId="156" applyAlignment="1" pivotButton="0" quotePrefix="0" xfId="0">
      <alignment horizontal="left" vertical="center" wrapText="1"/>
    </xf>
    <xf numFmtId="20" fontId="18" fillId="6" borderId="167" applyAlignment="1" pivotButton="0" quotePrefix="0" xfId="0">
      <alignment horizontal="left" vertical="center" wrapText="1"/>
    </xf>
    <xf numFmtId="0" fontId="30" fillId="6" borderId="168" applyAlignment="1" pivotButton="0" quotePrefix="0" xfId="0">
      <alignment horizontal="center" vertical="center" wrapText="1"/>
    </xf>
    <xf numFmtId="2" fontId="30" fillId="6" borderId="169" applyAlignment="1" pivotButton="0" quotePrefix="0" xfId="0">
      <alignment horizontal="center" vertical="center" wrapText="1"/>
    </xf>
    <xf numFmtId="20" fontId="18" fillId="6" borderId="138" applyAlignment="1" pivotButton="0" quotePrefix="0" xfId="0">
      <alignment horizontal="left" vertical="center" wrapText="1"/>
    </xf>
    <xf numFmtId="20" fontId="18" fillId="6" borderId="152" applyAlignment="1" pivotButton="0" quotePrefix="0" xfId="0">
      <alignment horizontal="left" vertical="center" wrapText="1"/>
    </xf>
    <xf numFmtId="1" fontId="30" fillId="6" borderId="168" applyAlignment="1" pivotButton="0" quotePrefix="0" xfId="0">
      <alignment horizontal="center" vertical="center" wrapText="1"/>
    </xf>
    <xf numFmtId="1" fontId="30" fillId="6" borderId="11" applyAlignment="1" pivotButton="0" quotePrefix="0" xfId="0">
      <alignment horizontal="center" vertical="center" wrapText="1"/>
    </xf>
    <xf numFmtId="1" fontId="30" fillId="6" borderId="153" applyAlignment="1" pivotButton="0" quotePrefix="0" xfId="0">
      <alignment horizontal="center" vertical="center" wrapText="1"/>
    </xf>
    <xf numFmtId="164" fontId="30" fillId="6" borderId="153" applyAlignment="1" pivotButton="0" quotePrefix="0" xfId="0">
      <alignment horizontal="center" vertical="center" wrapText="1"/>
    </xf>
    <xf numFmtId="20" fontId="17" fillId="0" borderId="0" applyAlignment="1" pivotButton="0" quotePrefix="0" xfId="0">
      <alignment vertical="top"/>
    </xf>
    <xf numFmtId="164" fontId="30" fillId="6" borderId="168" applyAlignment="1" pivotButton="0" quotePrefix="0" xfId="0">
      <alignment horizontal="center" vertical="center" wrapText="1"/>
    </xf>
    <xf numFmtId="164" fontId="18" fillId="6" borderId="168" applyAlignment="1" pivotButton="0" quotePrefix="0" xfId="0">
      <alignment horizontal="center" vertical="center" wrapText="1"/>
    </xf>
    <xf numFmtId="0" fontId="65" fillId="0" borderId="152" applyAlignment="1" pivotButton="0" quotePrefix="0" xfId="0">
      <alignment vertical="center" wrapText="1"/>
    </xf>
    <xf numFmtId="2" fontId="8" fillId="0" borderId="153" applyAlignment="1" pivotButton="0" quotePrefix="0" xfId="0">
      <alignment horizontal="center" vertical="center"/>
    </xf>
    <xf numFmtId="2" fontId="8" fillId="0" borderId="153" applyAlignment="1" pivotButton="0" quotePrefix="0" xfId="0">
      <alignment horizontal="center" vertical="center" wrapText="1"/>
    </xf>
    <xf numFmtId="0" fontId="8" fillId="0" borderId="153" applyAlignment="1" pivotButton="0" quotePrefix="0" xfId="0">
      <alignment horizontal="center" vertical="center"/>
    </xf>
    <xf numFmtId="2" fontId="2" fillId="0" borderId="150" applyAlignment="1" pivotButton="0" quotePrefix="0" xfId="0">
      <alignment horizontal="center" vertical="center"/>
    </xf>
    <xf numFmtId="1" fontId="7" fillId="0" borderId="0" applyAlignment="1" pivotButton="0" quotePrefix="0" xfId="0">
      <alignment horizontal="center" vertical="center"/>
    </xf>
    <xf numFmtId="1" fontId="7" fillId="0" borderId="0" applyAlignment="1" pivotButton="0" quotePrefix="0" xfId="0">
      <alignment horizontal="center" vertical="center" wrapText="1"/>
    </xf>
    <xf numFmtId="0" fontId="7" fillId="0" borderId="0" applyAlignment="1" pivotButton="0" quotePrefix="0" xfId="0">
      <alignment horizontal="center" vertical="center"/>
    </xf>
    <xf numFmtId="1" fontId="18" fillId="6" borderId="168" applyAlignment="1" pivotButton="0" quotePrefix="0" xfId="0">
      <alignment horizontal="center" vertical="center" wrapText="1"/>
    </xf>
    <xf numFmtId="1" fontId="8" fillId="0" borderId="157" applyAlignment="1" pivotButton="0" quotePrefix="0" xfId="0">
      <alignment horizontal="center" vertical="center" wrapText="1"/>
    </xf>
    <xf numFmtId="20" fontId="39" fillId="0" borderId="58" applyAlignment="1" pivotButton="0" quotePrefix="0" xfId="0">
      <alignment horizontal="left" vertical="center" wrapText="1"/>
    </xf>
    <xf numFmtId="2" fontId="8" fillId="0" borderId="59" applyAlignment="1" pivotButton="0" quotePrefix="0" xfId="0">
      <alignment horizontal="center" vertical="center" wrapText="1"/>
    </xf>
    <xf numFmtId="1" fontId="3" fillId="0" borderId="157" applyAlignment="1" pivotButton="0" quotePrefix="0" xfId="0">
      <alignment horizontal="center" vertical="center" wrapText="1"/>
    </xf>
    <xf numFmtId="20" fontId="17" fillId="0" borderId="22" applyAlignment="1" pivotButton="0" quotePrefix="0" xfId="0">
      <alignment vertical="top"/>
    </xf>
    <xf numFmtId="1" fontId="30" fillId="6" borderId="5" applyAlignment="1" pivotButton="0" quotePrefix="0" xfId="0">
      <alignment horizontal="center" vertical="center" wrapText="1"/>
    </xf>
    <xf numFmtId="20" fontId="18" fillId="6" borderId="135" applyAlignment="1" pivotButton="0" quotePrefix="0" xfId="0">
      <alignment horizontal="left" vertical="center" wrapText="1"/>
    </xf>
    <xf numFmtId="1" fontId="18" fillId="6" borderId="153" applyAlignment="1" pivotButton="0" quotePrefix="0" xfId="0">
      <alignment horizontal="center" vertical="center" wrapText="1"/>
    </xf>
    <xf numFmtId="0" fontId="13" fillId="13" borderId="74" applyAlignment="1" pivotButton="0" quotePrefix="0" xfId="0">
      <alignment horizontal="left"/>
    </xf>
    <xf numFmtId="20" fontId="2" fillId="0" borderId="0" pivotButton="0" quotePrefix="0" xfId="0"/>
    <xf numFmtId="0" fontId="18" fillId="0" borderId="11" applyAlignment="1" pivotButton="0" quotePrefix="0" xfId="0">
      <alignment vertical="center" wrapText="1"/>
    </xf>
    <xf numFmtId="0" fontId="18" fillId="0" borderId="58" applyAlignment="1" pivotButton="0" quotePrefix="0" xfId="0">
      <alignment vertical="center" wrapText="1"/>
    </xf>
    <xf numFmtId="0" fontId="39" fillId="2" borderId="139" applyAlignment="1" pivotButton="0" quotePrefix="0" xfId="0">
      <alignment vertical="center" wrapText="1"/>
    </xf>
    <xf numFmtId="1" fontId="8" fillId="2" borderId="140" applyAlignment="1" pivotButton="0" quotePrefix="0" xfId="0">
      <alignment horizontal="center" vertical="center" wrapText="1"/>
    </xf>
    <xf numFmtId="1" fontId="3" fillId="2" borderId="140" applyAlignment="1" pivotButton="0" quotePrefix="0" xfId="0">
      <alignment horizontal="center" vertical="center" wrapText="1"/>
    </xf>
    <xf numFmtId="0" fontId="8" fillId="2" borderId="141" applyAlignment="1" pivotButton="0" quotePrefix="0" xfId="0">
      <alignment horizontal="center" vertical="center" wrapText="1"/>
    </xf>
    <xf numFmtId="164" fontId="30" fillId="0" borderId="37" applyAlignment="1" pivotButton="0" quotePrefix="0" xfId="0">
      <alignment horizontal="center" vertical="center" wrapText="1"/>
    </xf>
    <xf numFmtId="164" fontId="18" fillId="0" borderId="37" applyAlignment="1" pivotButton="0" quotePrefix="0" xfId="0">
      <alignment horizontal="center" vertical="center" wrapText="1"/>
    </xf>
    <xf numFmtId="0" fontId="30" fillId="0" borderId="37" applyAlignment="1" pivotButton="0" quotePrefix="0" xfId="0">
      <alignment horizontal="center" vertical="center" wrapText="1"/>
    </xf>
    <xf numFmtId="2" fontId="30" fillId="0" borderId="59" applyAlignment="1" pivotButton="0" quotePrefix="0" xfId="0">
      <alignment horizontal="center" vertical="center" wrapText="1"/>
    </xf>
    <xf numFmtId="0" fontId="39" fillId="2" borderId="152" applyAlignment="1" pivotButton="0" quotePrefix="0" xfId="0">
      <alignment vertical="center" wrapText="1"/>
    </xf>
    <xf numFmtId="1" fontId="8" fillId="2" borderId="153" applyAlignment="1" pivotButton="0" quotePrefix="0" xfId="0">
      <alignment horizontal="center" vertical="center" wrapText="1"/>
    </xf>
    <xf numFmtId="1" fontId="3" fillId="2" borderId="153" applyAlignment="1" pivotButton="0" quotePrefix="0" xfId="0">
      <alignment horizontal="center" vertical="center" wrapText="1"/>
    </xf>
    <xf numFmtId="0" fontId="8" fillId="2" borderId="153" applyAlignment="1" pivotButton="0" quotePrefix="0" xfId="0">
      <alignment horizontal="center" vertical="center" wrapText="1"/>
    </xf>
    <xf numFmtId="2" fontId="2" fillId="2" borderId="151" applyAlignment="1" pivotButton="0" quotePrefix="0" xfId="0">
      <alignment horizontal="center" vertical="center"/>
    </xf>
    <xf numFmtId="2" fontId="2" fillId="0" borderId="47" applyAlignment="1" pivotButton="0" quotePrefix="0" xfId="0">
      <alignment horizontal="center" vertical="center"/>
    </xf>
    <xf numFmtId="0" fontId="8" fillId="2" borderId="158" applyAlignment="1" pivotButton="0" quotePrefix="0" xfId="0">
      <alignment horizontal="center" vertical="center" wrapText="1"/>
    </xf>
    <xf numFmtId="1" fontId="30" fillId="0" borderId="37" applyAlignment="1" pivotButton="0" quotePrefix="0" xfId="0">
      <alignment horizontal="center" vertical="center" wrapText="1"/>
    </xf>
    <xf numFmtId="1" fontId="18" fillId="0" borderId="37" applyAlignment="1" pivotButton="0" quotePrefix="0" xfId="0">
      <alignment horizontal="center" vertical="center" wrapText="1"/>
    </xf>
    <xf numFmtId="1" fontId="30" fillId="0" borderId="0" applyAlignment="1" pivotButton="0" quotePrefix="0" xfId="0">
      <alignment horizontal="center" vertical="center" wrapText="1"/>
    </xf>
    <xf numFmtId="1" fontId="18" fillId="0" borderId="0" applyAlignment="1" pivotButton="0" quotePrefix="0" xfId="0">
      <alignment horizontal="center" vertical="center" wrapText="1"/>
    </xf>
    <xf numFmtId="0" fontId="30" fillId="0" borderId="0" applyAlignment="1" pivotButton="0" quotePrefix="0" xfId="0">
      <alignment horizontal="center" vertical="center" wrapText="1"/>
    </xf>
    <xf numFmtId="2" fontId="30" fillId="0" borderId="0" applyAlignment="1" pivotButton="0" quotePrefix="0" xfId="0">
      <alignment horizontal="center" vertical="center" wrapText="1"/>
    </xf>
    <xf numFmtId="1" fontId="30" fillId="0" borderId="11" applyAlignment="1" pivotButton="0" quotePrefix="0" xfId="0">
      <alignment horizontal="center" vertical="center" wrapText="1"/>
    </xf>
    <xf numFmtId="1" fontId="18" fillId="0" borderId="11" applyAlignment="1" pivotButton="0" quotePrefix="0" xfId="0">
      <alignment horizontal="center" vertical="center" wrapText="1"/>
    </xf>
    <xf numFmtId="0" fontId="30" fillId="0" borderId="11" applyAlignment="1" pivotButton="0" quotePrefix="0" xfId="0">
      <alignment horizontal="center" vertical="center" wrapText="1"/>
    </xf>
    <xf numFmtId="2" fontId="30" fillId="0" borderId="11" applyAlignment="1" pivotButton="0" quotePrefix="0" xfId="0">
      <alignment horizontal="center" vertical="center" wrapText="1"/>
    </xf>
    <xf numFmtId="0" fontId="39" fillId="2" borderId="170" applyAlignment="1" pivotButton="0" quotePrefix="0" xfId="0">
      <alignment vertical="center" wrapText="1"/>
    </xf>
    <xf numFmtId="1" fontId="8" fillId="2" borderId="171" applyAlignment="1" pivotButton="0" quotePrefix="0" xfId="0">
      <alignment horizontal="center" vertical="center" wrapText="1"/>
    </xf>
    <xf numFmtId="1" fontId="3" fillId="2" borderId="171" applyAlignment="1" pivotButton="0" quotePrefix="0" xfId="0">
      <alignment horizontal="center" vertical="center" wrapText="1"/>
    </xf>
    <xf numFmtId="0" fontId="8" fillId="2" borderId="171" applyAlignment="1" pivotButton="0" quotePrefix="0" xfId="0">
      <alignment horizontal="center" vertical="center" wrapText="1"/>
    </xf>
    <xf numFmtId="0" fontId="8" fillId="2" borderId="172" applyAlignment="1" pivotButton="0" quotePrefix="0" xfId="0">
      <alignment horizontal="center" vertical="center" wrapText="1"/>
    </xf>
    <xf numFmtId="0" fontId="18" fillId="2" borderId="11" applyAlignment="1" pivotButton="0" quotePrefix="0" xfId="0">
      <alignment vertical="center" wrapText="1"/>
    </xf>
    <xf numFmtId="1" fontId="30" fillId="2" borderId="11" applyAlignment="1" pivotButton="0" quotePrefix="0" xfId="0">
      <alignment horizontal="center" vertical="center" wrapText="1"/>
    </xf>
    <xf numFmtId="0" fontId="30" fillId="2" borderId="11" applyAlignment="1" pivotButton="0" quotePrefix="0" xfId="0">
      <alignment horizontal="center" vertical="center" wrapText="1"/>
    </xf>
    <xf numFmtId="2" fontId="30" fillId="2" borderId="11" applyAlignment="1" pivotButton="0" quotePrefix="0" xfId="0">
      <alignment horizontal="center" vertical="center" wrapText="1"/>
    </xf>
    <xf numFmtId="0" fontId="13" fillId="10" borderId="74" applyAlignment="1" pivotButton="0" quotePrefix="0" xfId="0">
      <alignment horizontal="left"/>
    </xf>
    <xf numFmtId="0" fontId="66" fillId="16" borderId="74" applyAlignment="1" pivotButton="0" quotePrefix="0" xfId="0">
      <alignment horizontal="left"/>
    </xf>
    <xf numFmtId="1" fontId="3" fillId="0" borderId="165" applyAlignment="1" pivotButton="0" quotePrefix="0" xfId="0">
      <alignment horizontal="center" vertical="center" wrapText="1"/>
    </xf>
    <xf numFmtId="20" fontId="4" fillId="0" borderId="0" applyAlignment="1" pivotButton="0" quotePrefix="0" xfId="0">
      <alignment horizontal="left" vertical="center"/>
    </xf>
    <xf numFmtId="2" fontId="30" fillId="6" borderId="168" applyAlignment="1" pivotButton="0" quotePrefix="0" xfId="0">
      <alignment horizontal="center" vertical="center" wrapText="1"/>
    </xf>
    <xf numFmtId="2" fontId="18" fillId="6" borderId="168" applyAlignment="1" pivotButton="0" quotePrefix="0" xfId="0">
      <alignment horizontal="center" vertical="center" wrapText="1"/>
    </xf>
    <xf numFmtId="0" fontId="17" fillId="0" borderId="0" applyAlignment="1" pivotButton="0" quotePrefix="0" xfId="0">
      <alignment vertical="top" wrapText="1"/>
    </xf>
    <xf numFmtId="0" fontId="64" fillId="0" borderId="0" pivotButton="0" quotePrefix="0" xfId="0"/>
    <xf numFmtId="0" fontId="64" fillId="0" borderId="0" applyAlignment="1" pivotButton="0" quotePrefix="0" xfId="0">
      <alignment textRotation="45"/>
    </xf>
    <xf numFmtId="0" fontId="67" fillId="0" borderId="0" pivotButton="0" quotePrefix="0" xfId="0"/>
    <xf numFmtId="0" fontId="12" fillId="0" borderId="11" applyAlignment="1" pivotButton="0" quotePrefix="0" xfId="0">
      <alignment horizontal="center" vertical="center" wrapText="1"/>
    </xf>
    <xf numFmtId="0" fontId="68" fillId="33" borderId="1" applyAlignment="1" pivotButton="0" quotePrefix="0" xfId="1">
      <alignment horizontal="center" vertical="center"/>
    </xf>
    <xf numFmtId="0" fontId="1" fillId="33" borderId="1" applyAlignment="1" pivotButton="0" quotePrefix="0" xfId="1">
      <alignment horizontal="center" vertical="center"/>
    </xf>
    <xf numFmtId="0" fontId="41" fillId="0" borderId="11" applyAlignment="1" pivotButton="0" quotePrefix="0" xfId="0">
      <alignment horizontal="center" vertical="center" wrapText="1"/>
    </xf>
    <xf numFmtId="0" fontId="15" fillId="0" borderId="11" applyAlignment="1" pivotButton="0" quotePrefix="0" xfId="0">
      <alignment horizontal="center" vertical="center"/>
    </xf>
    <xf numFmtId="0" fontId="69" fillId="0" borderId="11" pivotButton="0" quotePrefix="0" xfId="0"/>
    <xf numFmtId="0" fontId="41" fillId="0" borderId="11" applyAlignment="1" pivotButton="0" quotePrefix="0" xfId="0">
      <alignment vertical="center"/>
    </xf>
    <xf numFmtId="166" fontId="15" fillId="0" borderId="11" applyAlignment="1" pivotButton="0" quotePrefix="0" xfId="0">
      <alignment horizontal="center"/>
    </xf>
    <xf numFmtId="166" fontId="15" fillId="0" borderId="11" applyAlignment="1" pivotButton="0" quotePrefix="0" xfId="0">
      <alignment horizontal="center" vertical="center"/>
    </xf>
    <xf numFmtId="0" fontId="70" fillId="0" borderId="11" applyAlignment="1" pivotButton="0" quotePrefix="0" xfId="0">
      <alignment vertical="center"/>
    </xf>
    <xf numFmtId="166" fontId="24" fillId="0" borderId="11" applyAlignment="1" pivotButton="0" quotePrefix="0" xfId="0">
      <alignment horizontal="center" vertical="center"/>
    </xf>
    <xf numFmtId="0" fontId="24" fillId="0" borderId="11" applyAlignment="1" pivotButton="0" quotePrefix="0" xfId="0">
      <alignment horizontal="center" vertical="center"/>
    </xf>
    <xf numFmtId="0" fontId="71" fillId="0" borderId="0" applyAlignment="1" pivotButton="0" quotePrefix="0" xfId="0">
      <alignment horizontal="center" vertical="center"/>
    </xf>
    <xf numFmtId="0" fontId="72" fillId="0" borderId="107" applyAlignment="1" pivotButton="0" quotePrefix="0" xfId="0">
      <alignment horizontal="center" vertical="center"/>
    </xf>
    <xf numFmtId="0" fontId="72" fillId="0" borderId="0" applyAlignment="1" pivotButton="0" quotePrefix="0" xfId="0">
      <alignment horizontal="center" vertical="center"/>
    </xf>
    <xf numFmtId="0" fontId="72" fillId="0" borderId="31" applyAlignment="1" pivotButton="0" quotePrefix="0" xfId="0">
      <alignment horizontal="center" vertical="center"/>
    </xf>
    <xf numFmtId="0" fontId="73" fillId="0" borderId="0" applyAlignment="1" pivotButton="0" quotePrefix="0" xfId="0">
      <alignment horizontal="center" vertical="center"/>
    </xf>
    <xf numFmtId="0" fontId="73" fillId="0" borderId="107" applyAlignment="1" pivotButton="0" quotePrefix="0" xfId="0">
      <alignment horizontal="center" vertical="center"/>
    </xf>
    <xf numFmtId="1" fontId="52" fillId="29" borderId="71" applyAlignment="1" pivotButton="0" quotePrefix="0" xfId="0">
      <alignment horizontal="center" vertical="center" wrapText="1"/>
    </xf>
    <xf numFmtId="1" fontId="52" fillId="0" borderId="71" applyAlignment="1" pivotButton="0" quotePrefix="0" xfId="0">
      <alignment horizontal="center" vertical="center" wrapText="1"/>
    </xf>
    <xf numFmtId="0" fontId="74" fillId="0" borderId="63" applyAlignment="1" pivotButton="0" quotePrefix="0" xfId="0">
      <alignment horizontal="center" vertical="center"/>
    </xf>
    <xf numFmtId="0" fontId="75" fillId="0" borderId="63" applyAlignment="1" pivotButton="0" quotePrefix="0" xfId="0">
      <alignment horizontal="center"/>
    </xf>
    <xf numFmtId="0" fontId="75" fillId="0" borderId="86" applyAlignment="1" pivotButton="0" quotePrefix="0" xfId="0">
      <alignment horizontal="center"/>
    </xf>
    <xf numFmtId="0" fontId="75" fillId="0" borderId="63" applyAlignment="1" pivotButton="0" quotePrefix="0" xfId="0">
      <alignment horizontal="center" wrapText="1"/>
    </xf>
    <xf numFmtId="0" fontId="75" fillId="20" borderId="63" applyAlignment="1" pivotButton="0" quotePrefix="0" xfId="0">
      <alignment horizontal="center"/>
    </xf>
    <xf numFmtId="0" fontId="75" fillId="0" borderId="88" applyAlignment="1" pivotButton="0" quotePrefix="0" xfId="0">
      <alignment horizontal="center"/>
    </xf>
    <xf numFmtId="0" fontId="75" fillId="0" borderId="89" applyAlignment="1" pivotButton="0" quotePrefix="0" xfId="0">
      <alignment horizontal="center"/>
    </xf>
    <xf numFmtId="0" fontId="75" fillId="0" borderId="77" applyAlignment="1" pivotButton="0" quotePrefix="0" xfId="0">
      <alignment horizontal="center" vertical="center"/>
    </xf>
    <xf numFmtId="0" fontId="75" fillId="0" borderId="75" applyAlignment="1" pivotButton="0" quotePrefix="0" xfId="0">
      <alignment horizontal="center" vertical="center"/>
    </xf>
    <xf numFmtId="0" fontId="75" fillId="0" borderId="76" applyAlignment="1" pivotButton="0" quotePrefix="0" xfId="0">
      <alignment horizontal="center" vertical="center"/>
    </xf>
    <xf numFmtId="0" fontId="75" fillId="0" borderId="0" applyAlignment="1" pivotButton="0" quotePrefix="0" xfId="0">
      <alignment horizontal="center"/>
    </xf>
    <xf numFmtId="0" fontId="75" fillId="0" borderId="75" applyAlignment="1" pivotButton="0" quotePrefix="0" xfId="0">
      <alignment horizontal="center"/>
    </xf>
    <xf numFmtId="0" fontId="75" fillId="0" borderId="76" applyAlignment="1" pivotButton="0" quotePrefix="0" xfId="0">
      <alignment horizontal="center"/>
    </xf>
    <xf numFmtId="2" fontId="15" fillId="0" borderId="11" applyAlignment="1" pivotButton="0" quotePrefix="0" xfId="0">
      <alignment horizontal="center" vertical="center"/>
    </xf>
    <xf numFmtId="0" fontId="76" fillId="0" borderId="0" applyAlignment="1" pivotButton="0" quotePrefix="0" xfId="0">
      <alignment horizontal="center" vertical="center"/>
    </xf>
    <xf numFmtId="0" fontId="77" fillId="0" borderId="0" applyAlignment="1" pivotButton="0" quotePrefix="0" xfId="0">
      <alignment horizontal="center"/>
    </xf>
    <xf numFmtId="0" fontId="53" fillId="0" borderId="173" applyAlignment="1" pivotButton="0" quotePrefix="0" xfId="0">
      <alignment horizontal="center" vertical="center" wrapText="1"/>
    </xf>
    <xf numFmtId="0" fontId="53" fillId="0" borderId="23" applyAlignment="1" pivotButton="0" quotePrefix="0" xfId="0">
      <alignment horizontal="center" vertical="center" wrapText="1"/>
    </xf>
    <xf numFmtId="0" fontId="42" fillId="5" borderId="173" applyAlignment="1" pivotButton="0" quotePrefix="0" xfId="0">
      <alignment vertical="center" wrapText="1"/>
    </xf>
    <xf numFmtId="0" fontId="42" fillId="5" borderId="23" applyAlignment="1" pivotButton="0" quotePrefix="0" xfId="0">
      <alignment vertical="center" wrapText="1"/>
    </xf>
    <xf numFmtId="0" fontId="52" fillId="0" borderId="174" applyAlignment="1" pivotButton="0" quotePrefix="0" xfId="0">
      <alignment horizontal="center" vertical="center" wrapText="1"/>
    </xf>
    <xf numFmtId="0" fontId="54" fillId="0" borderId="0" applyAlignment="1" pivotButton="0" quotePrefix="0" xfId="0">
      <alignment horizontal="center" vertical="center" wrapText="1"/>
    </xf>
    <xf numFmtId="0" fontId="52" fillId="0" borderId="107" applyAlignment="1" pivotButton="0" quotePrefix="0" xfId="0">
      <alignment horizontal="center" vertical="center" wrapText="1"/>
    </xf>
    <xf numFmtId="1" fontId="52" fillId="0" borderId="107" applyAlignment="1" pivotButton="0" quotePrefix="0" xfId="0">
      <alignment horizontal="center" vertical="center" wrapText="1"/>
    </xf>
    <xf numFmtId="1" fontId="52" fillId="0" borderId="0" applyAlignment="1" pivotButton="0" quotePrefix="0" xfId="0">
      <alignment horizontal="center" vertical="center" wrapText="1"/>
    </xf>
    <xf numFmtId="0" fontId="52" fillId="0" borderId="74" applyAlignment="1" pivotButton="0" quotePrefix="0" xfId="0">
      <alignment horizontal="center" vertical="center" wrapText="1"/>
    </xf>
    <xf numFmtId="166" fontId="78" fillId="0" borderId="173" applyAlignment="1" pivotButton="0" quotePrefix="0" xfId="0">
      <alignment horizontal="center" vertical="center" wrapText="1"/>
    </xf>
    <xf numFmtId="166" fontId="79" fillId="0" borderId="173" applyAlignment="1" pivotButton="0" quotePrefix="0" xfId="0">
      <alignment horizontal="center" vertical="center" wrapText="1"/>
    </xf>
    <xf numFmtId="1" fontId="14" fillId="0" borderId="5" applyAlignment="1" pivotButton="0" quotePrefix="0" xfId="0">
      <alignment horizontal="center" vertical="center" wrapText="1"/>
    </xf>
    <xf numFmtId="1" fontId="52" fillId="0" borderId="5" applyAlignment="1" pivotButton="0" quotePrefix="0" xfId="0">
      <alignment horizontal="center" vertical="center" wrapText="1"/>
    </xf>
    <xf numFmtId="2" fontId="14" fillId="0" borderId="175" applyAlignment="1" pivotButton="0" quotePrefix="0" xfId="0">
      <alignment horizontal="center" vertical="center" wrapText="1"/>
    </xf>
    <xf numFmtId="2" fontId="52" fillId="0" borderId="175" applyAlignment="1" pivotButton="0" quotePrefix="0" xfId="0">
      <alignment horizontal="center" vertical="center" wrapText="1"/>
    </xf>
    <xf numFmtId="0" fontId="75" fillId="20" borderId="86" applyAlignment="1" pivotButton="0" quotePrefix="0" xfId="0">
      <alignment horizontal="center"/>
    </xf>
    <xf numFmtId="0" fontId="80" fillId="0" borderId="63" applyAlignment="1" pivotButton="0" quotePrefix="0" xfId="0">
      <alignment horizontal="center"/>
    </xf>
    <xf numFmtId="0" fontId="31" fillId="11" borderId="177" applyAlignment="1" pivotButton="0" quotePrefix="0" xfId="0">
      <alignment horizontal="center" vertical="center"/>
    </xf>
    <xf numFmtId="0" fontId="0" fillId="0" borderId="19" pivotButton="0" quotePrefix="0" xfId="0"/>
    <xf numFmtId="0" fontId="0" fillId="0" borderId="20" pivotButton="0" quotePrefix="0" xfId="0"/>
    <xf numFmtId="0" fontId="41" fillId="0" borderId="75" applyAlignment="1" pivotButton="0" quotePrefix="0" xfId="0">
      <alignment horizontal="left"/>
    </xf>
    <xf numFmtId="0" fontId="0" fillId="0" borderId="75" pivotButton="0" quotePrefix="0" xfId="0"/>
    <xf numFmtId="0" fontId="41" fillId="0" borderId="0" applyAlignment="1" pivotButton="0" quotePrefix="0" xfId="0">
      <alignment horizontal="left"/>
    </xf>
    <xf numFmtId="0" fontId="15" fillId="0" borderId="0" pivotButton="0" quotePrefix="0" xfId="0"/>
    <xf numFmtId="0" fontId="41" fillId="0" borderId="0" applyAlignment="1" pivotButton="0" quotePrefix="0" xfId="0">
      <alignment horizontal="center"/>
    </xf>
    <xf numFmtId="0" fontId="47" fillId="0" borderId="75" pivotButton="0" quotePrefix="0" xfId="0"/>
    <xf numFmtId="0" fontId="41" fillId="0" borderId="76" applyAlignment="1" pivotButton="0" quotePrefix="0" xfId="0">
      <alignment horizontal="left"/>
    </xf>
    <xf numFmtId="0" fontId="0" fillId="0" borderId="76" pivotButton="0" quotePrefix="0" xfId="0"/>
    <xf numFmtId="0" fontId="5" fillId="0" borderId="75" applyAlignment="1" pivotButton="0" quotePrefix="0" xfId="0">
      <alignment horizontal="center"/>
    </xf>
    <xf numFmtId="0" fontId="31" fillId="18" borderId="177" applyAlignment="1" pivotButton="0" quotePrefix="0" xfId="0">
      <alignment horizontal="center" vertical="center" wrapText="1"/>
    </xf>
    <xf numFmtId="0" fontId="40" fillId="0" borderId="75" applyAlignment="1" pivotButton="0" quotePrefix="0" xfId="0">
      <alignment horizontal="left"/>
    </xf>
    <xf numFmtId="0" fontId="24" fillId="23" borderId="0" applyAlignment="1" pivotButton="0" quotePrefix="0" xfId="0">
      <alignment horizontal="center"/>
    </xf>
    <xf numFmtId="0" fontId="5" fillId="0" borderId="0" applyAlignment="1" pivotButton="0" quotePrefix="0" xfId="0">
      <alignment horizontal="center"/>
    </xf>
    <xf numFmtId="0" fontId="11" fillId="20" borderId="75" applyAlignment="1" pivotButton="0" quotePrefix="1" xfId="0">
      <alignment horizontal="left" wrapText="1"/>
    </xf>
    <xf numFmtId="0" fontId="14" fillId="0" borderId="63" applyAlignment="1" pivotButton="0" quotePrefix="0" xfId="0">
      <alignment horizontal="center" vertical="center"/>
    </xf>
    <xf numFmtId="0" fontId="0" fillId="0" borderId="21" pivotButton="0" quotePrefix="0" xfId="0"/>
    <xf numFmtId="0" fontId="41" fillId="20" borderId="75" applyAlignment="1" pivotButton="0" quotePrefix="0" xfId="0">
      <alignment horizontal="left"/>
    </xf>
    <xf numFmtId="0" fontId="11" fillId="0" borderId="75" applyAlignment="1" pivotButton="0" quotePrefix="1" xfId="0">
      <alignment horizontal="left"/>
    </xf>
    <xf numFmtId="0" fontId="41" fillId="0" borderId="75" pivotButton="0" quotePrefix="0" xfId="0"/>
    <xf numFmtId="0" fontId="11" fillId="20" borderId="75" applyAlignment="1" pivotButton="0" quotePrefix="1" xfId="0">
      <alignment horizontal="left"/>
    </xf>
    <xf numFmtId="0" fontId="41" fillId="20" borderId="75" pivotButton="0" quotePrefix="0" xfId="0"/>
    <xf numFmtId="0" fontId="24" fillId="14" borderId="0" applyAlignment="1" pivotButton="0" quotePrefix="0" xfId="0">
      <alignment horizontal="center" wrapText="1"/>
    </xf>
    <xf numFmtId="0" fontId="5" fillId="14" borderId="177" applyAlignment="1" pivotButton="0" quotePrefix="0" xfId="0">
      <alignment horizontal="center"/>
    </xf>
    <xf numFmtId="0" fontId="15" fillId="23" borderId="177" applyAlignment="1" pivotButton="0" quotePrefix="0" xfId="0">
      <alignment horizontal="center"/>
    </xf>
    <xf numFmtId="0" fontId="47" fillId="0" borderId="75" applyAlignment="1" pivotButton="0" quotePrefix="0" xfId="0">
      <alignment vertical="center"/>
    </xf>
    <xf numFmtId="0" fontId="41" fillId="0" borderId="75" applyAlignment="1" pivotButton="0" quotePrefix="0" xfId="0">
      <alignment horizontal="left" vertical="center"/>
    </xf>
    <xf numFmtId="0" fontId="24" fillId="18" borderId="0" applyAlignment="1" pivotButton="0" quotePrefix="0" xfId="0">
      <alignment horizontal="center"/>
    </xf>
    <xf numFmtId="0" fontId="5" fillId="28" borderId="60" applyAlignment="1" pivotButton="0" quotePrefix="0" xfId="0">
      <alignment horizontal="right" vertical="center"/>
    </xf>
    <xf numFmtId="0" fontId="0" fillId="0" borderId="60" pivotButton="0" quotePrefix="0" xfId="0"/>
    <xf numFmtId="0" fontId="11" fillId="20" borderId="75" applyAlignment="1" pivotButton="0" quotePrefix="0" xfId="0">
      <alignment horizontal="center" vertical="top" wrapText="1"/>
    </xf>
    <xf numFmtId="0" fontId="5" fillId="22" borderId="0" applyAlignment="1" pivotButton="0" quotePrefix="0" xfId="0">
      <alignment horizontal="center" wrapText="1"/>
    </xf>
    <xf numFmtId="0" fontId="43" fillId="24" borderId="177" applyAlignment="1" pivotButton="0" quotePrefix="0" xfId="0">
      <alignment horizontal="center"/>
    </xf>
    <xf numFmtId="0" fontId="44" fillId="24" borderId="0" applyAlignment="1" pivotButton="0" quotePrefix="0" xfId="0">
      <alignment horizontal="center"/>
    </xf>
    <xf numFmtId="0" fontId="51" fillId="0" borderId="0" applyAlignment="1" pivotButton="0" quotePrefix="0" xfId="0">
      <alignment horizontal="center" vertical="center"/>
    </xf>
    <xf numFmtId="0" fontId="41" fillId="0" borderId="75" applyAlignment="1" pivotButton="0" quotePrefix="0" xfId="0">
      <alignment horizontal="center"/>
    </xf>
    <xf numFmtId="0" fontId="46" fillId="0" borderId="75" applyAlignment="1" pivotButton="0" quotePrefix="0" xfId="0">
      <alignment horizontal="left"/>
    </xf>
    <xf numFmtId="0" fontId="11" fillId="20" borderId="75" applyAlignment="1" pivotButton="0" quotePrefix="1" xfId="0">
      <alignment horizontal="left" vertical="top" wrapText="1"/>
    </xf>
    <xf numFmtId="0" fontId="5" fillId="26" borderId="177" applyAlignment="1" pivotButton="0" quotePrefix="0" xfId="0">
      <alignment horizontal="center"/>
    </xf>
    <xf numFmtId="0" fontId="45" fillId="26" borderId="0" applyAlignment="1" pivotButton="0" quotePrefix="0" xfId="0">
      <alignment horizontal="center" wrapText="1"/>
    </xf>
    <xf numFmtId="0" fontId="41" fillId="0" borderId="76" applyAlignment="1" pivotButton="0" quotePrefix="0" xfId="0">
      <alignment horizontal="center"/>
    </xf>
    <xf numFmtId="0" fontId="43" fillId="10" borderId="177" applyAlignment="1" pivotButton="0" quotePrefix="0" xfId="0">
      <alignment horizontal="center"/>
    </xf>
    <xf numFmtId="0" fontId="44" fillId="10" borderId="0" applyAlignment="1" pivotButton="0" quotePrefix="0" xfId="0">
      <alignment horizontal="center"/>
    </xf>
    <xf numFmtId="0" fontId="48" fillId="0" borderId="75" applyAlignment="1" pivotButton="0" quotePrefix="0" xfId="0">
      <alignment horizontal="left"/>
    </xf>
    <xf numFmtId="0" fontId="54" fillId="5" borderId="0" applyAlignment="1" pivotButton="0" quotePrefix="0" xfId="0">
      <alignment horizontal="center" vertical="center" wrapText="1"/>
    </xf>
    <xf numFmtId="0" fontId="42" fillId="0" borderId="0" applyAlignment="1" pivotButton="0" quotePrefix="0" xfId="0">
      <alignment horizontal="center" vertical="center" wrapText="1"/>
    </xf>
    <xf numFmtId="0" fontId="42" fillId="5" borderId="74" applyAlignment="1" pivotButton="0" quotePrefix="0" xfId="0">
      <alignment horizontal="center" vertical="center" wrapText="1"/>
    </xf>
    <xf numFmtId="0" fontId="52" fillId="5" borderId="88" applyAlignment="1" pivotButton="0" quotePrefix="0" xfId="0">
      <alignment horizontal="center" vertical="center" wrapText="1"/>
    </xf>
    <xf numFmtId="0" fontId="4" fillId="0" borderId="74" applyAlignment="1" pivotButton="0" quotePrefix="0" xfId="0">
      <alignment horizontal="center" vertical="center" wrapText="1"/>
    </xf>
    <xf numFmtId="0" fontId="4" fillId="6" borderId="180" applyAlignment="1" pivotButton="0" quotePrefix="0" xfId="0">
      <alignment horizontal="center"/>
    </xf>
    <xf numFmtId="0" fontId="4" fillId="0" borderId="0" applyAlignment="1" pivotButton="0" quotePrefix="0" xfId="0">
      <alignment horizontal="center"/>
    </xf>
    <xf numFmtId="0" fontId="0" fillId="0" borderId="54" pivotButton="0" quotePrefix="0" xfId="0"/>
    <xf numFmtId="0" fontId="4" fillId="0" borderId="180" applyAlignment="1" pivotButton="0" quotePrefix="0" xfId="0">
      <alignment horizontal="center"/>
    </xf>
    <xf numFmtId="0" fontId="34" fillId="25" borderId="74" applyAlignment="1" pivotButton="0" quotePrefix="0" xfId="0">
      <alignment horizontal="center"/>
    </xf>
    <xf numFmtId="0" fontId="16" fillId="0" borderId="74" applyAlignment="1" pivotButton="0" quotePrefix="0" xfId="0">
      <alignment horizontal="center" vertical="center"/>
    </xf>
    <xf numFmtId="0" fontId="11" fillId="0" borderId="78" applyAlignment="1" pivotButton="0" quotePrefix="0" xfId="0">
      <alignment horizontal="center" vertical="center" wrapText="1"/>
    </xf>
    <xf numFmtId="0" fontId="0" fillId="0" borderId="176" pivotButton="0" quotePrefix="0" xfId="0"/>
    <xf numFmtId="0" fontId="4" fillId="0" borderId="181" applyAlignment="1" pivotButton="0" quotePrefix="0" xfId="0">
      <alignment horizontal="center"/>
    </xf>
    <xf numFmtId="0" fontId="0" fillId="0" borderId="182" pivotButton="0" quotePrefix="0" xfId="0"/>
    <xf numFmtId="0" fontId="8" fillId="0" borderId="78" applyAlignment="1" pivotButton="0" quotePrefix="0" xfId="0">
      <alignment horizontal="center" vertical="center"/>
    </xf>
    <xf numFmtId="0" fontId="8" fillId="0" borderId="78" applyAlignment="1" pivotButton="0" quotePrefix="0" xfId="0">
      <alignment horizontal="center" vertical="center" wrapText="1"/>
    </xf>
    <xf numFmtId="0" fontId="4" fillId="6" borderId="178" applyAlignment="1" pivotButton="0" quotePrefix="0" xfId="0">
      <alignment horizontal="center"/>
    </xf>
    <xf numFmtId="0" fontId="0" fillId="0" borderId="179" pivotButton="0" quotePrefix="0" xfId="0"/>
    <xf numFmtId="0" fontId="0" fillId="0" borderId="61" pivotButton="0" quotePrefix="0" xfId="0"/>
    <xf numFmtId="0" fontId="34" fillId="21" borderId="74" applyAlignment="1" pivotButton="0" quotePrefix="0" xfId="0">
      <alignment horizontal="center" vertical="center"/>
    </xf>
    <xf numFmtId="0" fontId="34" fillId="14" borderId="74" applyAlignment="1" pivotButton="0" quotePrefix="0" xfId="0">
      <alignment horizontal="center" vertical="center"/>
    </xf>
    <xf numFmtId="0" fontId="4" fillId="10" borderId="74" applyAlignment="1" pivotButton="0" quotePrefix="0" xfId="0">
      <alignment horizontal="center"/>
    </xf>
    <xf numFmtId="0" fontId="4" fillId="0" borderId="74" applyAlignment="1" pivotButton="0" quotePrefix="0" xfId="0">
      <alignment horizontal="center" vertical="center"/>
    </xf>
    <xf numFmtId="0" fontId="4" fillId="6" borderId="100" applyAlignment="1" pivotButton="0" quotePrefix="0" xfId="0">
      <alignment horizontal="center"/>
    </xf>
    <xf numFmtId="0" fontId="0" fillId="0" borderId="91" pivotButton="0" quotePrefix="0" xfId="0"/>
    <xf numFmtId="0" fontId="34" fillId="0" borderId="74" applyAlignment="1" pivotButton="0" quotePrefix="0" xfId="0">
      <alignment horizontal="center"/>
    </xf>
    <xf numFmtId="0" fontId="17" fillId="0" borderId="74" applyAlignment="1" pivotButton="0" quotePrefix="0" xfId="0">
      <alignment horizontal="center" vertical="center"/>
    </xf>
    <xf numFmtId="0" fontId="4" fillId="0" borderId="183" applyAlignment="1" pivotButton="0" quotePrefix="0" xfId="0">
      <alignment horizontal="center"/>
    </xf>
    <xf numFmtId="0" fontId="0" fillId="0" borderId="22" pivotButton="0" quotePrefix="0" xfId="0"/>
    <xf numFmtId="0" fontId="0" fillId="0" borderId="184" pivotButton="0" quotePrefix="0" xfId="0"/>
    <xf numFmtId="0" fontId="17" fillId="0" borderId="11" applyAlignment="1" pivotButton="0" quotePrefix="0" xfId="0">
      <alignment horizontal="center" vertical="center" textRotation="90"/>
    </xf>
    <xf numFmtId="0" fontId="0" fillId="0" borderId="5" pivotButton="0" quotePrefix="0" xfId="0"/>
    <xf numFmtId="0" fontId="14" fillId="0" borderId="11" applyAlignment="1" pivotButton="0" quotePrefix="0" xfId="0">
      <alignment horizontal="center" vertical="center" wrapText="1"/>
    </xf>
    <xf numFmtId="0" fontId="3" fillId="0" borderId="185" applyAlignment="1" pivotButton="0" quotePrefix="0" xfId="0">
      <alignment horizontal="center" vertical="center" wrapText="1"/>
    </xf>
    <xf numFmtId="0" fontId="0" fillId="0" borderId="186" pivotButton="0" quotePrefix="0" xfId="0"/>
    <xf numFmtId="0" fontId="14" fillId="11" borderId="18" applyAlignment="1" pivotButton="0" quotePrefix="0" xfId="0">
      <alignment horizontal="center" vertical="center"/>
    </xf>
    <xf numFmtId="0" fontId="5" fillId="0" borderId="185" applyAlignment="1" pivotButton="0" quotePrefix="0" xfId="0">
      <alignment horizontal="center" vertical="center" wrapText="1"/>
    </xf>
    <xf numFmtId="0" fontId="32" fillId="0" borderId="11" applyAlignment="1" pivotButton="0" quotePrefix="0" xfId="0">
      <alignment horizontal="center" vertical="center" wrapText="1"/>
    </xf>
    <xf numFmtId="0" fontId="2" fillId="0" borderId="34" applyAlignment="1" pivotButton="0" quotePrefix="0" xfId="0">
      <alignment horizontal="center" vertical="center" wrapText="1"/>
    </xf>
    <xf numFmtId="0" fontId="0" fillId="0" borderId="37" pivotButton="0" quotePrefix="0" xfId="0"/>
    <xf numFmtId="0" fontId="3" fillId="0" borderId="2" applyAlignment="1" pivotButton="0" quotePrefix="0" xfId="0">
      <alignment horizontal="center" vertical="center" wrapText="1"/>
    </xf>
    <xf numFmtId="0" fontId="0" fillId="0" borderId="30" pivotButton="0" quotePrefix="0" xfId="0"/>
    <xf numFmtId="0" fontId="2" fillId="0" borderId="187" applyAlignment="1" pivotButton="0" quotePrefix="0" xfId="0">
      <alignment horizontal="center" vertical="center" wrapText="1"/>
    </xf>
    <xf numFmtId="0" fontId="0" fillId="0" borderId="31" pivotButton="0" quotePrefix="0" xfId="0"/>
    <xf numFmtId="0" fontId="17" fillId="0" borderId="34" applyAlignment="1" pivotButton="0" quotePrefix="0" xfId="0">
      <alignment horizontal="center" vertical="center" textRotation="90"/>
    </xf>
    <xf numFmtId="0" fontId="2" fillId="0" borderId="0" applyAlignment="1" pivotButton="0" quotePrefix="0" xfId="0">
      <alignment horizontal="center" vertical="top" wrapText="1"/>
    </xf>
    <xf numFmtId="0" fontId="2" fillId="0" borderId="0" pivotButton="0" quotePrefix="0" xfId="0"/>
    <xf numFmtId="0" fontId="17" fillId="0" borderId="0" pivotButton="0" quotePrefix="0" xfId="0"/>
    <xf numFmtId="0" fontId="2" fillId="0" borderId="3" applyAlignment="1" pivotButton="0" quotePrefix="0" xfId="0">
      <alignment horizontal="center" vertical="center" wrapText="1"/>
    </xf>
    <xf numFmtId="0" fontId="0" fillId="0" borderId="24" pivotButton="0" quotePrefix="0" xfId="0"/>
    <xf numFmtId="0" fontId="3" fillId="0" borderId="187" applyAlignment="1" pivotButton="0" quotePrefix="0" xfId="0">
      <alignment horizontal="center" vertical="center" wrapText="1"/>
    </xf>
    <xf numFmtId="0" fontId="14" fillId="11" borderId="18" applyAlignment="1" pivotButton="0" quotePrefix="0" xfId="0">
      <alignment horizontal="center" vertical="center" wrapText="1"/>
    </xf>
    <xf numFmtId="0" fontId="42" fillId="11" borderId="18" applyAlignment="1" pivotButton="0" quotePrefix="0" xfId="0">
      <alignment horizontal="center" vertical="center"/>
    </xf>
    <xf numFmtId="0" fontId="17" fillId="0" borderId="34" applyAlignment="1" pivotButton="0" quotePrefix="0" xfId="0">
      <alignment horizontal="center" vertical="center" wrapText="1"/>
    </xf>
    <xf numFmtId="0" fontId="23" fillId="0" borderId="0" applyAlignment="1" pivotButton="0" quotePrefix="0" xfId="0">
      <alignment horizontal="center" vertical="center" wrapText="1"/>
    </xf>
    <xf numFmtId="0" fontId="2" fillId="0" borderId="0" applyAlignment="1" pivotButton="0" quotePrefix="0" xfId="0">
      <alignment horizontal="center"/>
    </xf>
    <xf numFmtId="0" fontId="17" fillId="0" borderId="187" applyAlignment="1" pivotButton="0" quotePrefix="0" xfId="0">
      <alignment horizontal="center" vertical="center" textRotation="90"/>
    </xf>
    <xf numFmtId="0" fontId="32" fillId="0" borderId="11" applyAlignment="1" pivotButton="0" quotePrefix="0" xfId="0">
      <alignment horizontal="center" vertical="center"/>
    </xf>
    <xf numFmtId="0" fontId="42" fillId="11" borderId="23" applyAlignment="1" pivotButton="0" quotePrefix="0" xfId="0">
      <alignment horizontal="center" vertical="center"/>
    </xf>
    <xf numFmtId="0" fontId="4" fillId="0" borderId="0" applyAlignment="1" pivotButton="0" quotePrefix="0" xfId="0">
      <alignment horizontal="left" vertical="center"/>
    </xf>
    <xf numFmtId="0" fontId="17" fillId="0" borderId="0" applyAlignment="1" pivotButton="0" quotePrefix="0" xfId="0">
      <alignment horizontal="center" vertical="center"/>
    </xf>
    <xf numFmtId="0" fontId="59" fillId="0" borderId="11" applyAlignment="1" applyProtection="1" pivotButton="0" quotePrefix="0" xfId="0">
      <alignment horizontal="center" vertical="center" wrapText="1"/>
      <protection locked="0" hidden="0"/>
    </xf>
    <xf numFmtId="0" fontId="0" fillId="0" borderId="5" applyProtection="1" pivotButton="0" quotePrefix="0" xfId="0">
      <protection locked="0" hidden="0"/>
    </xf>
    <xf numFmtId="0" fontId="42" fillId="11" borderId="23" applyAlignment="1" pivotButton="0" quotePrefix="0" xfId="0">
      <alignment horizontal="center" vertical="center" wrapText="1"/>
    </xf>
    <xf numFmtId="0" fontId="4" fillId="0" borderId="0" applyAlignment="1" pivotButton="0" quotePrefix="0" xfId="0">
      <alignment horizontal="center" vertical="center"/>
    </xf>
    <xf numFmtId="0" fontId="4" fillId="0" borderId="0" applyAlignment="1" pivotButton="0" quotePrefix="0" xfId="0">
      <alignment vertical="center"/>
    </xf>
    <xf numFmtId="0" fontId="12" fillId="0" borderId="11" applyAlignment="1" pivotButton="0" quotePrefix="0" xfId="0">
      <alignment horizontal="center" vertical="center" wrapText="1"/>
    </xf>
    <xf numFmtId="0" fontId="29" fillId="0" borderId="11" applyAlignment="1" pivotButton="0" quotePrefix="0" xfId="0">
      <alignment horizontal="center" vertical="center" wrapText="1"/>
    </xf>
    <xf numFmtId="0" fontId="26" fillId="0" borderId="11" applyAlignment="1" pivotButton="0" quotePrefix="0" xfId="0">
      <alignment horizontal="center" vertical="center" textRotation="90" wrapText="1"/>
    </xf>
    <xf numFmtId="0" fontId="15" fillId="4" borderId="18" applyAlignment="1" pivotButton="0" quotePrefix="1" xfId="0">
      <alignment horizontal="center" vertical="center" wrapText="1"/>
    </xf>
    <xf numFmtId="0" fontId="15" fillId="13" borderId="18" applyAlignment="1" pivotButton="0" quotePrefix="1" xfId="0">
      <alignment horizontal="center" vertical="center" wrapText="1"/>
    </xf>
    <xf numFmtId="0" fontId="5" fillId="0" borderId="11" applyAlignment="1" pivotButton="0" quotePrefix="0" xfId="0">
      <alignment horizontal="center" vertical="center" wrapText="1"/>
    </xf>
    <xf numFmtId="0" fontId="3" fillId="13" borderId="18" applyAlignment="1" pivotButton="0" quotePrefix="1" xfId="0">
      <alignment horizontal="center" vertical="center" wrapText="1"/>
    </xf>
    <xf numFmtId="0" fontId="11" fillId="0" borderId="11" applyAlignment="1" pivotButton="0" quotePrefix="0" xfId="0">
      <alignment horizontal="center" vertical="center" textRotation="90" wrapText="1"/>
    </xf>
    <xf numFmtId="0" fontId="5" fillId="14" borderId="18" applyAlignment="1" pivotButton="0" quotePrefix="0" xfId="0">
      <alignment horizontal="center" vertical="center" wrapText="1"/>
    </xf>
    <xf numFmtId="0" fontId="5" fillId="14" borderId="177" applyAlignment="1" pivotButton="0" quotePrefix="0" xfId="0">
      <alignment horizontal="center" vertical="center" wrapText="1"/>
    </xf>
    <xf numFmtId="0" fontId="12" fillId="7" borderId="177" applyAlignment="1" pivotButton="0" quotePrefix="0" xfId="0">
      <alignment horizontal="center" vertical="center" wrapText="1"/>
    </xf>
    <xf numFmtId="0" fontId="0" fillId="0" borderId="0" pivotButton="0" quotePrefix="0" xfId="0"/>
    <xf numFmtId="0" fontId="11" fillId="0" borderId="11" applyAlignment="1" pivotButton="0" quotePrefix="0" xfId="0">
      <alignment horizontal="center" vertical="center" wrapText="1"/>
    </xf>
    <xf numFmtId="0" fontId="5" fillId="7" borderId="18" applyAlignment="1" pivotButton="0" quotePrefix="0" xfId="0">
      <alignment horizontal="center" vertical="center" wrapText="1"/>
    </xf>
    <xf numFmtId="0" fontId="4" fillId="0" borderId="55" applyAlignment="1" pivotButton="0" quotePrefix="0" xfId="0">
      <alignment horizontal="center" vertical="center" wrapText="1"/>
    </xf>
    <xf numFmtId="0" fontId="0" fillId="0" borderId="55" pivotButton="0" quotePrefix="0" xfId="0"/>
    <xf numFmtId="0" fontId="4" fillId="16" borderId="180" applyAlignment="1" pivotButton="0" quotePrefix="0" xfId="0">
      <alignment horizontal="center"/>
    </xf>
    <xf numFmtId="0" fontId="26" fillId="0" borderId="11" applyAlignment="1" pivotButton="0" quotePrefix="0" xfId="0">
      <alignment horizontal="center" vertical="center" wrapText="1"/>
    </xf>
    <xf numFmtId="0" fontId="62" fillId="0" borderId="11" applyAlignment="1" pivotButton="0" quotePrefix="0" xfId="0">
      <alignment horizontal="center" vertical="center" wrapText="1"/>
    </xf>
    <xf numFmtId="0" fontId="16" fillId="0" borderId="11" applyAlignment="1" pivotButton="0" quotePrefix="0" xfId="0">
      <alignment horizontal="center" vertical="center" wrapText="1"/>
    </xf>
    <xf numFmtId="0" fontId="0" fillId="0" borderId="6" pivotButton="0" quotePrefix="0" xfId="0"/>
    <xf numFmtId="0" fontId="12" fillId="15" borderId="18" applyAlignment="1" pivotButton="0" quotePrefix="0" xfId="0">
      <alignment horizontal="center" vertical="center" wrapText="1"/>
    </xf>
    <xf numFmtId="0" fontId="6" fillId="0" borderId="11" applyAlignment="1" pivotButton="0" quotePrefix="0" xfId="0">
      <alignment horizontal="center" vertical="center" wrapText="1"/>
    </xf>
    <xf numFmtId="0" fontId="31" fillId="16" borderId="18" applyAlignment="1" pivotButton="0" quotePrefix="1" xfId="0">
      <alignment horizontal="center" vertical="center" wrapText="1"/>
    </xf>
    <xf numFmtId="0" fontId="9" fillId="16" borderId="18" applyAlignment="1" pivotButton="0" quotePrefix="1" xfId="0">
      <alignment horizontal="center" vertical="center" wrapText="1"/>
    </xf>
    <xf numFmtId="0" fontId="0" fillId="8" borderId="60" applyAlignment="1" pivotButton="0" quotePrefix="0" xfId="0">
      <alignment horizontal="center"/>
    </xf>
    <xf numFmtId="0" fontId="13" fillId="9" borderId="63" applyAlignment="1" pivotButton="0" quotePrefix="0" xfId="0">
      <alignment horizontal="right" vertical="center"/>
    </xf>
    <xf numFmtId="0" fontId="13" fillId="20" borderId="21" applyAlignment="1" pivotButton="0" quotePrefix="0" xfId="0">
      <alignment horizontal="center" vertical="center"/>
    </xf>
    <xf numFmtId="0" fontId="12" fillId="0" borderId="38" applyAlignment="1" pivotButton="0" quotePrefix="0" xfId="0">
      <alignment horizontal="center" vertical="center" wrapText="1"/>
    </xf>
    <xf numFmtId="0" fontId="5" fillId="0" borderId="51" applyAlignment="1" pivotButton="0" quotePrefix="0" xfId="0">
      <alignment horizontal="center" vertical="center" wrapText="1"/>
    </xf>
    <xf numFmtId="0" fontId="0" fillId="0" borderId="53" pivotButton="0" quotePrefix="0" xfId="0"/>
    <xf numFmtId="0" fontId="12" fillId="0" borderId="32" applyAlignment="1" pivotButton="0" quotePrefix="0" xfId="0">
      <alignment horizontal="center" vertical="center" wrapText="1"/>
    </xf>
    <xf numFmtId="0" fontId="12" fillId="18" borderId="33" applyAlignment="1" pivotButton="0" quotePrefix="1" xfId="0">
      <alignment horizontal="center" vertical="center" wrapText="1"/>
    </xf>
    <xf numFmtId="0" fontId="28" fillId="0" borderId="0" pivotButton="0" quotePrefix="0" xfId="0"/>
    <xf numFmtId="0" fontId="26" fillId="0" borderId="38" applyAlignment="1" pivotButton="0" quotePrefix="0" xfId="0">
      <alignment horizontal="center" vertical="center" textRotation="90" wrapText="1"/>
    </xf>
    <xf numFmtId="0" fontId="12" fillId="0" borderId="34" applyAlignment="1" pivotButton="0" quotePrefix="0" xfId="0">
      <alignment horizontal="center" vertical="center" wrapText="1"/>
    </xf>
    <xf numFmtId="0" fontId="21" fillId="12" borderId="22" applyAlignment="1" pivotButton="0" quotePrefix="0" xfId="0">
      <alignment horizontal="center" vertical="center" textRotation="90"/>
    </xf>
    <xf numFmtId="0" fontId="12" fillId="17" borderId="63" applyAlignment="1" pivotButton="0" quotePrefix="1" xfId="0">
      <alignment horizontal="center" vertical="center" wrapText="1"/>
    </xf>
    <xf numFmtId="0" fontId="27" fillId="14" borderId="52" applyAlignment="1" pivotButton="0" quotePrefix="0" xfId="0">
      <alignment horizontal="center" vertical="center" textRotation="90" wrapText="1"/>
    </xf>
    <xf numFmtId="0" fontId="26" fillId="0" borderId="38" applyAlignment="1" pivotButton="0" quotePrefix="0" xfId="0">
      <alignment horizontal="center" vertical="center" wrapText="1"/>
    </xf>
    <xf numFmtId="0" fontId="31" fillId="18" borderId="18" applyAlignment="1" pivotButton="0" quotePrefix="1" xfId="0">
      <alignment horizontal="center" vertical="center" wrapText="1"/>
    </xf>
    <xf numFmtId="0" fontId="31" fillId="15" borderId="18" applyAlignment="1" pivotButton="0" quotePrefix="1" xfId="0">
      <alignment horizontal="center" vertical="center" wrapText="1"/>
    </xf>
    <xf numFmtId="0" fontId="5" fillId="0" borderId="39" applyAlignment="1" pivotButton="0" quotePrefix="0" xfId="0">
      <alignment horizontal="center" vertical="center" wrapText="1"/>
    </xf>
    <xf numFmtId="0" fontId="0" fillId="0" borderId="188" pivotButton="0" quotePrefix="0" xfId="0"/>
    <xf numFmtId="0" fontId="12" fillId="0" borderId="35" applyAlignment="1" pivotButton="0" quotePrefix="0" xfId="0">
      <alignment horizontal="center" vertical="center" wrapText="1"/>
    </xf>
    <xf numFmtId="0" fontId="0" fillId="0" borderId="12" pivotButton="0" quotePrefix="0" xfId="0"/>
    <xf numFmtId="0" fontId="26" fillId="0" borderId="35" applyAlignment="1" pivotButton="0" quotePrefix="0" xfId="0">
      <alignment horizontal="center" vertical="center" textRotation="90" wrapText="1"/>
    </xf>
    <xf numFmtId="0" fontId="12" fillId="10" borderId="33" applyAlignment="1" pivotButton="0" quotePrefix="0" xfId="0">
      <alignment horizontal="center" vertical="center" wrapText="1"/>
    </xf>
    <xf numFmtId="0" fontId="3" fillId="16" borderId="74" applyAlignment="1" pivotButton="0" quotePrefix="1" xfId="0">
      <alignment horizontal="center" vertical="center" wrapText="1"/>
    </xf>
    <xf numFmtId="20" fontId="17" fillId="0" borderId="0" applyAlignment="1" pivotButton="0" quotePrefix="0" xfId="0">
      <alignment horizontal="left" vertical="top"/>
    </xf>
    <xf numFmtId="0" fontId="3" fillId="15" borderId="74" applyAlignment="1" pivotButton="0" quotePrefix="1" xfId="0">
      <alignment horizontal="center" vertical="top" wrapText="1"/>
    </xf>
    <xf numFmtId="0" fontId="13" fillId="14" borderId="74" applyAlignment="1" pivotButton="0" quotePrefix="0" xfId="0">
      <alignment horizontal="center"/>
    </xf>
    <xf numFmtId="0" fontId="3" fillId="17" borderId="63" applyAlignment="1" pivotButton="0" quotePrefix="1" xfId="0">
      <alignment horizontal="center" vertical="top" wrapText="1"/>
    </xf>
    <xf numFmtId="0" fontId="3" fillId="10" borderId="74" applyAlignment="1" pivotButton="0" quotePrefix="1" xfId="0">
      <alignment horizontal="center" vertical="center" wrapText="1"/>
    </xf>
    <xf numFmtId="0" fontId="3" fillId="7" borderId="74" applyAlignment="1" pivotButton="0" quotePrefix="1" xfId="0">
      <alignment horizontal="center" vertical="top" wrapText="1"/>
    </xf>
    <xf numFmtId="0" fontId="2" fillId="0" borderId="0" applyAlignment="1" pivotButton="0" quotePrefix="0" xfId="0">
      <alignment horizontal="center" wrapText="1"/>
    </xf>
    <xf numFmtId="0" fontId="3" fillId="13" borderId="74" applyAlignment="1" pivotButton="0" quotePrefix="1" xfId="0">
      <alignment horizontal="center" vertical="center" wrapText="1"/>
    </xf>
    <xf numFmtId="0" fontId="14" fillId="11" borderId="145" applyAlignment="1" pivotButton="0" quotePrefix="0" xfId="0">
      <alignment horizontal="center" vertical="center"/>
    </xf>
    <xf numFmtId="0" fontId="3" fillId="4" borderId="46" applyAlignment="1" pivotButton="0" quotePrefix="0" xfId="0">
      <alignment horizontal="center" vertical="center" wrapText="1"/>
    </xf>
    <xf numFmtId="0" fontId="0" fillId="0" borderId="109" pivotButton="0" quotePrefix="0" xfId="0"/>
    <xf numFmtId="0" fontId="23" fillId="0" borderId="88" applyAlignment="1" pivotButton="0" quotePrefix="0" xfId="0">
      <alignment horizontal="center" vertical="center" wrapText="1"/>
    </xf>
    <xf numFmtId="0" fontId="2" fillId="0" borderId="0" applyAlignment="1" pivotButton="0" quotePrefix="0" xfId="0">
      <alignment vertical="top"/>
    </xf>
    <xf numFmtId="0" fontId="0" fillId="0" borderId="88" pivotButton="0" quotePrefix="0" xfId="0"/>
    <xf numFmtId="0" fontId="3" fillId="11" borderId="74" applyAlignment="1" pivotButton="0" quotePrefix="0" xfId="0">
      <alignment horizontal="center" vertical="center" wrapText="1"/>
    </xf>
    <xf numFmtId="0" fontId="3" fillId="11" borderId="74" applyAlignment="1" pivotButton="0" quotePrefix="0" xfId="0">
      <alignment horizontal="center" vertical="center"/>
    </xf>
    <xf numFmtId="0" fontId="7" fillId="18" borderId="74" applyAlignment="1" pivotButton="0" quotePrefix="0" xfId="0">
      <alignment horizontal="center" vertical="top"/>
    </xf>
    <xf numFmtId="0" fontId="14" fillId="11" borderId="131" applyAlignment="1" pivotButton="0" quotePrefix="0" xfId="0">
      <alignment horizontal="center" vertical="center"/>
    </xf>
    <xf numFmtId="0" fontId="0" fillId="0" borderId="132" pivotButton="0" quotePrefix="0" xfId="0"/>
    <xf numFmtId="0" fontId="45" fillId="13" borderId="74" applyAlignment="1" pivotButton="0" quotePrefix="1" xfId="0">
      <alignment horizontal="center" vertical="center" wrapText="1"/>
    </xf>
    <xf numFmtId="0" fontId="2" fillId="0" borderId="88" applyAlignment="1" pivotButton="0" quotePrefix="0" xfId="0">
      <alignment horizontal="center" vertical="top" wrapText="1"/>
    </xf>
    <xf numFmtId="0" fontId="3" fillId="0" borderId="159" applyAlignment="1" pivotButton="0" quotePrefix="0" xfId="0">
      <alignment horizontal="center" vertical="center" wrapText="1"/>
    </xf>
    <xf numFmtId="0" fontId="0" fillId="0" borderId="133" pivotButton="0" quotePrefix="0" xfId="0"/>
    <xf numFmtId="0" fontId="3" fillId="11" borderId="46" applyAlignment="1" pivotButton="0" quotePrefix="0" xfId="0">
      <alignment horizontal="center" vertical="center"/>
    </xf>
    <xf numFmtId="0" fontId="18" fillId="6" borderId="74" applyAlignment="1" pivotButton="0" quotePrefix="0" xfId="0">
      <alignment horizontal="left" vertical="center" wrapText="1"/>
    </xf>
    <xf numFmtId="0" fontId="9" fillId="16" borderId="18" applyAlignment="1" pivotButton="0" quotePrefix="0" xfId="0">
      <alignment horizontal="center" vertical="center" wrapText="1"/>
    </xf>
    <xf numFmtId="0" fontId="26" fillId="0" borderId="153" applyAlignment="1" pivotButton="0" quotePrefix="0" xfId="0">
      <alignment horizontal="center" vertical="center" textRotation="90" wrapText="1"/>
    </xf>
    <xf numFmtId="0" fontId="31" fillId="15" borderId="18" applyAlignment="1" pivotButton="0" quotePrefix="0" xfId="0">
      <alignment horizontal="center" vertical="center" wrapText="1"/>
    </xf>
    <xf numFmtId="0" fontId="12" fillId="0" borderId="153" applyAlignment="1" pivotButton="0" quotePrefix="0" xfId="0">
      <alignment horizontal="center" vertical="center" wrapText="1"/>
    </xf>
    <xf numFmtId="0" fontId="31" fillId="16" borderId="18" applyAlignment="1" pivotButton="0" quotePrefix="0" xfId="0">
      <alignment horizontal="center" vertical="center" wrapText="1"/>
    </xf>
    <xf numFmtId="0" fontId="12" fillId="3" borderId="33" applyAlignment="1" pivotButton="0" quotePrefix="0" xfId="0">
      <alignment horizontal="center" vertical="center" wrapText="1"/>
    </xf>
    <xf numFmtId="0" fontId="5" fillId="0" borderId="153" applyAlignment="1" pivotButton="0" quotePrefix="0" xfId="0">
      <alignment horizontal="center" vertical="center" wrapText="1"/>
    </xf>
  </cellXfs>
  <cellStyles count="2">
    <cellStyle name="표준" xfId="0" builtinId="0"/>
    <cellStyle name="40% - 강조색2" xfId="1" builtinId="35"/>
  </cellStyles>
  <dxfs count="12">
    <dxf>
      <font>
        <name val="Calibri"/>
        <family val="2"/>
        <strike val="0"/>
        <outline val="0"/>
        <shadow val="0"/>
        <condense val="0"/>
        <color auto="1"/>
        <extend val="0"/>
        <sz val="14"/>
        <vertAlign val="baseline"/>
        <scheme val="minor"/>
      </font>
      <alignment horizontal="center" vertical="center"/>
    </dxf>
    <dxf>
      <border outline="0">
        <bottom style="thin">
          <color indexed="64"/>
        </bottom>
      </border>
    </dxf>
    <dxf>
      <font>
        <name val="Calibri"/>
        <family val="2"/>
        <strike val="0"/>
        <outline val="0"/>
        <shadow val="0"/>
        <condense val="0"/>
        <color auto="1"/>
        <extend val="0"/>
        <sz val="14"/>
        <vertAlign val="baseline"/>
        <scheme val="minor"/>
      </font>
      <alignment horizontal="center" vertical="center"/>
    </dxf>
    <dxf>
      <font>
        <name val="Calibri"/>
        <family val="2"/>
        <b val="1"/>
        <strike val="0"/>
        <outline val="0"/>
        <shadow val="0"/>
        <condense val="0"/>
        <color theme="1"/>
        <extend val="0"/>
        <sz val="16"/>
        <vertAlign val="baseline"/>
        <scheme val="minor"/>
      </font>
      <alignment horizontal="center" vertical="center"/>
    </dxf>
    <dxf>
      <font>
        <name val="Calibri"/>
        <family val="2"/>
        <strike val="0"/>
        <outline val="0"/>
        <shadow val="0"/>
        <condense val="0"/>
        <color auto="1"/>
        <extend val="0"/>
        <sz val="14"/>
        <vertAlign val="baseline"/>
        <scheme val="minor"/>
      </font>
      <alignment horizontal="center" vertical="center"/>
    </dxf>
    <dxf>
      <border outline="0">
        <bottom style="thin">
          <color indexed="64"/>
        </bottom>
      </border>
    </dxf>
    <dxf>
      <font>
        <name val="Calibri"/>
        <family val="2"/>
        <strike val="0"/>
        <outline val="0"/>
        <shadow val="0"/>
        <condense val="0"/>
        <color auto="1"/>
        <extend val="0"/>
        <sz val="14"/>
        <vertAlign val="baseline"/>
        <scheme val="minor"/>
      </font>
      <alignment horizontal="center" vertical="center"/>
    </dxf>
    <dxf>
      <font>
        <name val="Calibri"/>
        <family val="2"/>
        <b val="1"/>
        <strike val="0"/>
        <outline val="0"/>
        <shadow val="0"/>
        <condense val="0"/>
        <color theme="1"/>
        <extend val="0"/>
        <sz val="16"/>
        <vertAlign val="baseline"/>
        <scheme val="minor"/>
      </font>
      <alignment horizontal="center" vertical="center"/>
    </dxf>
    <dxf>
      <font>
        <name val="Calibri"/>
        <family val="2"/>
        <strike val="0"/>
        <outline val="0"/>
        <shadow val="0"/>
        <condense val="0"/>
        <color auto="1"/>
        <extend val="0"/>
        <sz val="14"/>
        <vertAlign val="baseline"/>
        <scheme val="minor"/>
      </font>
      <alignment horizontal="center" vertical="center"/>
    </dxf>
    <dxf>
      <border outline="0">
        <bottom style="thin">
          <color indexed="64"/>
        </bottom>
      </border>
    </dxf>
    <dxf>
      <font>
        <name val="Calibri"/>
        <family val="2"/>
        <strike val="0"/>
        <outline val="0"/>
        <shadow val="0"/>
        <condense val="0"/>
        <color auto="1"/>
        <extend val="0"/>
        <sz val="14"/>
        <vertAlign val="baseline"/>
        <scheme val="minor"/>
      </font>
      <alignment horizontal="center" vertical="center"/>
    </dxf>
    <dxf>
      <font>
        <name val="Calibri"/>
        <family val="2"/>
        <b val="1"/>
        <strike val="0"/>
        <outline val="0"/>
        <shadow val="0"/>
        <condense val="0"/>
        <color theme="1"/>
        <extend val="0"/>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externalLink" Target="/xl/externalLinks/externalLink1.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comments/comment1.xml><?xml version="1.0" encoding="utf-8"?>
<comments xmlns="http://schemas.openxmlformats.org/spreadsheetml/2006/main">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text>
    </comment>
    <comment ref="A32" authorId="1"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text>
    </comment>
    <comment ref="A34" authorId="2"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text>
    </comment>
    <comment ref="A38" authorId="3"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text>
    </comment>
    <comment ref="A56" authorId="4"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text>
    </comment>
    <comment ref="A59" authorId="5"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text>
    </comment>
    <comment ref="A64" authorId="6" shapeId="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text>
    </comment>
  </commentList>
</comments>
</file>

<file path=xl/comments/comment2.xml><?xml version="1.0" encoding="utf-8"?>
<comments xmlns="http://schemas.openxmlformats.org/spreadsheetml/2006/main">
  <authors>
    <author>marjolaine</author>
    <author>yves</author>
    <author>Maintenance</author>
  </authors>
  <commentList>
    <comment ref="I3" authorId="0" shapeId="0">
      <text>
        <t xml:space="preserve">marjolaine:
Récupéré par Christophe 
Commande à passer en amont, 24-48h avant </t>
      </text>
    </comment>
    <comment ref="I4" authorId="0" shapeId="0">
      <text>
        <t>marjolaine:
délai de livraison +/- 10 jours
Cmde coopenoix: 
Intitulé "cerneaux dauphiné invalides arlequins"</t>
      </text>
    </comment>
    <comment ref="BC4" authorId="1" shapeId="0">
      <text>
        <t>Besoin x2</t>
      </text>
    </comment>
    <comment ref="BG4" authorId="1" shapeId="0">
      <text>
        <t>1 carton = 80 stick</t>
      </text>
    </comment>
    <comment ref="I5" authorId="0" shapeId="0">
      <text>
        <t>marjolaine:
délai de livraison +/- 10 jours</t>
      </text>
    </comment>
    <comment ref="BC5" authorId="1" shapeId="0">
      <text>
        <t xml:space="preserve">Besoin x 2
</t>
      </text>
    </comment>
    <comment ref="BG5" authorId="1" shapeId="0">
      <text>
        <t>1 carton = 500 bouts</t>
      </text>
    </comment>
    <comment ref="I6" authorId="0" shapeId="0">
      <text>
        <t>marjolaine:
Commander lundi pour livraison Mercredi
"roquefort cave blanche 1/2 AOP"</t>
      </text>
    </comment>
    <comment ref="I7" authorId="0" shapeId="0">
      <text>
        <t>marjolaine:
Commander lundi pour livraison Mercredi
"buche de chevre 1kg"</t>
      </text>
    </comment>
    <comment ref="BG7" authorId="1" shapeId="0">
      <text>
        <t>1 fût = 10 000 bouts</t>
      </text>
    </comment>
    <comment ref="I8" authorId="0" shapeId="0">
      <text>
        <t>marjolaine:
délai de livraison +/- 10 jours</t>
      </text>
    </comment>
    <comment ref="I9" authorId="0" shapeId="0">
      <text>
        <t>marjolaine:
Délai de livraison 1 mois minimum</t>
      </text>
    </comment>
    <comment ref="I10" authorId="0" shapeId="0">
      <text>
        <t>marjolaine:
Délai de livraison 1 mois minimum</t>
      </text>
    </comment>
    <comment ref="I11" authorId="0" shapeId="0">
      <text>
        <t>marjolaine:
Récupérer par Christophe ou acheter à INTER CHAZELLES</t>
      </text>
    </comment>
    <comment ref="B12" authorId="2" shapeId="0">
      <text>
        <t>Manueva 29/03: 
Dans la formule y était additionné l'erythorbate de sodium de la recette Halal G.P - 200 et BN. Or il n'y en a pas</t>
      </text>
    </comment>
    <comment ref="I12" authorId="0" shapeId="0">
      <text>
        <t>marjolaine:
Récupérer par Christophe</t>
      </text>
    </comment>
    <comment ref="I13" authorId="0" shapeId="0">
      <text>
        <t>marjolaine:
Commander lundi et voir comment Mr Boutheon peux nous récuperer la marchandise dans la semaine
"Myrtilles sauvages congelées en sac de 1kg" code article : BIMY60XD02</t>
      </text>
    </comment>
    <comment ref="I14" authorId="0" shapeId="0">
      <text>
        <t>marjolaine:
délai de livraison +/- 15 jours
Cèpes granulés 2/6MM 1KG</t>
      </text>
    </comment>
    <comment ref="I15" authorId="0" shapeId="0">
      <text>
        <t>marjolaine:
Delai de livraison 8 jours</t>
      </text>
    </comment>
    <comment ref="I16" authorId="0" shapeId="0">
      <text>
        <t xml:space="preserve">marjolaine:
Récupérer par Christophe
</t>
      </text>
    </comment>
    <comment ref="BC16" authorId="1" shapeId="0">
      <text>
        <t>Besoin x 2</t>
      </text>
    </comment>
    <comment ref="BG16" authorId="1" shapeId="0">
      <text>
        <t xml:space="preserve">1 fût = 3 200 bouts
</t>
      </text>
    </comment>
    <comment ref="I17" authorId="0" shapeId="0">
      <text>
        <t>marjolaine:
Acheter soit à INTER soit a la CBA par J. Michel
Soit à Metro (par Christophe)</t>
      </text>
    </comment>
    <comment ref="BG17" authorId="1" shapeId="0">
      <text>
        <t xml:space="preserve">1 fût = 1 500 bouts
</t>
      </text>
    </comment>
    <comment ref="I18" authorId="0" shapeId="0">
      <text>
        <t xml:space="preserve">marjolaine:
Délai de livraison 8 à 10 jours
</t>
      </text>
    </comment>
    <comment ref="BG18" authorId="1" shapeId="0">
      <text>
        <t>1 fût = 4 200 bouts</t>
      </text>
    </comment>
    <comment ref="I19" authorId="0" shapeId="0">
      <text>
        <t xml:space="preserve">marjolaine:
Délai de livraison minimum 3 semaines
</t>
      </text>
    </comment>
  </commentList>
</comments>
</file>

<file path=xl/comments/comment3.xml><?xml version="1.0" encoding="utf-8"?>
<comments xmlns="http://schemas.openxmlformats.org/spreadsheetml/2006/main">
  <authors>
    <author>.....</author>
  </authors>
  <commentList>
    <comment ref="A6" authorId="0" shapeId="0">
      <text>
        <t xml:space="preserve">.....:
PA 0,124
</t>
      </text>
    </comment>
    <comment ref="K6" authorId="0" shapeId="0">
      <text>
        <t xml:space="preserve">.....:
PA 0,124
</t>
      </text>
    </comment>
    <comment ref="V6" authorId="0" shapeId="0">
      <text>
        <t xml:space="preserve">.....:
PA 0,124
</t>
      </text>
    </comment>
    <comment ref="A8" authorId="0" shapeId="0">
      <text>
        <t>.....:
PA 7,95</t>
      </text>
    </comment>
    <comment ref="K8" authorId="0" shapeId="0">
      <text>
        <t>.....:
PA 7,95</t>
      </text>
    </comment>
    <comment ref="V8" authorId="0" shapeId="0">
      <text>
        <t>.....:
PA 7,95</t>
      </text>
    </comment>
    <comment ref="A9" authorId="0" shapeId="0">
      <text>
        <t xml:space="preserve">.....:
PA0,88
</t>
      </text>
    </comment>
    <comment ref="K9" authorId="0" shapeId="0">
      <text>
        <t xml:space="preserve">.....:
PA0,88
</t>
      </text>
    </comment>
    <comment ref="V9" authorId="0" shapeId="0">
      <text>
        <t xml:space="preserve">.....:
PA0,88
</t>
      </text>
    </comment>
    <comment ref="A10" authorId="0" shapeId="0">
      <text>
        <t xml:space="preserve">.....:
PA 1,15
</t>
      </text>
    </comment>
    <comment ref="K10" authorId="0" shapeId="0">
      <text>
        <t xml:space="preserve">.....:
PA 1,15
</t>
      </text>
    </comment>
    <comment ref="V10" authorId="0" shapeId="0">
      <text>
        <t xml:space="preserve">.....:
PA 1,15
</t>
      </text>
    </comment>
    <comment ref="A11" authorId="0" shapeId="0">
      <text>
        <t xml:space="preserve">.....:
PA 0,79
</t>
      </text>
    </comment>
    <comment ref="K11" authorId="0" shapeId="0">
      <text>
        <t xml:space="preserve">.....:
PA 0,79
</t>
      </text>
    </comment>
    <comment ref="V11" authorId="0" shapeId="0">
      <text>
        <t xml:space="preserve">.....:
PA 0,79
</t>
      </text>
    </comment>
    <comment ref="A12" authorId="0" shapeId="0">
      <text>
        <t xml:space="preserve">.....:
PA 3,50
</t>
      </text>
    </comment>
    <comment ref="K12" authorId="0" shapeId="0">
      <text>
        <t xml:space="preserve">.....:
PA 3,50
</t>
      </text>
    </comment>
    <comment ref="V12" authorId="0" shapeId="0">
      <text>
        <t xml:space="preserve">.....:
PA 3,50
</t>
      </text>
    </comment>
    <comment ref="A13" authorId="0" shapeId="0">
      <text>
        <t xml:space="preserve">.....:
PA 8,15
</t>
      </text>
    </comment>
    <comment ref="K13" authorId="0" shapeId="0">
      <text>
        <t xml:space="preserve">.....:
PA 8,15
</t>
      </text>
    </comment>
    <comment ref="V13" authorId="0" shapeId="0">
      <text>
        <t xml:space="preserve">.....:
PA 8,15
</t>
      </text>
    </comment>
    <comment ref="A14" authorId="0" shapeId="0">
      <text>
        <t xml:space="preserve">.....:
PA 1,60
</t>
      </text>
    </comment>
    <comment ref="K14" authorId="0" shapeId="0">
      <text>
        <t xml:space="preserve">.....:
PA 1,60
</t>
      </text>
    </comment>
    <comment ref="V14" authorId="0" shapeId="0">
      <text>
        <t xml:space="preserve">.....:
PA 1,60
</t>
      </text>
    </comment>
    <comment ref="A15" authorId="0" shapeId="0">
      <text>
        <t xml:space="preserve">.....:
PA 1,84
</t>
      </text>
    </comment>
    <comment ref="K15" authorId="0" shapeId="0">
      <text>
        <t xml:space="preserve">.....:
PA 1,84
</t>
      </text>
    </comment>
    <comment ref="V15" authorId="0" shapeId="0">
      <text>
        <t xml:space="preserve">.....:
PA 1,84
</t>
      </text>
    </comment>
    <comment ref="A16" authorId="0" shapeId="0">
      <text>
        <t xml:space="preserve">.....:
PA 4,02
</t>
      </text>
    </comment>
    <comment ref="K16" authorId="0" shapeId="0">
      <text>
        <t xml:space="preserve">.....:
PA 4,02
</t>
      </text>
    </comment>
    <comment ref="V16" authorId="0" shapeId="0">
      <text>
        <t xml:space="preserve">.....:
PA 4,02
</t>
      </text>
    </comment>
    <comment ref="A17" authorId="0" shapeId="0">
      <text>
        <t xml:space="preserve">.....:
PA 23,55
</t>
      </text>
    </comment>
    <comment ref="K17" authorId="0" shapeId="0">
      <text>
        <t xml:space="preserve">.....:
PA 23,55
</t>
      </text>
    </comment>
    <comment ref="V17" authorId="0" shapeId="0">
      <text>
        <t xml:space="preserve">.....:
PA 23,55
</t>
      </text>
    </comment>
    <comment ref="A20" authorId="0" shapeId="0">
      <text>
        <t xml:space="preserve">.....:
PA 2,36
</t>
      </text>
    </comment>
    <comment ref="K21" authorId="0" shapeId="0">
      <text>
        <t xml:space="preserve">.....:
PA 2,36
</t>
      </text>
    </comment>
    <comment ref="V21" authorId="0" shapeId="0">
      <text>
        <t xml:space="preserve">.....:
PA 2,36
</t>
      </text>
    </comment>
  </commentList>
</comments>
</file>

<file path=xl/comments/comment4.xml><?xml version="1.0" encoding="utf-8"?>
<comments xmlns="http://schemas.openxmlformats.org/spreadsheetml/2006/main">
  <authors>
    <author>.....</author>
  </authors>
  <commentList>
    <comment ref="A6" authorId="0" shapeId="0">
      <text>
        <t xml:space="preserve">.....:
PA 0,124
</t>
      </text>
    </comment>
    <comment ref="A7" authorId="0" shapeId="0">
      <text>
        <t xml:space="preserve">.....:
PA 1,30
</t>
      </text>
    </comment>
    <comment ref="A8" authorId="0" shapeId="0">
      <text>
        <t xml:space="preserve">.....:
PA 0,88
</t>
      </text>
    </comment>
    <comment ref="A9" authorId="0" shapeId="0">
      <text>
        <t xml:space="preserve">.....:
PA 1,15
</t>
      </text>
    </comment>
    <comment ref="A10" authorId="0" shapeId="0">
      <text>
        <t xml:space="preserve">.....:
PA 0,79
</t>
      </text>
    </comment>
    <comment ref="A11" authorId="0" shapeId="0">
      <text>
        <t xml:space="preserve">.....:
PA 3,50
</t>
      </text>
    </comment>
    <comment ref="A12" authorId="0" shapeId="0">
      <text>
        <t>.....:
PA 2,99</t>
      </text>
    </comment>
    <comment ref="A13" authorId="0" shapeId="0">
      <text>
        <t xml:space="preserve">.....:
PA 2,10
</t>
      </text>
    </comment>
    <comment ref="A14" authorId="0" shapeId="0">
      <text>
        <t xml:space="preserve">.....:
PA 1,60
</t>
      </text>
    </comment>
    <comment ref="A15" authorId="0" shapeId="0">
      <text>
        <t xml:space="preserve">.....:
PA 1,84
</t>
      </text>
    </comment>
    <comment ref="A16" authorId="0" shapeId="0">
      <text>
        <t xml:space="preserve">.....:
PA 4,60
</t>
      </text>
    </comment>
    <comment ref="A17" authorId="0" shapeId="0">
      <text>
        <t xml:space="preserve">.....:
PA 5,03
</t>
      </text>
    </comment>
  </commentList>
</comments>
</file>

<file path=xl/comments/comment5.xml><?xml version="1.0" encoding="utf-8"?>
<comments xmlns="http://schemas.openxmlformats.org/spreadsheetml/2006/main">
  <authors>
    <author>.....</author>
  </authors>
  <commentList>
    <comment ref="A7" authorId="0" shapeId="0">
      <text>
        <t>.....:
PA 0,124</t>
      </text>
    </comment>
    <comment ref="I7" authorId="0" shapeId="0">
      <text>
        <t>.....:
PA 0,124</t>
      </text>
    </comment>
    <comment ref="Q7" authorId="0" shapeId="0">
      <text>
        <t>.....:
PA 0,124</t>
      </text>
    </comment>
    <comment ref="A8" authorId="0" shapeId="0">
      <text>
        <t xml:space="preserve">.....:
PA 1,30
</t>
      </text>
    </comment>
    <comment ref="I8" authorId="0" shapeId="0">
      <text>
        <t xml:space="preserve">.....:
PA 1,30
</t>
      </text>
    </comment>
    <comment ref="Q8" authorId="0" shapeId="0">
      <text>
        <t xml:space="preserve">.....:
PA 1,30
</t>
      </text>
    </comment>
    <comment ref="A9" authorId="0" shapeId="0">
      <text>
        <t xml:space="preserve">.....:
PA ,88
</t>
      </text>
    </comment>
    <comment ref="I9" authorId="0" shapeId="0">
      <text>
        <t xml:space="preserve">.....:
PA ,88
</t>
      </text>
    </comment>
    <comment ref="Q9" authorId="0" shapeId="0">
      <text>
        <t xml:space="preserve">.....:
PA ,88
</t>
      </text>
    </comment>
    <comment ref="A10" authorId="0" shapeId="0">
      <text>
        <t xml:space="preserve">.....:
PA 1,20
</t>
      </text>
    </comment>
    <comment ref="I10" authorId="0" shapeId="0">
      <text>
        <t xml:space="preserve">.....:
PA 1,20
</t>
      </text>
    </comment>
    <comment ref="Q10" authorId="0" shapeId="0">
      <text>
        <t xml:space="preserve">.....:
PA 1,20
</t>
      </text>
    </comment>
    <comment ref="A11" authorId="0" shapeId="0">
      <text>
        <t xml:space="preserve">.....:
PA 0,79
</t>
      </text>
    </comment>
    <comment ref="I11" authorId="0" shapeId="0">
      <text>
        <t xml:space="preserve">.....:
PA 0,79
</t>
      </text>
    </comment>
    <comment ref="Q11" authorId="0" shapeId="0">
      <text>
        <t xml:space="preserve">.....:
PA 0,79
</t>
      </text>
    </comment>
    <comment ref="A12" authorId="0" shapeId="0">
      <text>
        <t xml:space="preserve">.....:
PA 3,50
</t>
      </text>
    </comment>
    <comment ref="I12" authorId="0" shapeId="0">
      <text>
        <t xml:space="preserve">.....:
PA 3,50
</t>
      </text>
    </comment>
    <comment ref="Q12" authorId="0" shapeId="0">
      <text>
        <t xml:space="preserve">.....:
PA 3,50
</t>
      </text>
    </comment>
    <comment ref="A13" authorId="0" shapeId="0">
      <text>
        <t xml:space="preserve">.....:
PA 2,99
</t>
      </text>
    </comment>
    <comment ref="I13" authorId="0" shapeId="0">
      <text>
        <t xml:space="preserve">.....:
PA 2,99
</t>
      </text>
    </comment>
    <comment ref="Q13" authorId="0" shapeId="0">
      <text>
        <t xml:space="preserve">.....:
PA 2,99
</t>
      </text>
    </comment>
    <comment ref="A14" authorId="0" shapeId="0">
      <text>
        <t xml:space="preserve">.....:
PA 2,10
</t>
      </text>
    </comment>
    <comment ref="I14" authorId="0" shapeId="0">
      <text>
        <t xml:space="preserve">.....:
PA 2,10
</t>
      </text>
    </comment>
    <comment ref="Q14" authorId="0" shapeId="0">
      <text>
        <t xml:space="preserve">.....:
PA 2,10
</t>
      </text>
    </comment>
    <comment ref="A15" authorId="0" shapeId="0">
      <text>
        <t xml:space="preserve">.....:
PA 1,60
</t>
      </text>
    </comment>
    <comment ref="I15" authorId="0" shapeId="0">
      <text>
        <t xml:space="preserve">.....:
PA 1,60
</t>
      </text>
    </comment>
    <comment ref="Q15" authorId="0" shapeId="0">
      <text>
        <t xml:space="preserve">.....:
PA 1,60
</t>
      </text>
    </comment>
    <comment ref="A16" authorId="0" shapeId="0">
      <text>
        <t xml:space="preserve">.....:
PA 4,60
</t>
      </text>
    </comment>
    <comment ref="I16" authorId="0" shapeId="0">
      <text>
        <t xml:space="preserve">.....:
PA 4,60
</t>
      </text>
    </comment>
    <comment ref="Q16" authorId="0" shapeId="0">
      <text>
        <t xml:space="preserve">.....:
PA 4,60
</t>
      </text>
    </comment>
    <comment ref="A17" authorId="0" shapeId="0">
      <text>
        <t xml:space="preserve">.....:
PA 5,03
</t>
      </text>
    </comment>
    <comment ref="I17" authorId="0" shapeId="0">
      <text>
        <t xml:space="preserve">.....:
PA 5,03
</t>
      </text>
    </comment>
    <comment ref="Q17" authorId="0" shapeId="0">
      <text>
        <t xml:space="preserve">.....:
PA 5,03
</t>
      </text>
    </comment>
    <comment ref="A18" authorId="0" shapeId="0">
      <text>
        <t xml:space="preserve">.....:
PA 1,84
</t>
      </text>
    </comment>
    <comment ref="I18" authorId="0" shapeId="0">
      <text>
        <t xml:space="preserve">.....:
PA 1,84
</t>
      </text>
    </comment>
    <comment ref="Q18" authorId="0" shapeId="0">
      <text>
        <t xml:space="preserve">.....:
PA 1,84
</t>
      </text>
    </comment>
    <comment ref="A19" authorId="0" shapeId="0">
      <text>
        <t xml:space="preserve">.....:
PA 2,36
</t>
      </text>
    </comment>
    <comment ref="I19" authorId="0" shapeId="0">
      <text>
        <t xml:space="preserve">.....:
PA 2,36
</t>
      </text>
    </comment>
    <comment ref="Q19" authorId="0" shapeId="0">
      <text>
        <t xml:space="preserve">.....:
PA 2,36
</t>
      </text>
    </comment>
  </commentList>
</comments>
</file>

<file path=xl/comments/comment6.xml><?xml version="1.0" encoding="utf-8"?>
<comments xmlns="http://schemas.openxmlformats.org/spreadsheetml/2006/main">
  <authors>
    <author>*</author>
    <author>.....</author>
  </authors>
  <commentList>
    <comment ref="A7" authorId="0" shapeId="0">
      <text>
        <t xml:space="preserve">*:
PA 7,62
</t>
      </text>
    </comment>
    <comment ref="G7" authorId="0" shapeId="0">
      <text>
        <t xml:space="preserve">*:
PA 7,62
</t>
      </text>
    </comment>
    <comment ref="A8" authorId="1" shapeId="0">
      <text>
        <t xml:space="preserve">.....:
PA 1,30
</t>
      </text>
    </comment>
    <comment ref="G8" authorId="1" shapeId="0">
      <text>
        <t xml:space="preserve">.....:
PA 1,30
</t>
      </text>
    </comment>
    <comment ref="A9" authorId="1" shapeId="0">
      <text>
        <t xml:space="preserve">.....:
PA ,88
</t>
      </text>
    </comment>
    <comment ref="G9" authorId="1" shapeId="0">
      <text>
        <t xml:space="preserve">.....:
PA ,88
</t>
      </text>
    </comment>
    <comment ref="A10" authorId="1" shapeId="0">
      <text>
        <t xml:space="preserve">.....:
PA 1,20
</t>
      </text>
    </comment>
    <comment ref="G10" authorId="1" shapeId="0">
      <text>
        <t xml:space="preserve">.....:
PA 1,20
</t>
      </text>
    </comment>
    <comment ref="A11" authorId="1" shapeId="0">
      <text>
        <t xml:space="preserve">.....:
PA 0,79
</t>
      </text>
    </comment>
    <comment ref="G11" authorId="1" shapeId="0">
      <text>
        <t xml:space="preserve">.....:
PA 0,79
</t>
      </text>
    </comment>
    <comment ref="A20" authorId="0" shapeId="0">
      <text>
        <t xml:space="preserve">*:
PA 7,62
</t>
      </text>
    </comment>
    <comment ref="G20" authorId="0" shapeId="0">
      <text>
        <t xml:space="preserve">*:
PA 7,62
</t>
      </text>
    </comment>
    <comment ref="A21" authorId="1" shapeId="0">
      <text>
        <t xml:space="preserve">.....:
PA 1,30
</t>
      </text>
    </comment>
    <comment ref="G21" authorId="1" shapeId="0">
      <text>
        <t xml:space="preserve">.....:
PA 1,30
</t>
      </text>
    </comment>
    <comment ref="A22" authorId="1" shapeId="0">
      <text>
        <t xml:space="preserve">.....:
PA ,88
</t>
      </text>
    </comment>
    <comment ref="G22" authorId="1" shapeId="0">
      <text>
        <t xml:space="preserve">.....:
PA ,88
</t>
      </text>
    </comment>
    <comment ref="A23" authorId="1" shapeId="0">
      <text>
        <t xml:space="preserve">.....:
PA 1,20
</t>
      </text>
    </comment>
    <comment ref="G23" authorId="1" shapeId="0">
      <text>
        <t xml:space="preserve">.....:
PA 1,20
</t>
      </text>
    </comment>
    <comment ref="A24" authorId="1" shapeId="0">
      <text>
        <t xml:space="preserve">.....:
PA 0,79
</t>
      </text>
    </comment>
    <comment ref="G24" authorId="1" shapeId="0">
      <text>
        <t xml:space="preserve">.....:
PA 0,79
</t>
      </text>
    </comment>
  </commentList>
</comments>
</file>

<file path=xl/comments/comment7.xml><?xml version="1.0" encoding="utf-8"?>
<comments xmlns="http://schemas.openxmlformats.org/spreadsheetml/2006/main">
  <authors>
    <author>.....</author>
    <author>*</author>
  </authors>
  <commentList>
    <comment ref="A7" authorId="0" shapeId="0">
      <text>
        <t>.....:
PA 0,124</t>
      </text>
    </comment>
    <comment ref="G7" authorId="0" shapeId="0">
      <text>
        <t>.....:
PA 0,124</t>
      </text>
    </comment>
    <comment ref="N7" authorId="0" shapeId="0">
      <text>
        <t>.....:
PA 0,124</t>
      </text>
    </comment>
    <comment ref="A8" authorId="1" shapeId="0">
      <text>
        <t xml:space="preserve">*:
PA 7,62
</t>
      </text>
    </comment>
    <comment ref="G8" authorId="1" shapeId="0">
      <text>
        <t xml:space="preserve">*:
PA 7,62
</t>
      </text>
    </comment>
    <comment ref="N8" authorId="1" shapeId="0">
      <text>
        <t xml:space="preserve">*:
PA 7,62
</t>
      </text>
    </comment>
    <comment ref="A9" authorId="0" shapeId="0">
      <text>
        <t xml:space="preserve">.....:
PA 1,30
</t>
      </text>
    </comment>
    <comment ref="G9" authorId="0" shapeId="0">
      <text>
        <t xml:space="preserve">.....:
PA 1,30
</t>
      </text>
    </comment>
    <comment ref="N9" authorId="0" shapeId="0">
      <text>
        <t xml:space="preserve">.....:
PA 1,30
</t>
      </text>
    </comment>
    <comment ref="A10" authorId="0" shapeId="0">
      <text>
        <t xml:space="preserve">.....:
PA ,88
</t>
      </text>
    </comment>
    <comment ref="G10" authorId="0" shapeId="0">
      <text>
        <t xml:space="preserve">.....:
PA ,88
</t>
      </text>
    </comment>
    <comment ref="N10" authorId="0" shapeId="0">
      <text>
        <t xml:space="preserve">.....:
PA ,88
</t>
      </text>
    </comment>
    <comment ref="A11" authorId="0" shapeId="0">
      <text>
        <t xml:space="preserve">.....:
PA 1,20
</t>
      </text>
    </comment>
    <comment ref="G11" authorId="0" shapeId="0">
      <text>
        <t xml:space="preserve">.....:
PA 1,20
</t>
      </text>
    </comment>
    <comment ref="N11" authorId="0" shapeId="0">
      <text>
        <t xml:space="preserve">.....:
PA 1,20
</t>
      </text>
    </comment>
    <comment ref="A12" authorId="0" shapeId="0">
      <text>
        <t xml:space="preserve">.....:
PA 0,79
</t>
      </text>
    </comment>
    <comment ref="G12" authorId="0" shapeId="0">
      <text>
        <t xml:space="preserve">.....:
PA 0,79
</t>
      </text>
    </comment>
    <comment ref="N12" authorId="0" shapeId="0">
      <text>
        <t xml:space="preserve">.....:
PA 0,79
</t>
      </text>
    </comment>
    <comment ref="A22" authorId="0" shapeId="0">
      <text>
        <t>.....:
PA 0,124</t>
      </text>
    </comment>
    <comment ref="G22" authorId="0" shapeId="0">
      <text>
        <t>.....:
PA 0,124</t>
      </text>
    </comment>
    <comment ref="A23" authorId="1" shapeId="0">
      <text>
        <t xml:space="preserve">*:
PA 7,62
</t>
      </text>
    </comment>
    <comment ref="G23" authorId="1" shapeId="0">
      <text>
        <t xml:space="preserve">*:
PA 7,62
</t>
      </text>
    </comment>
    <comment ref="A24" authorId="0" shapeId="0">
      <text>
        <t xml:space="preserve">.....:
PA 1,30
</t>
      </text>
    </comment>
    <comment ref="G24" authorId="0" shapeId="0">
      <text>
        <t xml:space="preserve">.....:
PA 1,30
</t>
      </text>
    </comment>
    <comment ref="A25" authorId="0" shapeId="0">
      <text>
        <t xml:space="preserve">.....:
PA ,88
</t>
      </text>
    </comment>
    <comment ref="G25" authorId="0" shapeId="0">
      <text>
        <t xml:space="preserve">.....:
PA ,88
</t>
      </text>
    </comment>
    <comment ref="A26" authorId="0" shapeId="0">
      <text>
        <t xml:space="preserve">.....:
PA 1,20
</t>
      </text>
    </comment>
    <comment ref="G26" authorId="0" shapeId="0">
      <text>
        <t xml:space="preserve">.....:
PA 1,20
</t>
      </text>
    </comment>
    <comment ref="A27" authorId="0" shapeId="0">
      <text>
        <t xml:space="preserve">.....:
PA 0,79
</t>
      </text>
    </comment>
    <comment ref="G27" authorId="0" shapeId="0">
      <text>
        <t xml:space="preserve">.....:
PA 0,79
</t>
      </text>
    </comment>
  </commentList>
</comments>
</file>

<file path=xl/comments/comment8.xml><?xml version="1.0" encoding="utf-8"?>
<comments xmlns="http://schemas.openxmlformats.org/spreadsheetml/2006/main">
  <authors>
    <author>.....</author>
    <author>*</author>
  </authors>
  <commentList>
    <comment ref="A7" authorId="0" shapeId="0">
      <text>
        <t>.....:
PA 0,124</t>
      </text>
    </comment>
    <comment ref="G7" authorId="0" shapeId="0">
      <text>
        <t>.....:
PA 0,124</t>
      </text>
    </comment>
    <comment ref="N7" authorId="0" shapeId="0">
      <text>
        <t>.....:
PA 0,124</t>
      </text>
    </comment>
    <comment ref="A8" authorId="1" shapeId="0">
      <text>
        <t xml:space="preserve">*:
PA 7,62
</t>
      </text>
    </comment>
    <comment ref="G8" authorId="1" shapeId="0">
      <text>
        <t xml:space="preserve">*:
PA 7,62
</t>
      </text>
    </comment>
    <comment ref="N8" authorId="1" shapeId="0">
      <text>
        <t xml:space="preserve">*:
PA 7,62
</t>
      </text>
    </comment>
    <comment ref="A9" authorId="0" shapeId="0">
      <text>
        <t xml:space="preserve">.....:
PA 1,30
</t>
      </text>
    </comment>
    <comment ref="G9" authorId="0" shapeId="0">
      <text>
        <t xml:space="preserve">.....:
PA 1,30
</t>
      </text>
    </comment>
    <comment ref="N9" authorId="0" shapeId="0">
      <text>
        <t xml:space="preserve">.....:
PA 1,30
</t>
      </text>
    </comment>
    <comment ref="A10" authorId="0" shapeId="0">
      <text>
        <t xml:space="preserve">.....:
PA ,88
</t>
      </text>
    </comment>
    <comment ref="G10" authorId="0" shapeId="0">
      <text>
        <t xml:space="preserve">.....:
PA ,88
</t>
      </text>
    </comment>
    <comment ref="N10" authorId="0" shapeId="0">
      <text>
        <t xml:space="preserve">.....:
PA ,88
</t>
      </text>
    </comment>
    <comment ref="A11" authorId="0" shapeId="0">
      <text>
        <t xml:space="preserve">.....:
PA 1,20
</t>
      </text>
    </comment>
    <comment ref="G11" authorId="0" shapeId="0">
      <text>
        <t xml:space="preserve">.....:
PA 1,20
</t>
      </text>
    </comment>
    <comment ref="N11" authorId="0" shapeId="0">
      <text>
        <t xml:space="preserve">.....:
PA 1,20
</t>
      </text>
    </comment>
    <comment ref="A12" authorId="0" shapeId="0">
      <text>
        <t xml:space="preserve">.....:
PA 0,79
</t>
      </text>
    </comment>
    <comment ref="G12" authorId="0" shapeId="0">
      <text>
        <t xml:space="preserve">.....:
PA 0,79
</t>
      </text>
    </comment>
    <comment ref="N12" authorId="0" shapeId="0">
      <text>
        <t xml:space="preserve">.....:
PA 0,79
</t>
      </text>
    </comment>
    <comment ref="A22" authorId="0" shapeId="0">
      <text>
        <t>.....:
PA 0,124</t>
      </text>
    </comment>
    <comment ref="G22" authorId="0" shapeId="0">
      <text>
        <t>.....:
PA 0,124</t>
      </text>
    </comment>
    <comment ref="A23" authorId="1" shapeId="0">
      <text>
        <t xml:space="preserve">*:
PA 7,62
</t>
      </text>
    </comment>
    <comment ref="G23" authorId="1" shapeId="0">
      <text>
        <t xml:space="preserve">*:
PA 7,62
</t>
      </text>
    </comment>
    <comment ref="A24" authorId="0" shapeId="0">
      <text>
        <t xml:space="preserve">.....:
PA 1,30
</t>
      </text>
    </comment>
    <comment ref="G24" authorId="0" shapeId="0">
      <text>
        <t xml:space="preserve">.....:
PA 1,30
</t>
      </text>
    </comment>
    <comment ref="A25" authorId="0" shapeId="0">
      <text>
        <t xml:space="preserve">.....:
PA ,88
</t>
      </text>
    </comment>
    <comment ref="G25" authorId="0" shapeId="0">
      <text>
        <t xml:space="preserve">.....:
PA ,88
</t>
      </text>
    </comment>
    <comment ref="A26" authorId="0" shapeId="0">
      <text>
        <t xml:space="preserve">.....:
PA 1,20
</t>
      </text>
    </comment>
    <comment ref="G26" authorId="0" shapeId="0">
      <text>
        <t xml:space="preserve">.....:
PA 1,20
</t>
      </text>
    </comment>
    <comment ref="A27" authorId="0" shapeId="0">
      <text>
        <t xml:space="preserve">.....:
PA 0,79
</t>
      </text>
    </comment>
    <comment ref="G27" authorId="0" shapeId="0">
      <text>
        <t xml:space="preserve">.....:
PA 0,79
</t>
      </text>
    </comment>
  </commentList>
</comments>
</file>

<file path=xl/comments/comment9.xml><?xml version="1.0" encoding="utf-8"?>
<comments xmlns="http://schemas.openxmlformats.org/spreadsheetml/2006/main">
  <authors>
    <author>.....</author>
    <author>*</author>
  </authors>
  <commentList>
    <comment ref="A7" authorId="0" shapeId="0">
      <text>
        <t>.....:
PA 0,124</t>
      </text>
    </comment>
    <comment ref="G7" authorId="0" shapeId="0">
      <text>
        <t>.....:
PA 0,124</t>
      </text>
    </comment>
    <comment ref="M7" authorId="0" shapeId="0">
      <text>
        <t>.....:
PA 0,124</t>
      </text>
    </comment>
    <comment ref="A8" authorId="1" shapeId="0">
      <text>
        <t xml:space="preserve">*:
PA 7,62
</t>
      </text>
    </comment>
    <comment ref="G8" authorId="1" shapeId="0">
      <text>
        <t xml:space="preserve">*:
PA 7,62
</t>
      </text>
    </comment>
    <comment ref="M8" authorId="1" shapeId="0">
      <text>
        <t xml:space="preserve">*:
PA 7,62
</t>
      </text>
    </comment>
    <comment ref="W8" authorId="0" shapeId="0">
      <text>
        <t>.....:
PA 0,124</t>
      </text>
    </comment>
    <comment ref="A9" authorId="0" shapeId="0">
      <text>
        <t xml:space="preserve">.....:
PA 1,30
</t>
      </text>
    </comment>
    <comment ref="G9" authorId="0" shapeId="0">
      <text>
        <t xml:space="preserve">.....:
PA 1,30
</t>
      </text>
    </comment>
    <comment ref="M9" authorId="0" shapeId="0">
      <text>
        <t xml:space="preserve">.....:
PA 1,30
</t>
      </text>
    </comment>
    <comment ref="W9" authorId="1" shapeId="0">
      <text>
        <t xml:space="preserve">*:
PA 7,62
</t>
      </text>
    </comment>
    <comment ref="A10" authorId="0" shapeId="0">
      <text>
        <t xml:space="preserve">.....:
PA ,88
</t>
      </text>
    </comment>
    <comment ref="G10" authorId="0" shapeId="0">
      <text>
        <t xml:space="preserve">.....:
PA ,88
</t>
      </text>
    </comment>
    <comment ref="M10" authorId="0" shapeId="0">
      <text>
        <t xml:space="preserve">.....:
PA ,88
</t>
      </text>
    </comment>
    <comment ref="W10" authorId="0" shapeId="0">
      <text>
        <t xml:space="preserve">.....:
PA 1,30
</t>
      </text>
    </comment>
    <comment ref="A11" authorId="0" shapeId="0">
      <text>
        <t xml:space="preserve">.....:
PA 1,20
</t>
      </text>
    </comment>
    <comment ref="G11" authorId="0" shapeId="0">
      <text>
        <t xml:space="preserve">.....:
PA 1,20
</t>
      </text>
    </comment>
    <comment ref="M11" authorId="0" shapeId="0">
      <text>
        <t xml:space="preserve">.....:
PA 1,20
</t>
      </text>
    </comment>
    <comment ref="W11" authorId="0" shapeId="0">
      <text>
        <t xml:space="preserve">.....:
PA ,88
</t>
      </text>
    </comment>
    <comment ref="A12" authorId="0" shapeId="0">
      <text>
        <t xml:space="preserve">.....:
PA 0,79
</t>
      </text>
    </comment>
    <comment ref="G12" authorId="0" shapeId="0">
      <text>
        <t xml:space="preserve">.....:
PA 0,79
</t>
      </text>
    </comment>
    <comment ref="M12" authorId="0" shapeId="0">
      <text>
        <t xml:space="preserve">.....:
PA 0,79
</t>
      </text>
    </comment>
    <comment ref="W12" authorId="0" shapeId="0">
      <text>
        <t xml:space="preserve">.....:
PA 1,20
</t>
      </text>
    </comment>
    <comment ref="W13" authorId="0" shapeId="0">
      <text>
        <t xml:space="preserve">.....:
PA 0,79
</t>
      </text>
    </comment>
    <comment ref="A21" authorId="0" shapeId="0">
      <text>
        <t>.....:
PA 0,124</t>
      </text>
    </comment>
    <comment ref="G21" authorId="0" shapeId="0">
      <text>
        <t>.....:
PA 0,124</t>
      </text>
    </comment>
    <comment ref="M21" authorId="0" shapeId="0">
      <text>
        <t>.....:
PA 0,124</t>
      </text>
    </comment>
    <comment ref="A22" authorId="1" shapeId="0">
      <text>
        <t xml:space="preserve">*:
PA 7,62
</t>
      </text>
    </comment>
    <comment ref="G22" authorId="1" shapeId="0">
      <text>
        <t xml:space="preserve">*:
PA 7,62
</t>
      </text>
    </comment>
    <comment ref="M22" authorId="1" shapeId="0">
      <text>
        <t xml:space="preserve">*:
PA 7,62
</t>
      </text>
    </comment>
    <comment ref="A23" authorId="0" shapeId="0">
      <text>
        <t xml:space="preserve">.....:
PA 1,30
</t>
      </text>
    </comment>
    <comment ref="G23" authorId="0" shapeId="0">
      <text>
        <t xml:space="preserve">.....:
PA 1,30
</t>
      </text>
    </comment>
    <comment ref="M23" authorId="0" shapeId="0">
      <text>
        <t xml:space="preserve">.....:
PA 1,30
</t>
      </text>
    </comment>
    <comment ref="A24" authorId="0" shapeId="0">
      <text>
        <t xml:space="preserve">.....:
PA ,88
</t>
      </text>
    </comment>
    <comment ref="G24" authorId="0" shapeId="0">
      <text>
        <t xml:space="preserve">.....:
PA ,88
</t>
      </text>
    </comment>
    <comment ref="M24" authorId="0" shapeId="0">
      <text>
        <t xml:space="preserve">.....:
PA ,88
</t>
      </text>
    </comment>
    <comment ref="A25" authorId="0" shapeId="0">
      <text>
        <t xml:space="preserve">.....:
PA 1,20
</t>
      </text>
    </comment>
    <comment ref="G25" authorId="0" shapeId="0">
      <text>
        <t xml:space="preserve">.....:
PA 1,20
</t>
      </text>
    </comment>
    <comment ref="M25" authorId="0" shapeId="0">
      <text>
        <t xml:space="preserve">.....:
PA 1,20
</t>
      </text>
    </comment>
    <comment ref="A26" authorId="0" shapeId="0">
      <text>
        <t xml:space="preserve">.....:
PA 0,79
</t>
      </text>
    </comment>
    <comment ref="G26" authorId="0" shapeId="0">
      <text>
        <t xml:space="preserve">.....:
PA 0,79
</t>
      </text>
    </comment>
    <comment ref="M26" authorId="0" shapeId="0">
      <text>
        <t xml:space="preserve">.....:
PA 0,79
</t>
      </text>
    </comment>
    <comment ref="A37" authorId="0" shapeId="0">
      <text>
        <t>.....:
PA 0,124</t>
      </text>
    </comment>
    <comment ref="G37" authorId="0" shapeId="0">
      <text>
        <t>.....:
PA 0,124</t>
      </text>
    </comment>
    <comment ref="M37" authorId="0" shapeId="0">
      <text>
        <t>.....:
PA 0,124</t>
      </text>
    </comment>
    <comment ref="A38" authorId="1" shapeId="0">
      <text>
        <t xml:space="preserve">*:
PA 7,62
</t>
      </text>
    </comment>
    <comment ref="G38" authorId="1" shapeId="0">
      <text>
        <t xml:space="preserve">*:
PA 7,62
</t>
      </text>
    </comment>
    <comment ref="M38" authorId="1" shapeId="0">
      <text>
        <t xml:space="preserve">*:
PA 7,62
</t>
      </text>
    </comment>
    <comment ref="A39" authorId="0" shapeId="0">
      <text>
        <t xml:space="preserve">.....:
PA 1,30
</t>
      </text>
    </comment>
    <comment ref="G39" authorId="0" shapeId="0">
      <text>
        <t xml:space="preserve">.....:
PA 1,30
</t>
      </text>
    </comment>
    <comment ref="M39" authorId="0" shapeId="0">
      <text>
        <t xml:space="preserve">.....:
PA 1,30
</t>
      </text>
    </comment>
    <comment ref="A40" authorId="0" shapeId="0">
      <text>
        <t xml:space="preserve">.....:
PA ,88
</t>
      </text>
    </comment>
    <comment ref="G40" authorId="0" shapeId="0">
      <text>
        <t xml:space="preserve">.....:
PA ,88
</t>
      </text>
    </comment>
    <comment ref="M40" authorId="0" shapeId="0">
      <text>
        <t xml:space="preserve">.....:
PA ,88
</t>
      </text>
    </comment>
    <comment ref="A41" authorId="0" shapeId="0">
      <text>
        <t xml:space="preserve">.....:
PA 1,20
</t>
      </text>
    </comment>
    <comment ref="G41" authorId="0" shapeId="0">
      <text>
        <t xml:space="preserve">.....:
PA 1,20
</t>
      </text>
    </comment>
    <comment ref="M41" authorId="0" shapeId="0">
      <text>
        <t xml:space="preserve">.....:
PA 1,20
</t>
      </text>
    </comment>
    <comment ref="A42" authorId="0" shapeId="0">
      <text>
        <t xml:space="preserve">.....:
PA 0,79
</t>
      </text>
    </comment>
    <comment ref="G42" authorId="0" shapeId="0">
      <text>
        <t xml:space="preserve">.....:
PA 0,79
</t>
      </text>
    </comment>
    <comment ref="M42" authorId="0" shapeId="0">
      <text>
        <t xml:space="preserve">.....:
PA 0,79
</t>
      </text>
    </comment>
    <comment ref="A55" authorId="0" shapeId="0">
      <text>
        <t>.....:
PA 0,124</t>
      </text>
    </comment>
    <comment ref="G55" authorId="0" shapeId="0">
      <text>
        <t>.....:
PA 0,124</t>
      </text>
    </comment>
    <comment ref="M55" authorId="0" shapeId="0">
      <text>
        <t>.....:
PA 0,124</t>
      </text>
    </comment>
    <comment ref="A56" authorId="1" shapeId="0">
      <text>
        <t xml:space="preserve">*:
PA 7,62
</t>
      </text>
    </comment>
    <comment ref="G56" authorId="1" shapeId="0">
      <text>
        <t xml:space="preserve">*:
PA 7,62
</t>
      </text>
    </comment>
    <comment ref="M56" authorId="1" shapeId="0">
      <text>
        <t xml:space="preserve">*:
PA 7,62
</t>
      </text>
    </comment>
    <comment ref="A57" authorId="0" shapeId="0">
      <text>
        <t xml:space="preserve">.....:
PA 1,30
</t>
      </text>
    </comment>
    <comment ref="G57" authorId="0" shapeId="0">
      <text>
        <t xml:space="preserve">.....:
PA 1,30
</t>
      </text>
    </comment>
    <comment ref="M57" authorId="0" shapeId="0">
      <text>
        <t xml:space="preserve">.....:
PA 1,30
</t>
      </text>
    </comment>
    <comment ref="A58" authorId="0" shapeId="0">
      <text>
        <t xml:space="preserve">.....:
PA ,88
</t>
      </text>
    </comment>
    <comment ref="G58" authorId="0" shapeId="0">
      <text>
        <t xml:space="preserve">.....:
PA ,88
</t>
      </text>
    </comment>
    <comment ref="M58" authorId="0" shapeId="0">
      <text>
        <t xml:space="preserve">.....:
PA ,88
</t>
      </text>
    </comment>
    <comment ref="A59" authorId="0" shapeId="0">
      <text>
        <t xml:space="preserve">.....:
PA 1,20
</t>
      </text>
    </comment>
    <comment ref="G59" authorId="0" shapeId="0">
      <text>
        <t xml:space="preserve">.....:
PA 1,20
</t>
      </text>
    </comment>
    <comment ref="M59" authorId="0" shapeId="0">
      <text>
        <t xml:space="preserve">.....:
PA 1,20
</t>
      </text>
    </comment>
    <comment ref="A60" authorId="0" shapeId="0">
      <text>
        <t xml:space="preserve">.....:
PA 0,79
</t>
      </text>
    </comment>
    <comment ref="G60" authorId="0" shapeId="0">
      <text>
        <t xml:space="preserve">.....:
PA 0,79
</t>
      </text>
    </comment>
    <comment ref="M60" authorId="0" shapeId="0">
      <text>
        <t xml:space="preserve">.....:
PA 0,79
</t>
      </text>
    </comment>
    <comment ref="M71" authorId="0" shapeId="0">
      <text>
        <t>.....:
PA 0,124</t>
      </text>
    </comment>
    <comment ref="M72" authorId="1" shapeId="0">
      <text>
        <t xml:space="preserve">*:
PA 7,62
</t>
      </text>
    </comment>
    <comment ref="M73" authorId="0" shapeId="0">
      <text>
        <t xml:space="preserve">.....:
PA 1,30
</t>
      </text>
    </comment>
    <comment ref="M74" authorId="0" shapeId="0">
      <text>
        <t xml:space="preserve">.....:
PA ,88
</t>
      </text>
    </comment>
    <comment ref="M75" authorId="0" shapeId="0">
      <text>
        <t xml:space="preserve">.....:
PA 1,20
</t>
      </text>
    </comment>
    <comment ref="M76" authorId="0" shapeId="0">
      <text>
        <t xml:space="preserve">.....:
PA 0,79
</t>
      </text>
    </comment>
  </commentList>
</comments>
</file>

<file path=xl/comments/comment10.xml><?xml version="1.0" encoding="utf-8"?>
<comments xmlns="http://schemas.openxmlformats.org/spreadsheetml/2006/main">
  <authors>
    <author>.....</author>
    <author>*</author>
  </authors>
  <commentList>
    <comment ref="A8" authorId="0" shapeId="0">
      <text>
        <t>.....:
PA 0,124</t>
      </text>
    </comment>
    <comment ref="A9" authorId="1" shapeId="0">
      <text>
        <t xml:space="preserve">*:
PA 7,62
</t>
      </text>
    </comment>
    <comment ref="A10" authorId="0" shapeId="0">
      <text>
        <t xml:space="preserve">.....:
PA 1,30
</t>
      </text>
    </comment>
    <comment ref="A11" authorId="0" shapeId="0">
      <text>
        <t xml:space="preserve">.....:
PA ,88
</t>
      </text>
    </comment>
    <comment ref="A12" authorId="0" shapeId="0">
      <text>
        <t xml:space="preserve">.....:
PA 1,20
</t>
      </text>
    </comment>
    <comment ref="A13" authorId="0" shapeId="0">
      <text>
        <t xml:space="preserve">.....:
PA 0,79
</t>
      </text>
    </comment>
  </commentList>
</comments>
</file>

<file path=xl/comments/comment11.xml><?xml version="1.0" encoding="utf-8"?>
<comments xmlns="http://schemas.openxmlformats.org/spreadsheetml/2006/main">
  <authors>
    <author>.....</author>
    <author>*</author>
  </authors>
  <commentList>
    <comment ref="A7" authorId="0" shapeId="0">
      <text>
        <t>.....:
PA 0,124</t>
      </text>
    </comment>
    <comment ref="G7" authorId="0" shapeId="0">
      <text>
        <t>.....:
PA 0,124</t>
      </text>
    </comment>
    <comment ref="M7" authorId="0" shapeId="0">
      <text>
        <t>.....:
PA 0,124</t>
      </text>
    </comment>
    <comment ref="A8" authorId="1" shapeId="0">
      <text>
        <t xml:space="preserve">*:
PA 7,62
</t>
      </text>
    </comment>
    <comment ref="G8" authorId="1" shapeId="0">
      <text>
        <t xml:space="preserve">*:
PA 7,62
</t>
      </text>
    </comment>
    <comment ref="M8" authorId="1" shapeId="0">
      <text>
        <t xml:space="preserve">*:
PA 7,62
</t>
      </text>
    </comment>
    <comment ref="A9" authorId="0" shapeId="0">
      <text>
        <t xml:space="preserve">.....:
PA 1,30
</t>
      </text>
    </comment>
    <comment ref="G9" authorId="0" shapeId="0">
      <text>
        <t xml:space="preserve">.....:
PA 1,30
</t>
      </text>
    </comment>
    <comment ref="M9" authorId="0" shapeId="0">
      <text>
        <t xml:space="preserve">.....:
PA 1,30
</t>
      </text>
    </comment>
    <comment ref="A10" authorId="0" shapeId="0">
      <text>
        <t xml:space="preserve">.....:
PA ,88
</t>
      </text>
    </comment>
    <comment ref="G10" authorId="0" shapeId="0">
      <text>
        <t xml:space="preserve">.....:
PA ,88
</t>
      </text>
    </comment>
    <comment ref="M10" authorId="0" shapeId="0">
      <text>
        <t xml:space="preserve">.....:
PA ,88
</t>
      </text>
    </comment>
    <comment ref="A11" authorId="0" shapeId="0">
      <text>
        <t xml:space="preserve">.....:
PA 1,20
</t>
      </text>
    </comment>
    <comment ref="G11" authorId="0" shapeId="0">
      <text>
        <t xml:space="preserve">.....:
PA 1,20
</t>
      </text>
    </comment>
    <comment ref="M11" authorId="0" shapeId="0">
      <text>
        <t xml:space="preserve">.....:
PA 1,20
</t>
      </text>
    </comment>
    <comment ref="A12" authorId="0" shapeId="0">
      <text>
        <t xml:space="preserve">.....:
PA 0,79
</t>
      </text>
    </comment>
    <comment ref="G12" authorId="0" shapeId="0">
      <text>
        <t xml:space="preserve">.....:
PA 0,79
</t>
      </text>
    </comment>
    <comment ref="M12" authorId="0" shapeId="0">
      <text>
        <t xml:space="preserve">.....:
PA 0,79
</t>
      </text>
    </comment>
    <comment ref="A22" authorId="0" shapeId="0">
      <text>
        <t>.....:
PA 0,124</t>
      </text>
    </comment>
    <comment ref="G22" authorId="0" shapeId="0">
      <text>
        <t>.....:
PA 0,124</t>
      </text>
    </comment>
    <comment ref="A23" authorId="1" shapeId="0">
      <text>
        <t xml:space="preserve">*:
PA 7,62
</t>
      </text>
    </comment>
    <comment ref="G23" authorId="1" shapeId="0">
      <text>
        <t xml:space="preserve">*:
PA 7,62
</t>
      </text>
    </comment>
    <comment ref="A24" authorId="0" shapeId="0">
      <text>
        <t xml:space="preserve">.....:
PA 1,30
</t>
      </text>
    </comment>
    <comment ref="G24" authorId="0" shapeId="0">
      <text>
        <t xml:space="preserve">.....:
PA 1,30
</t>
      </text>
    </comment>
    <comment ref="A25" authorId="0" shapeId="0">
      <text>
        <t xml:space="preserve">.....:
PA ,88
</t>
      </text>
    </comment>
    <comment ref="G25" authorId="0" shapeId="0">
      <text>
        <t xml:space="preserve">.....:
PA ,88
</t>
      </text>
    </comment>
    <comment ref="A26" authorId="0" shapeId="0">
      <text>
        <t xml:space="preserve">.....:
PA 1,20
</t>
      </text>
    </comment>
    <comment ref="G26" authorId="0" shapeId="0">
      <text>
        <t xml:space="preserve">.....:
PA 1,20
</t>
      </text>
    </comment>
    <comment ref="A27" authorId="0" shapeId="0">
      <text>
        <t xml:space="preserve">.....:
PA 0,79
</t>
      </text>
    </comment>
    <comment ref="G27" authorId="0" shapeId="0">
      <text>
        <t xml:space="preserve">.....:
PA 0,79
</t>
      </text>
    </comment>
  </commentList>
</comments>
</file>

<file path=xl/comments/comment12.xml><?xml version="1.0" encoding="utf-8"?>
<comments xmlns="http://schemas.openxmlformats.org/spreadsheetml/2006/main">
  <authors>
    <author>.....</author>
    <author>*</author>
  </authors>
  <commentList>
    <comment ref="A6" authorId="0" shapeId="0">
      <text>
        <t>.....:
PA 0,124</t>
      </text>
    </comment>
    <comment ref="I6" authorId="0" shapeId="0">
      <text>
        <t>.....:
PA 0,124</t>
      </text>
    </comment>
    <comment ref="A7" authorId="1" shapeId="0">
      <text>
        <t xml:space="preserve">*:
PA 7,62
</t>
      </text>
    </comment>
    <comment ref="I7" authorId="1" shapeId="0">
      <text>
        <t xml:space="preserve">*:
PA 7,62
</t>
      </text>
    </comment>
    <comment ref="O7" authorId="0" shapeId="0">
      <text>
        <t>.....:
PA 0,124</t>
      </text>
    </comment>
    <comment ref="A8" authorId="0" shapeId="0">
      <text>
        <t xml:space="preserve">.....:
PA 1,30
</t>
      </text>
    </comment>
    <comment ref="I8" authorId="0" shapeId="0">
      <text>
        <t xml:space="preserve">.....:
PA 1,30
</t>
      </text>
    </comment>
    <comment ref="O8" authorId="1" shapeId="0">
      <text>
        <t xml:space="preserve">*:
PA 7,62
</t>
      </text>
    </comment>
    <comment ref="A9" authorId="0" shapeId="0">
      <text>
        <t xml:space="preserve">.....:
PA ,88
</t>
      </text>
    </comment>
    <comment ref="I9" authorId="0" shapeId="0">
      <text>
        <t xml:space="preserve">.....:
PA ,88
</t>
      </text>
    </comment>
    <comment ref="O9" authorId="0" shapeId="0">
      <text>
        <t xml:space="preserve">.....:
PA 1,30
</t>
      </text>
    </comment>
    <comment ref="A10" authorId="0" shapeId="0">
      <text>
        <t xml:space="preserve">.....:
PA 1,20
</t>
      </text>
    </comment>
    <comment ref="I10" authorId="0" shapeId="0">
      <text>
        <t xml:space="preserve">.....:
PA 1,20
</t>
      </text>
    </comment>
    <comment ref="O10" authorId="0" shapeId="0">
      <text>
        <t xml:space="preserve">.....:
PA ,88
</t>
      </text>
    </comment>
    <comment ref="A11" authorId="0" shapeId="0">
      <text>
        <t xml:space="preserve">.....:
PA 0,79
</t>
      </text>
    </comment>
    <comment ref="O11" authorId="0" shapeId="0">
      <text>
        <t xml:space="preserve">.....:
PA 1,20
</t>
      </text>
    </comment>
    <comment ref="I12" authorId="0" shapeId="0">
      <text>
        <t xml:space="preserve">.....:
PA 0,79
</t>
      </text>
    </comment>
    <comment ref="O12" authorId="0" shapeId="0">
      <text>
        <t xml:space="preserve">.....:
PA 0,79
</t>
      </text>
    </comment>
    <comment ref="A21" authorId="0" shapeId="0">
      <text>
        <t>.....:
PA 0,124</t>
      </text>
    </comment>
    <comment ref="I21" authorId="0" shapeId="0">
      <text>
        <t>.....:
PA 0,124</t>
      </text>
    </comment>
    <comment ref="O21" authorId="0" shapeId="0">
      <text>
        <t>.....:
PA 0,124</t>
      </text>
    </comment>
    <comment ref="A22" authorId="1" shapeId="0">
      <text>
        <t xml:space="preserve">*:
PA 7,62
</t>
      </text>
    </comment>
    <comment ref="I22" authorId="1" shapeId="0">
      <text>
        <t xml:space="preserve">*:
PA 7,62
</t>
      </text>
    </comment>
    <comment ref="O22" authorId="1" shapeId="0">
      <text>
        <t xml:space="preserve">*:
PA 7,62
</t>
      </text>
    </comment>
    <comment ref="A23" authorId="0" shapeId="0">
      <text>
        <t xml:space="preserve">.....:
PA 1,30
</t>
      </text>
    </comment>
    <comment ref="I23" authorId="0" shapeId="0">
      <text>
        <t xml:space="preserve">.....:
PA 1,30
</t>
      </text>
    </comment>
    <comment ref="O23" authorId="0" shapeId="0">
      <text>
        <t xml:space="preserve">.....:
PA 1,30
</t>
      </text>
    </comment>
    <comment ref="A24" authorId="0" shapeId="0">
      <text>
        <t xml:space="preserve">.....:
PA ,88
</t>
      </text>
    </comment>
    <comment ref="I24" authorId="0" shapeId="0">
      <text>
        <t xml:space="preserve">.....:
PA ,88
</t>
      </text>
    </comment>
    <comment ref="O24" authorId="0" shapeId="0">
      <text>
        <t xml:space="preserve">.....:
PA ,88
</t>
      </text>
    </comment>
    <comment ref="A25" authorId="0" shapeId="0">
      <text>
        <t xml:space="preserve">.....:
PA 1,20
</t>
      </text>
    </comment>
    <comment ref="I25" authorId="0" shapeId="0">
      <text>
        <t xml:space="preserve">.....:
PA 1,20
</t>
      </text>
    </comment>
    <comment ref="O25" authorId="0" shapeId="0">
      <text>
        <t xml:space="preserve">.....:
PA 1,20
</t>
      </text>
    </comment>
    <comment ref="A26" authorId="0" shapeId="0">
      <text>
        <t xml:space="preserve">.....:
PA 0,79
</t>
      </text>
    </comment>
    <comment ref="I26" authorId="0" shapeId="0">
      <text>
        <t xml:space="preserve">.....:
PA 0,79
</t>
      </text>
    </comment>
    <comment ref="O26" authorId="0" shapeId="0">
      <text>
        <t xml:space="preserve">.....:
PA 0,79
</t>
      </text>
    </comment>
    <comment ref="O34" authorId="0" shapeId="0">
      <text>
        <t>.....:
PA 0,124</t>
      </text>
    </comment>
    <comment ref="O35" authorId="1" shapeId="0">
      <text>
        <t xml:space="preserve">*:
PA 7,62
</t>
      </text>
    </comment>
    <comment ref="O36" authorId="0" shapeId="0">
      <text>
        <t xml:space="preserve">.....:
PA 1,30
</t>
      </text>
    </comment>
    <comment ref="O37" authorId="0" shapeId="0">
      <text>
        <t xml:space="preserve">.....:
PA ,88
</t>
      </text>
    </comment>
    <comment ref="O38" authorId="0" shapeId="0">
      <text>
        <t xml:space="preserve">.....:
PA 1,20
</t>
      </text>
    </comment>
    <comment ref="O39" authorId="0" shapeId="0">
      <text>
        <t xml:space="preserve">.....:
PA 0,79
</t>
      </text>
    </comment>
  </commentList>
</comments>
</file>

<file path=xl/comments/comment13.xml><?xml version="1.0" encoding="utf-8"?>
<comments xmlns="http://schemas.openxmlformats.org/spreadsheetml/2006/main">
  <authors>
    <author>.....</author>
    <author>*</author>
  </authors>
  <commentList>
    <comment ref="B6" authorId="0" shapeId="0">
      <text>
        <t>.....:
PA 0,124</t>
      </text>
    </comment>
    <comment ref="B7" authorId="1" shapeId="0">
      <text>
        <t xml:space="preserve">*:
PA 7,62
</t>
      </text>
    </comment>
    <comment ref="B12" authorId="0" shapeId="0">
      <text>
        <t xml:space="preserve">.....:
PA ,88
</t>
      </text>
    </comment>
  </commentList>
</comments>
</file>

<file path=xl/comments/comment14.xml><?xml version="1.0" encoding="utf-8"?>
<comments xmlns="http://schemas.openxmlformats.org/spreadsheetml/2006/main">
  <authors>
    <author>.....</author>
  </authors>
  <commentList>
    <comment ref="A6" authorId="0" shapeId="0">
      <text>
        <t xml:space="preserve">.....:
PA 0,124
</t>
      </text>
    </comment>
    <comment ref="A8" authorId="0" shapeId="0">
      <text>
        <t>.....:
PA 7,95</t>
      </text>
    </comment>
    <comment ref="A9" authorId="0" shapeId="0">
      <text>
        <t xml:space="preserve">.....:
PA0,88
</t>
      </text>
    </comment>
    <comment ref="A10" authorId="0" shapeId="0">
      <text>
        <t xml:space="preserve">.....:
PA 1,15
</t>
      </text>
    </comment>
    <comment ref="A11" authorId="0" shapeId="0">
      <text>
        <t xml:space="preserve">.....:
PA 0,79
</t>
      </text>
    </comment>
    <comment ref="A12" authorId="0" shapeId="0">
      <text>
        <t xml:space="preserve">.....:
PA 3,50
</t>
      </text>
    </comment>
    <comment ref="A13" authorId="0" shapeId="0">
      <text>
        <t xml:space="preserve">.....:
PA 8,15
</t>
      </text>
    </comment>
    <comment ref="A14" authorId="0" shapeId="0">
      <text>
        <t xml:space="preserve">.....:
PA 1,60
</t>
      </text>
    </comment>
    <comment ref="A15" authorId="0" shapeId="0">
      <text>
        <t xml:space="preserve">.....:
PA 1,84
</t>
      </text>
    </comment>
    <comment ref="A16" authorId="0" shapeId="0">
      <text>
        <t xml:space="preserve">.....:
PA 4,02
</t>
      </text>
    </comment>
    <comment ref="A17" authorId="0" shapeId="0">
      <text>
        <t xml:space="preserve">.....:
PA 23,55
</t>
      </text>
    </comment>
    <comment ref="A20" authorId="0" shapeId="0">
      <text>
        <t xml:space="preserve">.....:
PA 2,36
</t>
      </text>
    </comment>
  </commentList>
</comments>
</file>

<file path=xl/comments/comment15.xml><?xml version="1.0" encoding="utf-8"?>
<comments xmlns="http://schemas.openxmlformats.org/spreadsheetml/2006/main">
  <authors>
    <author>.....</author>
    <author>*</author>
  </authors>
  <commentList>
    <comment ref="Z6" authorId="0" shapeId="0">
      <text>
        <t>.....:
PA 0,124</t>
      </text>
    </comment>
    <comment ref="G7" authorId="0" shapeId="0">
      <text>
        <t>.....:
PA 0,124</t>
      </text>
    </comment>
    <comment ref="M7" authorId="0" shapeId="0">
      <text>
        <t>.....:
PA 0,124</t>
      </text>
    </comment>
    <comment ref="Z7" authorId="1" shapeId="0">
      <text>
        <t xml:space="preserve">*:
PA 7,62
</t>
      </text>
    </comment>
    <comment ref="A8" authorId="0" shapeId="0">
      <text>
        <t>.....:
PA 0,124</t>
      </text>
    </comment>
    <comment ref="G8" authorId="1" shapeId="0">
      <text>
        <t xml:space="preserve">*:
PA 7,62
</t>
      </text>
    </comment>
    <comment ref="M8" authorId="1" shapeId="0">
      <text>
        <t xml:space="preserve">*:
PA 7,62
</t>
      </text>
    </comment>
    <comment ref="T8" authorId="0" shapeId="0">
      <text>
        <t>.....:
PA 0,124</t>
      </text>
    </comment>
    <comment ref="Z8" authorId="0" shapeId="0">
      <text>
        <t xml:space="preserve">.....:
PA 1,30
</t>
      </text>
    </comment>
    <comment ref="A9" authorId="1" shapeId="0">
      <text>
        <t xml:space="preserve">*:
PA 7,62
</t>
      </text>
    </comment>
    <comment ref="G9" authorId="0" shapeId="0">
      <text>
        <t xml:space="preserve">.....:
PA 1,30
</t>
      </text>
    </comment>
    <comment ref="M9" authorId="0" shapeId="0">
      <text>
        <t xml:space="preserve">.....:
PA 1,30
</t>
      </text>
    </comment>
    <comment ref="T9" authorId="1" shapeId="0">
      <text>
        <t xml:space="preserve">*:
PA 7,62
</t>
      </text>
    </comment>
    <comment ref="Z9" authorId="0" shapeId="0">
      <text>
        <t xml:space="preserve">.....:
PA ,88
</t>
      </text>
    </comment>
    <comment ref="A10" authorId="0" shapeId="0">
      <text>
        <t xml:space="preserve">.....:
PA 1,30
</t>
      </text>
    </comment>
    <comment ref="G10" authorId="0" shapeId="0">
      <text>
        <t xml:space="preserve">.....:
PA ,88
</t>
      </text>
    </comment>
    <comment ref="M10" authorId="0" shapeId="0">
      <text>
        <t xml:space="preserve">.....:
PA ,88
</t>
      </text>
    </comment>
    <comment ref="T10" authorId="0" shapeId="0">
      <text>
        <t xml:space="preserve">.....:
PA 1,30
</t>
      </text>
    </comment>
    <comment ref="Z10" authorId="0" shapeId="0">
      <text>
        <t xml:space="preserve">.....:
PA 1,20
</t>
      </text>
    </comment>
    <comment ref="A11" authorId="0" shapeId="0">
      <text>
        <t xml:space="preserve">.....:
PA ,88
</t>
      </text>
    </comment>
    <comment ref="G11" authorId="0" shapeId="0">
      <text>
        <t xml:space="preserve">.....:
PA 1,20
</t>
      </text>
    </comment>
    <comment ref="M11" authorId="0" shapeId="0">
      <text>
        <t xml:space="preserve">.....:
PA 1,20
</t>
      </text>
    </comment>
    <comment ref="T11" authorId="0" shapeId="0">
      <text>
        <t xml:space="preserve">.....:
PA ,88
</t>
      </text>
    </comment>
    <comment ref="Z11" authorId="0" shapeId="0">
      <text>
        <t xml:space="preserve">.....:
PA 0,79
</t>
      </text>
    </comment>
    <comment ref="A12" authorId="0" shapeId="0">
      <text>
        <t xml:space="preserve">.....:
PA 1,20
</t>
      </text>
    </comment>
    <comment ref="G12" authorId="0" shapeId="0">
      <text>
        <t xml:space="preserve">.....:
PA 0,79
</t>
      </text>
    </comment>
    <comment ref="M12" authorId="0" shapeId="0">
      <text>
        <t xml:space="preserve">.....:
PA 0,79
</t>
      </text>
    </comment>
    <comment ref="T12" authorId="0" shapeId="0">
      <text>
        <t xml:space="preserve">.....:
PA 1,20
</t>
      </text>
    </comment>
    <comment ref="A13" authorId="0" shapeId="0">
      <text>
        <t xml:space="preserve">.....:
PA 0,79
</t>
      </text>
    </comment>
    <comment ref="T13" authorId="0" shapeId="0">
      <text>
        <t xml:space="preserve">.....:
PA 0,79
</t>
      </text>
    </comment>
    <comment ref="Z20" authorId="0" shapeId="0">
      <text>
        <t>.....:
PA 0,124</t>
      </text>
    </comment>
    <comment ref="Z21" authorId="1" shapeId="0">
      <text>
        <t xml:space="preserve">*:
PA 7,62
</t>
      </text>
    </comment>
    <comment ref="Z22" authorId="0" shapeId="0">
      <text>
        <t xml:space="preserve">.....:
PA 1,30
</t>
      </text>
    </comment>
    <comment ref="Z23" authorId="0" shapeId="0">
      <text>
        <t xml:space="preserve">.....:
PA ,88
</t>
      </text>
    </comment>
    <comment ref="Z24" authorId="0" shapeId="0">
      <text>
        <t xml:space="preserve">.....:
PA 1,20
</t>
      </text>
    </comment>
    <comment ref="Z25" authorId="0" shapeId="0">
      <text>
        <t xml:space="preserve">.....:
PA 0,79
</t>
      </text>
    </comment>
  </commentList>
</comments>
</file>

<file path=xl/externalLinks/_rels/externalLink1.xml.rels><Relationships xmlns="http://schemas.openxmlformats.org/package/2006/relationships"><Relationship Type="http://schemas.openxmlformats.org/officeDocument/2006/relationships/externalLinkPath" Target="file:///\\srvlabreche\Dossier%20semaine%20commun\Stock\Stock%20Produits%20finis.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4.6734693877551017</v>
          </cell>
        </row>
        <row r="48">
          <cell r="AC48">
            <v>2.6222222222222222</v>
          </cell>
        </row>
        <row r="82">
          <cell r="AC82">
            <v>4.2228547008547004</v>
          </cell>
        </row>
        <row r="114">
          <cell r="AC114">
            <v>2.3029914529914528</v>
          </cell>
        </row>
        <row r="126">
          <cell r="AC126">
            <v>0</v>
          </cell>
        </row>
        <row r="133">
          <cell r="AC133">
            <v>0</v>
          </cell>
        </row>
      </sheetData>
      <sheetData sheetId="2">
        <row r="8">
          <cell r="AC8">
            <v>0.3641304347826087</v>
          </cell>
        </row>
        <row r="16">
          <cell r="AC16">
            <v>0.18188888888888891</v>
          </cell>
        </row>
        <row r="35">
          <cell r="AC35">
            <v>1.9607391304347823</v>
          </cell>
        </row>
        <row r="58">
          <cell r="AC58">
            <v>0.54565384615384616</v>
          </cell>
        </row>
        <row r="80">
          <cell r="AC80">
            <v>1.44E-2</v>
          </cell>
        </row>
        <row r="86">
          <cell r="AC86">
            <v>0</v>
          </cell>
        </row>
        <row r="116">
          <cell r="AC116">
            <v>0.60808510638297875</v>
          </cell>
        </row>
      </sheetData>
      <sheetData sheetId="3">
        <row r="66">
          <cell r="AC66">
            <v>20.067272727272726</v>
          </cell>
        </row>
      </sheetData>
      <sheetData sheetId="4">
        <row r="5">
          <cell r="AC5">
            <v>5.434782608695652E-3</v>
          </cell>
        </row>
        <row r="13">
          <cell r="AC13">
            <v>0.16250000000000001</v>
          </cell>
        </row>
        <row r="21">
          <cell r="AC21">
            <v>5.8753246753246752E-2</v>
          </cell>
        </row>
        <row r="29">
          <cell r="AC29">
            <v>0.23510638297872341</v>
          </cell>
        </row>
        <row r="48">
          <cell r="AC48">
            <v>4.093537037037037</v>
          </cell>
        </row>
        <row r="72">
          <cell r="AC72">
            <v>1.6541923076923077</v>
          </cell>
        </row>
      </sheetData>
      <sheetData sheetId="5">
        <row r="15">
          <cell r="AC15">
            <v>1.0391752577319586</v>
          </cell>
        </row>
        <row r="28">
          <cell r="AC28">
            <v>0.50515463917525771</v>
          </cell>
        </row>
        <row r="38">
          <cell r="AC38">
            <v>0.41030927835051545</v>
          </cell>
        </row>
        <row r="53">
          <cell r="AC53">
            <v>8.0808080808080808E-3</v>
          </cell>
        </row>
        <row r="66">
          <cell r="AC66">
            <v>0.8294117647058824</v>
          </cell>
        </row>
        <row r="82">
          <cell r="AC82">
            <v>0.51400000000000001</v>
          </cell>
        </row>
        <row r="92">
          <cell r="AC92">
            <v>1.0175833333333333</v>
          </cell>
        </row>
        <row r="107">
          <cell r="AC107">
            <v>0.10526315789473684</v>
          </cell>
        </row>
        <row r="117">
          <cell r="AC117">
            <v>0.10638297872340426</v>
          </cell>
        </row>
        <row r="126">
          <cell r="AC126">
            <v>0.16274509803921569</v>
          </cell>
        </row>
        <row r="134">
          <cell r="AC134">
            <v>0.19354838709677419</v>
          </cell>
        </row>
        <row r="143">
          <cell r="AC143">
            <v>0.36151020408163265</v>
          </cell>
        </row>
        <row r="151">
          <cell r="AC151">
            <v>0</v>
          </cell>
        </row>
        <row r="160">
          <cell r="AC160">
            <v>0.25744680851063828</v>
          </cell>
        </row>
        <row r="176">
          <cell r="AC176">
            <v>0.12</v>
          </cell>
        </row>
        <row r="197">
          <cell r="AC197">
            <v>0.4357894736842105</v>
          </cell>
        </row>
        <row r="209">
          <cell r="AC209">
            <v>0.17849462365591398</v>
          </cell>
        </row>
        <row r="232">
          <cell r="AC232">
            <v>0.46881720430107526</v>
          </cell>
        </row>
        <row r="265">
          <cell r="AC265">
            <v>0.1276595744680851</v>
          </cell>
        </row>
      </sheetData>
      <sheetData sheetId="6"/>
      <sheetData sheetId="7"/>
    </sheetDataSet>
  </externalBook>
</externalLink>
</file>

<file path=xl/tables/table1.xml><?xml version="1.0" encoding="utf-8"?>
<table xmlns="http://schemas.openxmlformats.org/spreadsheetml/2006/main" id="1" name="표1_3" displayName="표1_3" ref="C1:C6" headerRowCount="1" totalsRowShown="0" headerRowDxfId="11" dataDxfId="10" tableBorderDxfId="9">
  <tableColumns count="1">
    <tableColumn id="1" name="Jour" dataDxfId="8"/>
  </tableColumns>
  <tableStyleInfo name="TableStyleLight8" showFirstColumn="0" showLastColumn="0" showRowStripes="1" showColumnStripes="0"/>
</table>
</file>

<file path=xl/tables/table2.xml><?xml version="1.0" encoding="utf-8"?>
<table xmlns="http://schemas.openxmlformats.org/spreadsheetml/2006/main" id="2" name="표1" displayName="표1" ref="A1:A14" headerRowCount="1" totalsRowShown="0" headerRowDxfId="7" dataDxfId="6" tableBorderDxfId="5">
  <tableColumns count="1">
    <tableColumn id="1" name="Fournisseur" dataDxfId="4"/>
  </tableColumns>
  <tableStyleInfo name="TableStyleLight11" showFirstColumn="0" showLastColumn="0" showRowStripes="1" showColumnStripes="0"/>
</table>
</file>

<file path=xl/tables/table3.xml><?xml version="1.0" encoding="utf-8"?>
<table xmlns="http://schemas.openxmlformats.org/spreadsheetml/2006/main" id="3" name="표1_34" displayName="표1_34" ref="H1:H6" headerRowCount="1" totalsRowShown="0" headerRowDxfId="3" dataDxfId="2" tableBorderDxfId="1">
  <tableColumns count="1">
    <tableColumn id="1"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table" Target="/xl/tables/table1.xml" Id="rId1"/><Relationship Type="http://schemas.openxmlformats.org/officeDocument/2006/relationships/table" Target="/xl/tables/table2.xml" Id="rId2"/><Relationship Type="http://schemas.openxmlformats.org/officeDocument/2006/relationships/table" Target="/xl/tables/table3.xml" Id="rId3"/></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9.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0.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1.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2.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3.xml.rels><Relationships xmlns="http://schemas.openxmlformats.org/package/2006/relationships"><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4.xml.rels><Relationships xmlns="http://schemas.openxmlformats.org/package/2006/relationships"><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5.xml.rels><Relationships xmlns="http://schemas.openxmlformats.org/package/2006/relationships"><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_rels/sheet16.xml.rels><Relationships xmlns="http://schemas.openxmlformats.org/package/2006/relationships"><Relationship Type="http://schemas.openxmlformats.org/officeDocument/2006/relationships/comments" Target="/xl/comments/comment14.xml" Id="comments"/><Relationship Type="http://schemas.openxmlformats.org/officeDocument/2006/relationships/vmlDrawing" Target="/xl/drawings/vmlDrawing14.vml" Id="anysvml"/></Relationships>
</file>

<file path=xl/worksheets/_rels/sheet18.xml.rels><Relationships xmlns="http://schemas.openxmlformats.org/package/2006/relationships"><Relationship Type="http://schemas.openxmlformats.org/officeDocument/2006/relationships/comments" Target="/xl/comments/comment15.xml" Id="comments"/><Relationship Type="http://schemas.openxmlformats.org/officeDocument/2006/relationships/vmlDrawing" Target="/xl/drawings/vmlDrawing15.vml" Id="anysvml"/></Relationships>
</file>

<file path=xl/worksheets/sheet1.xml><?xml version="1.0" encoding="utf-8"?>
<worksheet xmlns="http://schemas.openxmlformats.org/spreadsheetml/2006/main">
  <sheetPr codeName="Sheet1">
    <outlinePr summaryBelow="1" summaryRight="1"/>
    <pageSetUpPr fitToPage="1"/>
  </sheetPr>
  <dimension ref="A1:S107"/>
  <sheetViews>
    <sheetView showGridLines="0" tabSelected="1" zoomScale="90" zoomScaleNormal="90" workbookViewId="0">
      <selection activeCell="J8" sqref="J8"/>
    </sheetView>
  </sheetViews>
  <sheetFormatPr baseColWidth="8" defaultColWidth="11.44140625" defaultRowHeight="26.4"/>
  <cols>
    <col width="58" bestFit="1" customWidth="1" style="907" min="1" max="1"/>
    <col width="7.33203125" bestFit="1" customWidth="1" style="907" min="2" max="2"/>
    <col width="13.109375" customWidth="1" style="907" min="3" max="3"/>
    <col width="15.88671875" customWidth="1" style="907" min="4" max="4"/>
    <col width="15.5546875" customWidth="1" style="916" min="5" max="5"/>
    <col width="17.6640625" customWidth="1" style="907" min="6" max="6"/>
    <col width="17.33203125" bestFit="1" customWidth="1" style="263" min="7" max="7"/>
    <col hidden="1" style="263" min="8" max="8"/>
    <col width="11.44140625" customWidth="1" style="263" min="9" max="9"/>
    <col width="11.44140625" customWidth="1" style="907" min="10" max="10"/>
    <col width="11.44140625" customWidth="1" style="907" min="11" max="16384"/>
  </cols>
  <sheetData>
    <row r="1" ht="33.75" customFormat="1" customHeight="1" s="134" thickBot="1">
      <c r="A1" s="918" t="inlineStr">
        <is>
          <t>PLANNING FABRICATION Semaine 40</t>
        </is>
      </c>
      <c r="B1" s="919" t="n"/>
      <c r="C1" s="919" t="n"/>
      <c r="D1" s="919" t="n"/>
      <c r="E1" s="919" t="n"/>
      <c r="F1" s="848" t="inlineStr">
        <is>
          <t>Semaine</t>
        </is>
      </c>
      <c r="G1" s="849" t="n">
        <v>40</v>
      </c>
      <c r="H1" s="262" t="n"/>
      <c r="I1" s="262" t="n"/>
    </row>
    <row r="2" ht="37.5" customHeight="1" s="1025" thickBot="1">
      <c r="F2" s="850" t="inlineStr">
        <is>
          <t>Planning S en cours</t>
        </is>
      </c>
      <c r="G2" s="850" t="inlineStr">
        <is>
          <t>Ventes S en cours</t>
        </is>
      </c>
      <c r="H2" s="851" t="n"/>
      <c r="I2" s="850" t="inlineStr">
        <is>
          <t xml:space="preserve">Prévision S+1 </t>
        </is>
      </c>
    </row>
    <row r="3" ht="45.75" customHeight="1" s="1025" thickBot="1">
      <c r="A3" s="223" t="inlineStr">
        <is>
          <t xml:space="preserve">FILET MIGNON                            </t>
        </is>
      </c>
      <c r="B3" s="224" t="n"/>
      <c r="C3" s="931" t="inlineStr">
        <is>
          <t xml:space="preserve">   (0 / 100 kg)</t>
        </is>
      </c>
      <c r="D3" s="932" t="n"/>
      <c r="E3" s="867" t="n">
        <v>100</v>
      </c>
      <c r="F3" s="852" t="n">
        <v>0</v>
      </c>
      <c r="G3" s="880" t="n"/>
      <c r="H3" s="851" t="n"/>
      <c r="I3" s="851" t="n"/>
    </row>
    <row r="4" ht="10.5" customHeight="1" s="1025" thickBot="1">
      <c r="F4" s="852" t="n"/>
      <c r="G4" s="851" t="n"/>
      <c r="H4" s="851" t="n"/>
      <c r="I4" s="851" t="n"/>
    </row>
    <row r="5" ht="26.25" customHeight="1" s="1025" thickBot="1" thickTop="1">
      <c r="A5" s="901" t="inlineStr">
        <is>
          <t>HALAL</t>
        </is>
      </c>
      <c r="B5" s="902" t="n"/>
      <c r="C5" s="902" t="n"/>
      <c r="D5" s="903" t="n"/>
      <c r="E5" s="194">
        <f>SUM(E7:E12)</f>
        <v/>
      </c>
      <c r="F5" s="853" t="inlineStr">
        <is>
          <t>Mêlées</t>
        </is>
      </c>
      <c r="G5" s="851" t="n"/>
      <c r="H5" s="851" t="n"/>
      <c r="I5" s="851" t="n"/>
      <c r="L5" s="907" t="inlineStr">
        <is>
          <t>Total :</t>
        </is>
      </c>
      <c r="M5" s="907">
        <f>E5+E14+E24+E30+E42+E64</f>
        <v/>
      </c>
    </row>
    <row r="6" ht="45" customHeight="1" s="1025" thickBot="1" thickTop="1">
      <c r="A6" s="934" t="inlineStr">
        <is>
          <t xml:space="preserve">CUTTER- GROS BROYEUR (Grille 6)- ASSAISONNEMENT CUTTER
EMBOSSAGE : 300 g </t>
        </is>
      </c>
      <c r="F6" s="850" t="inlineStr">
        <is>
          <t>Planning S en cours</t>
        </is>
      </c>
      <c r="G6" s="850" t="inlineStr">
        <is>
          <t>Ventes S en cours</t>
        </is>
      </c>
      <c r="H6" s="851" t="n"/>
      <c r="I6" s="850" t="inlineStr">
        <is>
          <t xml:space="preserve">Prévision S+1 </t>
        </is>
      </c>
    </row>
    <row r="7" ht="25.5" customHeight="1" s="1025" thickBot="1">
      <c r="A7" s="904" t="inlineStr">
        <is>
          <t>Saucisson Dinde &amp; Bœuf Halal 200</t>
        </is>
      </c>
      <c r="B7" s="905" t="n"/>
      <c r="C7" s="905" t="n"/>
      <c r="D7" s="905" t="n"/>
      <c r="E7" s="868" t="n">
        <v>0</v>
      </c>
      <c r="F7" s="852" t="n">
        <v>0</v>
      </c>
      <c r="G7" s="854">
        <f>[1]HALAL!$AC$25</f>
        <v/>
      </c>
      <c r="H7" s="851" t="n"/>
      <c r="I7" s="851" t="n"/>
      <c r="L7" s="5" t="n"/>
      <c r="M7" s="5" t="n"/>
    </row>
    <row r="8" ht="25.5" customHeight="1" s="1025" thickBot="1">
      <c r="A8" s="914" t="inlineStr">
        <is>
          <t>Saucisson Dinde &amp; Bœuf Halrizo 200</t>
        </is>
      </c>
      <c r="B8" s="905" t="n"/>
      <c r="C8" s="905" t="n"/>
      <c r="D8" s="905" t="n"/>
      <c r="E8" s="869" t="n">
        <v>0</v>
      </c>
      <c r="F8" s="852" t="n">
        <v>0</v>
      </c>
      <c r="G8" s="854">
        <f>[1]HALAL!$AC$48</f>
        <v/>
      </c>
      <c r="H8" s="851" t="n"/>
      <c r="I8" s="851" t="n"/>
      <c r="L8" s="5" t="inlineStr">
        <is>
          <t xml:space="preserve"> </t>
        </is>
      </c>
      <c r="M8" s="5" t="n"/>
    </row>
    <row r="9" ht="25.5" customHeight="1" s="1025" thickBot="1">
      <c r="A9" s="904" t="inlineStr">
        <is>
          <t>Saucisson Dinde &amp; Bœuf BN 3/350 grs Nature</t>
        </is>
      </c>
      <c r="B9" s="905" t="n"/>
      <c r="C9" s="905" t="n"/>
      <c r="D9" s="905" t="n"/>
      <c r="E9" s="868" t="n">
        <v>0</v>
      </c>
      <c r="F9" s="852" t="n">
        <v>0</v>
      </c>
      <c r="G9" s="854">
        <f>[1]HALAL!$AC$126</f>
        <v/>
      </c>
      <c r="H9" s="851" t="n"/>
      <c r="I9" s="851" t="n"/>
      <c r="L9" s="5" t="n"/>
      <c r="M9" s="5" t="n"/>
    </row>
    <row r="10" ht="25.5" customHeight="1" s="1025" thickBot="1">
      <c r="A10" s="914" t="inlineStr">
        <is>
          <t>Saucisson Dinde &amp; Bœuf BN 3/350 grs Pimenté</t>
        </is>
      </c>
      <c r="B10" s="905" t="n"/>
      <c r="C10" s="905" t="n"/>
      <c r="D10" s="905" t="n"/>
      <c r="E10" s="869" t="n">
        <v>0</v>
      </c>
      <c r="F10" s="852" t="n">
        <v>0</v>
      </c>
      <c r="G10" s="854">
        <f>[1]HALAL!$AC$133</f>
        <v/>
      </c>
      <c r="H10" s="851" t="n"/>
      <c r="I10" s="851" t="n"/>
      <c r="L10" s="5" t="n"/>
      <c r="M10" s="5" t="n"/>
    </row>
    <row r="11" ht="25.5" customHeight="1" s="1025" thickBot="1">
      <c r="A11" s="904" t="inlineStr">
        <is>
          <t>Saucisson Dinde &amp; Bœuf Halal Grosses Pièces</t>
        </is>
      </c>
      <c r="B11" s="905" t="n"/>
      <c r="C11" s="905" t="n"/>
      <c r="D11" s="905" t="n"/>
      <c r="E11" s="868" t="n">
        <v>0</v>
      </c>
      <c r="F11" s="852" t="n">
        <v>0</v>
      </c>
      <c r="G11" s="854">
        <f>[1]HALAL!$AC$82</f>
        <v/>
      </c>
      <c r="H11" s="851" t="n"/>
      <c r="I11" s="851" t="n"/>
      <c r="L11" s="5" t="n"/>
      <c r="M11" s="5" t="n"/>
    </row>
    <row r="12" ht="25.5" customHeight="1" s="1025" thickBot="1">
      <c r="A12" s="914" t="inlineStr">
        <is>
          <t>Saucisson Dinde &amp; Bœuf Halrizo Grosses Pièces</t>
        </is>
      </c>
      <c r="B12" s="905" t="n"/>
      <c r="C12" s="905" t="n"/>
      <c r="D12" s="905" t="n"/>
      <c r="E12" s="868" t="n">
        <v>0</v>
      </c>
      <c r="F12" s="852" t="n">
        <v>0</v>
      </c>
      <c r="G12" s="854">
        <f>[1]HALAL!$AC$114</f>
        <v/>
      </c>
      <c r="H12" s="851" t="n"/>
      <c r="I12" s="851" t="n"/>
      <c r="L12" s="5" t="n"/>
      <c r="M12" s="5" t="n"/>
    </row>
    <row r="13" ht="9" customHeight="1" s="1025" thickBot="1">
      <c r="A13" s="922" t="n"/>
      <c r="B13" s="905" t="n"/>
      <c r="C13" s="905" t="n"/>
      <c r="D13" s="905" t="n"/>
      <c r="F13" s="852" t="n"/>
      <c r="G13" s="851" t="n"/>
      <c r="H13" s="851" t="n"/>
      <c r="I13" s="851" t="n"/>
    </row>
    <row r="14" ht="26.25" customHeight="1" s="1025" thickBot="1" thickTop="1">
      <c r="A14" s="944" t="inlineStr">
        <is>
          <t>SAG</t>
        </is>
      </c>
      <c r="B14" s="902" t="n"/>
      <c r="C14" s="902" t="n"/>
      <c r="D14" s="903" t="n"/>
      <c r="E14" s="191">
        <f>SUM(E16:E22)</f>
        <v/>
      </c>
      <c r="F14" s="853" t="inlineStr">
        <is>
          <t>Mêlées</t>
        </is>
      </c>
      <c r="G14" s="851" t="n"/>
      <c r="H14" s="851" t="n"/>
      <c r="I14" s="851" t="n"/>
    </row>
    <row r="15" ht="37.5" customHeight="1" s="1025" thickBot="1" thickTop="1">
      <c r="A15" s="945" t="inlineStr">
        <is>
          <t>CUTTER</t>
        </is>
      </c>
      <c r="F15" s="850" t="inlineStr">
        <is>
          <t>Planning S en cours</t>
        </is>
      </c>
      <c r="G15" s="850" t="inlineStr">
        <is>
          <t>Ventes S en cours</t>
        </is>
      </c>
      <c r="H15" s="851" t="n"/>
      <c r="I15" s="850" t="inlineStr">
        <is>
          <t xml:space="preserve">Prévision S+1 </t>
        </is>
      </c>
    </row>
    <row r="16" ht="25.5" customHeight="1" s="1025" thickBot="1">
      <c r="A16" s="922" t="inlineStr">
        <is>
          <t>SAG Nature</t>
        </is>
      </c>
      <c r="B16" s="905" t="n"/>
      <c r="C16" s="905" t="n"/>
      <c r="D16" s="905" t="n"/>
      <c r="E16" s="868" t="n">
        <v>1</v>
      </c>
      <c r="F16" s="852" t="n">
        <v>1</v>
      </c>
      <c r="G16" s="855">
        <f>'[1]H.G + S.A.G + FILET MIGNON'!$AC$116</f>
        <v/>
      </c>
      <c r="H16" s="851" t="n"/>
      <c r="I16" s="851" t="n"/>
    </row>
    <row r="17" hidden="1" ht="19.5" customHeight="1" s="1025">
      <c r="A17" s="909" t="inlineStr">
        <is>
          <t>SAG aux Cèpes (cèpes 1,5 kg + eau)</t>
        </is>
      </c>
      <c r="B17" s="905" t="n"/>
      <c r="C17" s="905" t="n"/>
      <c r="D17" s="905" t="n"/>
      <c r="E17" s="197" t="n"/>
      <c r="F17" s="852" t="n"/>
      <c r="G17" s="851" t="n"/>
      <c r="H17" s="851" t="n"/>
      <c r="I17" s="851" t="n"/>
    </row>
    <row r="18" hidden="1" ht="19.5" customHeight="1" s="1025">
      <c r="A18" s="909" t="inlineStr">
        <is>
          <t>SAG au St vérand 3%</t>
        </is>
      </c>
      <c r="B18" s="905" t="n"/>
      <c r="C18" s="905" t="n"/>
      <c r="D18" s="905" t="n"/>
      <c r="E18" s="912" t="n"/>
      <c r="F18" s="852" t="n"/>
      <c r="G18" s="851" t="n"/>
      <c r="H18" s="851" t="n"/>
      <c r="I18" s="851" t="n"/>
    </row>
    <row r="19" hidden="1" ht="19.5" customHeight="1" s="1025">
      <c r="A19" s="909" t="inlineStr">
        <is>
          <t>SAG au Beaufort 5% (= 7,5kg)</t>
        </is>
      </c>
      <c r="B19" s="905" t="n"/>
      <c r="C19" s="905" t="n"/>
      <c r="D19" s="905" t="n"/>
      <c r="E19" s="912" t="n"/>
      <c r="F19" s="852" t="n"/>
      <c r="G19" s="851" t="n"/>
      <c r="H19" s="851" t="n"/>
      <c r="I19" s="851" t="n"/>
    </row>
    <row r="20" hidden="1" ht="19.5" customHeight="1" s="1025">
      <c r="A20" s="909" t="inlineStr">
        <is>
          <t>SAG aux Noisettes 5% (= 7,5kg)</t>
        </is>
      </c>
      <c r="B20" s="905" t="n"/>
      <c r="C20" s="905" t="n"/>
      <c r="D20" s="905" t="n"/>
      <c r="E20" s="912" t="n"/>
      <c r="F20" s="852" t="n"/>
      <c r="G20" s="851" t="n"/>
      <c r="H20" s="851" t="n"/>
      <c r="I20" s="851" t="n"/>
    </row>
    <row r="21" hidden="1" ht="19.5" customHeight="1" s="1025">
      <c r="A21" s="909" t="inlineStr">
        <is>
          <t xml:space="preserve">SAG au Canard 30% </t>
        </is>
      </c>
      <c r="B21" s="905" t="n"/>
      <c r="C21" s="905" t="n"/>
      <c r="D21" s="905" t="n"/>
      <c r="E21" s="912" t="n"/>
      <c r="F21" s="852" t="n"/>
      <c r="G21" s="851" t="n"/>
      <c r="H21" s="851" t="n"/>
      <c r="I21" s="851" t="n"/>
    </row>
    <row r="22" hidden="1" ht="19.5" customHeight="1" s="1025">
      <c r="A22" s="909" t="inlineStr">
        <is>
          <t>SAG au Piment d'Espelette (2grs/kilo)</t>
        </is>
      </c>
      <c r="B22" s="905" t="n"/>
      <c r="C22" s="905" t="n"/>
      <c r="D22" s="905" t="n"/>
      <c r="E22" s="912" t="n"/>
      <c r="F22" s="852" t="n"/>
      <c r="G22" s="851" t="n"/>
      <c r="H22" s="851" t="n"/>
      <c r="I22" s="851" t="n"/>
    </row>
    <row r="23" hidden="1" ht="24" customHeight="1" s="1025" thickBot="1">
      <c r="F23" s="852" t="n"/>
      <c r="G23" s="851" t="n"/>
      <c r="H23" s="851" t="n"/>
      <c r="I23" s="851" t="n"/>
    </row>
    <row r="24" ht="26.25" customHeight="1" s="1025" thickBot="1" thickTop="1">
      <c r="A24" s="927" t="inlineStr">
        <is>
          <t>A CUIRE</t>
        </is>
      </c>
      <c r="B24" s="902" t="n"/>
      <c r="C24" s="902" t="n"/>
      <c r="D24" s="903" t="n"/>
      <c r="E24" s="193">
        <f>E26+E27+E28+E29</f>
        <v/>
      </c>
      <c r="F24" s="853" t="inlineStr">
        <is>
          <t>Mêlées</t>
        </is>
      </c>
      <c r="G24" s="851" t="n"/>
      <c r="H24" s="851" t="n"/>
      <c r="I24" s="851" t="n"/>
    </row>
    <row r="25" ht="37.5" customHeight="1" s="1025" thickBot="1" thickTop="1">
      <c r="A25" s="915" t="inlineStr">
        <is>
          <t>CUTTER-PETIT BROYEUR (GRILLE 6) -MELANGEUR</t>
        </is>
      </c>
      <c r="F25" s="850" t="inlineStr">
        <is>
          <t>Planning S en cours</t>
        </is>
      </c>
      <c r="G25" s="850" t="inlineStr">
        <is>
          <t>Ventes S en cours</t>
        </is>
      </c>
      <c r="H25" s="851" t="n"/>
      <c r="I25" s="850" t="inlineStr">
        <is>
          <t xml:space="preserve">Prévision S+1 </t>
        </is>
      </c>
    </row>
    <row r="26" ht="25.5" customHeight="1" s="1025" thickBot="1">
      <c r="A26" s="249" t="inlineStr">
        <is>
          <t>A Cuire Nature</t>
        </is>
      </c>
      <c r="B26" s="250" t="n"/>
      <c r="C26" s="250" t="n"/>
      <c r="D26" s="250" t="n"/>
      <c r="E26" s="868" t="n"/>
      <c r="F26" s="852" t="n">
        <v>3</v>
      </c>
      <c r="G26" s="851" t="n"/>
      <c r="H26" s="851" t="n"/>
      <c r="I26" s="851" t="n"/>
    </row>
    <row r="27" ht="25.5" customHeight="1" s="1025" thickBot="1">
      <c r="A27" s="132" t="inlineStr">
        <is>
          <t>A Cuire Pistaché</t>
        </is>
      </c>
      <c r="B27" s="250" t="n"/>
      <c r="C27" s="250" t="n"/>
      <c r="D27" s="250" t="n"/>
      <c r="E27" s="870" t="n"/>
      <c r="F27" s="852" t="n">
        <v>1.5</v>
      </c>
      <c r="G27" s="851" t="n"/>
      <c r="H27" s="851" t="n"/>
      <c r="I27" s="851" t="n"/>
    </row>
    <row r="28" hidden="1" ht="25.5" customHeight="1" s="1025" thickBot="1">
      <c r="A28" s="249" t="inlineStr">
        <is>
          <t>A Cuire à la Truffe Noire Française et aux Cèpes de France</t>
        </is>
      </c>
      <c r="B28" s="265" t="inlineStr">
        <is>
          <t>VPF</t>
        </is>
      </c>
      <c r="C28" s="265" t="n"/>
      <c r="D28" s="266" t="n"/>
      <c r="E28" s="868" t="n"/>
      <c r="F28" s="852" t="n"/>
      <c r="G28" s="851" t="n"/>
      <c r="H28" s="851" t="n"/>
      <c r="I28" s="851" t="n"/>
    </row>
    <row r="29" ht="25.5" customHeight="1" s="1025" thickBot="1">
      <c r="A29" s="910" t="inlineStr">
        <is>
          <t>Sabodet</t>
        </is>
      </c>
      <c r="B29" s="911" t="n"/>
      <c r="C29" s="911" t="n"/>
      <c r="D29" s="911" t="n"/>
      <c r="E29" s="868" t="n"/>
      <c r="F29" s="852" t="n">
        <v>0.5</v>
      </c>
      <c r="G29" s="851" t="n"/>
      <c r="H29" s="851" t="n"/>
      <c r="I29" s="851" t="n"/>
    </row>
    <row r="30" ht="26.25" customHeight="1" s="1025" thickBot="1" thickTop="1">
      <c r="A30" s="935" t="inlineStr">
        <is>
          <t>HACHE GROS - ARTISANAL-</t>
        </is>
      </c>
      <c r="B30" s="902" t="n"/>
      <c r="C30" s="902" t="n"/>
      <c r="D30" s="903" t="n"/>
      <c r="E30" s="191">
        <f>SUM(E32:E40)</f>
        <v/>
      </c>
      <c r="F30" s="853" t="inlineStr">
        <is>
          <t>Mêlées</t>
        </is>
      </c>
      <c r="G30" s="851" t="n"/>
      <c r="H30" s="851" t="n"/>
      <c r="I30" s="851" t="n"/>
    </row>
    <row r="31" ht="37.5" customHeight="1" s="1025" thickBot="1" thickTop="1">
      <c r="A31" s="936" t="inlineStr">
        <is>
          <t>CUTTER-PETIT BROYEUR (GRILLE 7) -MELANGEUR</t>
        </is>
      </c>
      <c r="F31" s="850" t="inlineStr">
        <is>
          <t>Planning S en cours</t>
        </is>
      </c>
      <c r="G31" s="850" t="inlineStr">
        <is>
          <t>Ventes S en cours</t>
        </is>
      </c>
      <c r="H31" s="851" t="n"/>
      <c r="I31" s="850" t="inlineStr">
        <is>
          <t xml:space="preserve">Prévision S+1 </t>
        </is>
      </c>
    </row>
    <row r="32" ht="24.6" customHeight="1" s="1025" thickBot="1">
      <c r="A32" s="904" t="inlineStr">
        <is>
          <t>Mignonette</t>
        </is>
      </c>
      <c r="B32" s="905" t="n"/>
      <c r="C32" s="905" t="n"/>
      <c r="D32" s="905" t="n"/>
      <c r="E32" s="869" t="n">
        <v>0</v>
      </c>
      <c r="F32" s="852" t="n">
        <v>0</v>
      </c>
      <c r="G32" s="855">
        <f>'[1]H.G + S.A.G + FILET MIGNON'!$AC$80</f>
        <v/>
      </c>
      <c r="H32" s="851" t="n"/>
      <c r="I32" s="851" t="n"/>
    </row>
    <row r="33" ht="24.6" customHeight="1" s="1025" thickBot="1">
      <c r="A33" s="904" t="inlineStr">
        <is>
          <t>HG 250g</t>
        </is>
      </c>
      <c r="B33" s="905" t="n"/>
      <c r="C33" s="905" t="n"/>
      <c r="D33" s="135" t="inlineStr">
        <is>
          <t>VPF</t>
        </is>
      </c>
      <c r="E33" s="868" t="n">
        <v>0</v>
      </c>
      <c r="F33" s="852" t="n">
        <v>0</v>
      </c>
      <c r="G33" s="855">
        <f>'[1]H.G + S.A.G + FILET MIGNON'!$AC$8</f>
        <v/>
      </c>
      <c r="H33" s="851" t="n"/>
      <c r="I33" s="851" t="n"/>
    </row>
    <row r="34" ht="24.6" customHeight="1" s="1025" thickBot="1">
      <c r="A34" s="920" t="inlineStr">
        <is>
          <t>PP HG 3-400g Artisanal</t>
        </is>
      </c>
      <c r="B34" s="905" t="n"/>
      <c r="C34" s="905" t="n"/>
      <c r="D34" s="260" t="inlineStr">
        <is>
          <t>VPF</t>
        </is>
      </c>
      <c r="E34" s="871" t="n">
        <v>0</v>
      </c>
      <c r="F34" s="852" t="n">
        <v>4</v>
      </c>
      <c r="G34" s="855">
        <f>'[1]H.G + S.A.G + FILET MIGNON'!$AC$35</f>
        <v/>
      </c>
      <c r="H34" s="851" t="n"/>
      <c r="I34" s="851" t="n"/>
    </row>
    <row r="35" ht="24.6" customHeight="1" s="1025" thickBot="1">
      <c r="A35" s="904" t="inlineStr">
        <is>
          <t>PP HG 7-800g Artisanal</t>
        </is>
      </c>
      <c r="B35" s="905" t="n"/>
      <c r="C35" s="905" t="n"/>
      <c r="D35" s="135" t="inlineStr">
        <is>
          <t>VPF</t>
        </is>
      </c>
      <c r="E35" s="868" t="n">
        <v>0</v>
      </c>
      <c r="F35" s="852" t="n">
        <v>0.5</v>
      </c>
      <c r="G35" s="855">
        <f>'[1]H.G + S.A.G + FILET MIGNON'!$AC$58</f>
        <v/>
      </c>
      <c r="H35" s="851" t="n"/>
      <c r="I35" s="851" t="n"/>
    </row>
    <row r="36" hidden="1" ht="24.6" customHeight="1" s="1025" thickBot="1">
      <c r="A36" s="904" t="inlineStr">
        <is>
          <t>JESUS 7-800 (sous filet coton)</t>
        </is>
      </c>
      <c r="B36" s="905" t="n"/>
      <c r="C36" s="905" t="n"/>
      <c r="D36" s="135" t="inlineStr">
        <is>
          <t>VPF</t>
        </is>
      </c>
      <c r="E36" s="872" t="n"/>
      <c r="F36" s="852" t="n"/>
      <c r="G36" s="855" t="n"/>
      <c r="H36" s="851" t="n"/>
      <c r="I36" s="851" t="n"/>
    </row>
    <row r="37" ht="24.6" customHeight="1" s="1025" thickBot="1">
      <c r="A37" s="904" t="inlineStr">
        <is>
          <t xml:space="preserve">Saucisse Courbe BN </t>
        </is>
      </c>
      <c r="B37" s="905" t="n"/>
      <c r="C37" s="905" t="n"/>
      <c r="D37" s="135" t="inlineStr">
        <is>
          <t>VPF</t>
        </is>
      </c>
      <c r="E37" s="868" t="n">
        <v>0.5</v>
      </c>
      <c r="F37" s="852" t="n">
        <v>0</v>
      </c>
      <c r="G37" s="855">
        <f>'[1]H.G + S.A.G + FILET MIGNON'!$AC$16</f>
        <v/>
      </c>
      <c r="H37" s="851" t="n"/>
      <c r="I37" s="851" t="n"/>
    </row>
    <row r="38" ht="24.6" customHeight="1" s="1025" thickBot="1">
      <c r="A38" s="904" t="inlineStr">
        <is>
          <t>PP HG 3-400g Artisanal à l'Ail</t>
        </is>
      </c>
      <c r="B38" s="905" t="n"/>
      <c r="C38" s="905" t="n"/>
      <c r="D38" s="135" t="inlineStr">
        <is>
          <t>VPF</t>
        </is>
      </c>
      <c r="E38" s="868" t="n"/>
      <c r="F38" s="852" t="n">
        <v>0</v>
      </c>
      <c r="G38" s="855">
        <f>'[1]H.G + S.A.G + FILET MIGNON'!$AC$86</f>
        <v/>
      </c>
      <c r="H38" s="851" t="n"/>
      <c r="I38" s="851" t="n"/>
    </row>
    <row r="39" hidden="1" ht="24.6" customHeight="1" s="1025" thickBot="1">
      <c r="A39" s="904" t="inlineStr">
        <is>
          <t>Tournée Chazelloise</t>
        </is>
      </c>
      <c r="B39" s="905" t="n"/>
      <c r="C39" s="905" t="n"/>
      <c r="D39" s="905" t="n"/>
      <c r="E39" s="868" t="n"/>
      <c r="F39" s="852" t="n"/>
      <c r="G39" s="851" t="n"/>
      <c r="H39" s="851" t="n"/>
      <c r="I39" s="851" t="n"/>
    </row>
    <row r="40" hidden="1" ht="24.6" customHeight="1" s="1025" thickBot="1">
      <c r="A40" s="904" t="inlineStr">
        <is>
          <t>250 grs Salaisons de Provence</t>
        </is>
      </c>
      <c r="B40" s="905" t="n"/>
      <c r="C40" s="905" t="n"/>
      <c r="D40" s="905" t="n"/>
      <c r="E40" s="873" t="n"/>
      <c r="F40" s="852" t="n"/>
      <c r="G40" s="851" t="n"/>
      <c r="H40" s="851" t="n"/>
      <c r="I40" s="851" t="n"/>
    </row>
    <row r="41" ht="9.75" customHeight="1" s="1025" thickBot="1">
      <c r="A41" s="132" t="n"/>
      <c r="B41" s="132" t="n"/>
      <c r="C41" s="132" t="n"/>
      <c r="D41" s="132" t="n"/>
      <c r="F41" s="852" t="n"/>
      <c r="G41" s="851" t="n"/>
      <c r="H41" s="851" t="n"/>
      <c r="I41" s="851" t="n"/>
    </row>
    <row r="42" ht="26.25" customHeight="1" s="1025" thickBot="1" thickTop="1">
      <c r="A42" s="913" t="inlineStr">
        <is>
          <t>HACHE MOYEN</t>
        </is>
      </c>
      <c r="B42" s="902" t="n"/>
      <c r="C42" s="902" t="n"/>
      <c r="D42" s="903" t="n"/>
      <c r="E42" s="192">
        <f>SUM(E44:E62)</f>
        <v/>
      </c>
      <c r="F42" s="853" t="inlineStr">
        <is>
          <t>Mêlées</t>
        </is>
      </c>
      <c r="G42" s="1014" t="n"/>
      <c r="H42" s="851" t="n"/>
      <c r="I42" s="851" t="n"/>
    </row>
    <row r="43" ht="37.5" customHeight="1" s="1025" thickBot="1" thickTop="1">
      <c r="A43" s="930" t="inlineStr">
        <is>
          <t>CUTTER-PETIT BROYEUR (GRILLE 6) -MELANGEUR</t>
        </is>
      </c>
      <c r="F43" s="850" t="inlineStr">
        <is>
          <t>Planning S en cours</t>
        </is>
      </c>
      <c r="G43" s="850" t="inlineStr">
        <is>
          <t>Ventes S en cours</t>
        </is>
      </c>
      <c r="H43" s="851" t="n"/>
      <c r="I43" s="850" t="inlineStr">
        <is>
          <t xml:space="preserve">Prévision S+1 </t>
        </is>
      </c>
    </row>
    <row r="44" ht="26.25" customHeight="1" s="1025" thickBot="1">
      <c r="A44" s="924" t="inlineStr">
        <is>
          <t>HM 3-400g</t>
        </is>
      </c>
      <c r="B44" s="905" t="n"/>
      <c r="C44" s="905" t="n"/>
      <c r="D44" s="905" t="n"/>
      <c r="E44" s="871" t="n">
        <v>0</v>
      </c>
      <c r="F44" s="852" t="n">
        <v>2</v>
      </c>
      <c r="G44" s="855">
        <f>[1]H.M!$AC$48</f>
        <v/>
      </c>
      <c r="H44" s="851" t="n"/>
      <c r="I44" s="851" t="n"/>
    </row>
    <row r="45" ht="26.25" customHeight="1" s="1025" thickBot="1">
      <c r="A45" s="922" t="inlineStr">
        <is>
          <t>HM 7-800g</t>
        </is>
      </c>
      <c r="B45" s="905" t="n"/>
      <c r="C45" s="905" t="n"/>
      <c r="D45" s="905" t="n"/>
      <c r="E45" s="868" t="n">
        <v>0</v>
      </c>
      <c r="F45" s="852" t="n">
        <v>2</v>
      </c>
      <c r="G45" s="855">
        <f>[1]H.M!$AC$72</f>
        <v/>
      </c>
      <c r="H45" s="851" t="n"/>
      <c r="I45" s="851" t="n"/>
    </row>
    <row r="46" hidden="1" ht="18.75" customFormat="1" customHeight="1" s="136">
      <c r="A46" s="928" t="inlineStr">
        <is>
          <t>3-400 Ane 15%</t>
        </is>
      </c>
      <c r="B46" s="905" t="n"/>
      <c r="C46" s="905" t="n"/>
      <c r="D46" s="905" t="n"/>
      <c r="E46" s="874" t="n"/>
      <c r="F46" s="856" t="n"/>
      <c r="G46" s="857" t="n"/>
      <c r="H46" s="858" t="n"/>
      <c r="I46" s="858" t="n"/>
    </row>
    <row r="47" hidden="1" ht="18.75" customFormat="1" customHeight="1" s="136">
      <c r="A47" s="928" t="inlineStr">
        <is>
          <t>3-400 Beaufort 5% (= 7,5 kg)</t>
        </is>
      </c>
      <c r="B47" s="905" t="n"/>
      <c r="C47" s="905" t="n"/>
      <c r="D47" s="905" t="n"/>
      <c r="E47" s="875" t="n"/>
      <c r="F47" s="856" t="n"/>
      <c r="G47" s="857" t="n"/>
      <c r="H47" s="858" t="n"/>
      <c r="I47" s="858" t="n"/>
    </row>
    <row r="48" hidden="1" ht="18.75" customFormat="1" customHeight="1" s="136">
      <c r="A48" s="928" t="inlineStr">
        <is>
          <t>3-400 Génépi 3% (=3 litres)</t>
        </is>
      </c>
      <c r="B48" s="905" t="n"/>
      <c r="C48" s="905" t="n"/>
      <c r="D48" s="905" t="n"/>
      <c r="E48" s="875" t="n"/>
      <c r="F48" s="856" t="n"/>
      <c r="G48" s="857" t="n"/>
      <c r="H48" s="858" t="n"/>
      <c r="I48" s="858" t="n"/>
    </row>
    <row r="49" hidden="1" ht="18.75" customFormat="1" customHeight="1" s="136">
      <c r="A49" s="928" t="inlineStr">
        <is>
          <t>3-400 Olives 10% (=15kg)</t>
        </is>
      </c>
      <c r="B49" s="905" t="n"/>
      <c r="C49" s="905" t="n"/>
      <c r="D49" s="905" t="n"/>
      <c r="E49" s="875" t="n"/>
      <c r="F49" s="856" t="n"/>
      <c r="G49" s="857" t="n"/>
      <c r="H49" s="858" t="n"/>
      <c r="I49" s="858" t="n"/>
    </row>
    <row r="50" hidden="1" ht="18.75" customFormat="1" customHeight="1" s="136">
      <c r="A50" s="928" t="inlineStr">
        <is>
          <t>3-400 Noisettes 5% (=7,5kg)</t>
        </is>
      </c>
      <c r="B50" s="905" t="n"/>
      <c r="C50" s="905" t="n"/>
      <c r="D50" s="905" t="n"/>
      <c r="E50" s="875" t="n"/>
      <c r="F50" s="856" t="n"/>
      <c r="G50" s="857" t="n"/>
      <c r="H50" s="858" t="n"/>
      <c r="I50" s="858" t="n"/>
    </row>
    <row r="51" hidden="1" ht="18.75" customFormat="1" customHeight="1" s="136">
      <c r="A51" s="928" t="inlineStr">
        <is>
          <t>3-400 fromage de chèvre 5% (=7,5kg)</t>
        </is>
      </c>
      <c r="B51" s="905" t="n"/>
      <c r="C51" s="905" t="n"/>
      <c r="D51" s="905" t="n"/>
      <c r="E51" s="875" t="n"/>
      <c r="F51" s="856" t="n"/>
      <c r="G51" s="857" t="n"/>
      <c r="H51" s="858" t="n"/>
      <c r="I51" s="858" t="n"/>
    </row>
    <row r="52" hidden="1" ht="18.75" customFormat="1" customHeight="1" s="136">
      <c r="A52" s="928" t="inlineStr">
        <is>
          <t xml:space="preserve">3-400 Cerf 20% </t>
        </is>
      </c>
      <c r="B52" s="905" t="n"/>
      <c r="C52" s="905" t="n"/>
      <c r="D52" s="905" t="n"/>
      <c r="E52" s="875" t="n"/>
      <c r="F52" s="856" t="n"/>
      <c r="G52" s="857" t="n"/>
      <c r="H52" s="858" t="n"/>
      <c r="I52" s="858" t="n"/>
    </row>
    <row r="53" hidden="1" ht="18.75" customFormat="1" customHeight="1" s="136">
      <c r="A53" s="928" t="inlineStr">
        <is>
          <t>3-400 Sauci'flette</t>
        </is>
      </c>
      <c r="B53" s="905" t="n"/>
      <c r="C53" s="905" t="n"/>
      <c r="D53" s="905" t="n"/>
      <c r="E53" s="875" t="n"/>
      <c r="F53" s="856" t="n"/>
      <c r="G53" s="857" t="n"/>
      <c r="H53" s="858" t="n"/>
      <c r="I53" s="858" t="n"/>
    </row>
    <row r="54" hidden="1" ht="18.75" customFormat="1" customHeight="1" s="136">
      <c r="A54" s="928" t="inlineStr">
        <is>
          <t>3-400 Noix 5% (=7,5kg)</t>
        </is>
      </c>
      <c r="B54" s="905" t="n"/>
      <c r="C54" s="905" t="n"/>
      <c r="D54" s="905" t="n"/>
      <c r="E54" s="875" t="n"/>
      <c r="F54" s="856" t="n"/>
      <c r="G54" s="857" t="n"/>
      <c r="H54" s="858" t="n"/>
      <c r="I54" s="858" t="n"/>
    </row>
    <row r="55" hidden="1" ht="18.75" customFormat="1" customHeight="1" s="136" thickBot="1">
      <c r="A55" s="928" t="inlineStr">
        <is>
          <t>3-400 Sanglier 15%</t>
        </is>
      </c>
      <c r="B55" s="905" t="n"/>
      <c r="C55" s="905" t="n"/>
      <c r="D55" s="905" t="n"/>
      <c r="E55" s="876" t="n"/>
      <c r="F55" s="856" t="n"/>
      <c r="G55" s="857" t="n"/>
      <c r="H55" s="858" t="n"/>
      <c r="I55" s="858" t="n"/>
    </row>
    <row r="56" ht="25.5" customHeight="1" s="1025" thickBot="1">
      <c r="A56" s="922" t="inlineStr">
        <is>
          <t>HM 650g</t>
        </is>
      </c>
      <c r="B56" s="905" t="n"/>
      <c r="C56" s="905" t="n"/>
      <c r="D56" s="905" t="n"/>
      <c r="E56" s="868" t="n">
        <v>0</v>
      </c>
      <c r="F56" s="852" t="n">
        <v>0</v>
      </c>
      <c r="G56" s="855">
        <f>[1]H.M!$AC$29</f>
        <v/>
      </c>
      <c r="H56" s="851" t="n"/>
      <c r="I56" s="851" t="n"/>
    </row>
    <row r="57" ht="25.5" customHeight="1" s="1025" thickBot="1">
      <c r="A57" s="922" t="inlineStr">
        <is>
          <t>Saucisse Droite 250g</t>
        </is>
      </c>
      <c r="B57" s="905" t="n"/>
      <c r="C57" s="905" t="n"/>
      <c r="D57" s="905" t="n"/>
      <c r="E57" s="868" t="n">
        <v>0</v>
      </c>
      <c r="F57" s="852" t="n">
        <v>0</v>
      </c>
      <c r="G57" s="855">
        <f>[1]H.M!$AC$5</f>
        <v/>
      </c>
      <c r="H57" s="851" t="n"/>
      <c r="I57" s="851" t="n"/>
    </row>
    <row r="58" ht="25.5" customHeight="1" s="1025" thickBot="1">
      <c r="A58" s="922" t="inlineStr">
        <is>
          <t>Mini Rosette 400g</t>
        </is>
      </c>
      <c r="B58" s="905" t="n"/>
      <c r="C58" s="905" t="n"/>
      <c r="D58" s="905" t="n"/>
      <c r="E58" s="868" t="n">
        <v>0</v>
      </c>
      <c r="F58" s="852" t="n">
        <v>0</v>
      </c>
      <c r="G58" s="855">
        <f>[1]H.M!$AC$13</f>
        <v/>
      </c>
      <c r="H58" s="851" t="n"/>
      <c r="I58" s="851" t="n"/>
    </row>
    <row r="59" ht="25.5" customHeight="1" s="1025" thickBot="1">
      <c r="A59" s="922" t="inlineStr">
        <is>
          <t>Rosette PP Kg</t>
        </is>
      </c>
      <c r="B59" s="905" t="n"/>
      <c r="C59" s="905" t="n"/>
      <c r="D59" s="905" t="n"/>
      <c r="E59" s="868" t="n">
        <v>0</v>
      </c>
      <c r="F59" s="852" t="n">
        <v>0</v>
      </c>
      <c r="G59" s="855">
        <f>[1]H.M!$AC$21</f>
        <v/>
      </c>
      <c r="H59" s="851" t="n"/>
      <c r="I59" s="851" t="n"/>
    </row>
    <row r="60" hidden="1" ht="25.5" customHeight="1" s="1025" thickBot="1">
      <c r="A60" s="922" t="inlineStr">
        <is>
          <t xml:space="preserve">Rosettes Kg BN </t>
        </is>
      </c>
      <c r="B60" s="905" t="n"/>
      <c r="C60" s="905" t="n"/>
      <c r="D60" s="905" t="n"/>
      <c r="E60" s="877" t="n"/>
      <c r="F60" s="852" t="n"/>
      <c r="G60" s="855" t="n"/>
      <c r="H60" s="851" t="n"/>
      <c r="I60" s="851" t="n"/>
    </row>
    <row r="61" ht="25.5" customHeight="1" s="1025" thickBot="1">
      <c r="A61" s="920" t="inlineStr">
        <is>
          <t>PP BN 200 Nature</t>
        </is>
      </c>
      <c r="B61" s="905" t="n"/>
      <c r="C61" s="905" t="n"/>
      <c r="D61" s="905" t="n"/>
      <c r="E61" s="871" t="n">
        <v>0</v>
      </c>
      <c r="F61" s="852" t="n">
        <v>15</v>
      </c>
      <c r="G61" s="855">
        <f>'[1]BN 200'!$AC$66</f>
        <v/>
      </c>
      <c r="H61" s="851" t="n"/>
      <c r="I61" s="851" t="n"/>
    </row>
    <row r="62" ht="25.5" customHeight="1" s="1025" thickBot="1">
      <c r="A62" s="910" t="inlineStr">
        <is>
          <t>PP BN 200 Nature Leclerc</t>
        </is>
      </c>
      <c r="B62" s="911" t="n"/>
      <c r="C62" s="911" t="n"/>
      <c r="D62" s="911" t="n"/>
      <c r="E62" s="868" t="n"/>
      <c r="F62" s="852" t="n">
        <v>0</v>
      </c>
      <c r="G62" s="851" t="n"/>
      <c r="H62" s="851" t="n"/>
      <c r="I62" s="851" t="n"/>
    </row>
    <row r="63" ht="12" customHeight="1" s="1025" thickBot="1">
      <c r="A63" s="906" t="n"/>
      <c r="B63" s="906" t="n"/>
      <c r="C63" s="906" t="n"/>
      <c r="D63" s="906" t="n"/>
      <c r="F63" s="852" t="n"/>
      <c r="G63" s="851" t="n"/>
      <c r="H63" s="851" t="n"/>
      <c r="I63" s="851" t="n"/>
    </row>
    <row r="64" ht="26.25" customHeight="1" s="1025" thickBot="1" thickTop="1">
      <c r="A64" s="926" t="inlineStr">
        <is>
          <t>GAMME SPECIALITES 200 grs</t>
        </is>
      </c>
      <c r="B64" s="902" t="n"/>
      <c r="C64" s="902" t="n"/>
      <c r="D64" s="903" t="n"/>
      <c r="E64" s="191">
        <f>SUM(E66:E90)</f>
        <v/>
      </c>
      <c r="F64" s="853" t="inlineStr">
        <is>
          <t>Mêlées</t>
        </is>
      </c>
      <c r="G64" s="851" t="n"/>
      <c r="H64" s="851" t="n"/>
      <c r="I64" s="851" t="n"/>
    </row>
    <row r="65" ht="39.75" customHeight="1" s="1025" thickBot="1" thickTop="1">
      <c r="A65" s="925" t="inlineStr">
        <is>
          <t>CUTTER-PETIT BROYEUR (GRILLE 6) -MELANGEUR - 
EMBOSSAGE 310 g - sauf  Noisette &amp; Noix Embossage 295 grs (màj s.13)</t>
        </is>
      </c>
      <c r="F65" s="850" t="inlineStr">
        <is>
          <t>Planning S en cours</t>
        </is>
      </c>
      <c r="G65" s="850" t="inlineStr">
        <is>
          <t>Ventes S en cours</t>
        </is>
      </c>
      <c r="H65" s="851" t="n"/>
      <c r="I65" s="850" t="inlineStr">
        <is>
          <t xml:space="preserve">Prévision S+1 </t>
        </is>
      </c>
    </row>
    <row r="66" ht="22.2" customHeight="1" s="1025" thickBot="1">
      <c r="A66" s="920" t="inlineStr">
        <is>
          <t xml:space="preserve">Beaufort 5% </t>
        </is>
      </c>
      <c r="B66" s="905" t="n"/>
      <c r="C66" s="923" t="inlineStr">
        <is>
          <t>Beaufort = 5kg</t>
        </is>
      </c>
      <c r="D66" s="905" t="n"/>
      <c r="E66" s="899" t="n">
        <v>0</v>
      </c>
      <c r="F66" s="852" t="n">
        <v>1</v>
      </c>
      <c r="G66" s="855">
        <f>[1]SPECIALITES!$AC$15</f>
        <v/>
      </c>
      <c r="H66" s="851" t="n"/>
      <c r="I66" s="851" t="n"/>
      <c r="K66" s="937" t="n"/>
    </row>
    <row r="67" ht="22.2" customHeight="1" s="1025" thickBot="1">
      <c r="A67" s="904" t="inlineStr">
        <is>
          <t>Roquefort 4%</t>
        </is>
      </c>
      <c r="B67" s="905" t="n"/>
      <c r="C67" s="923" t="inlineStr">
        <is>
          <t>Roquefort = 4kg</t>
        </is>
      </c>
      <c r="D67" s="905" t="n"/>
      <c r="E67" s="900" t="n">
        <v>0</v>
      </c>
      <c r="F67" s="852" t="n">
        <v>0</v>
      </c>
      <c r="G67" s="855">
        <f>[1]SPECIALITES!$AC$38</f>
        <v/>
      </c>
      <c r="H67" s="851" t="n"/>
      <c r="I67" s="851" t="n"/>
    </row>
    <row r="68" ht="22.2" customHeight="1" s="1025" thickBot="1">
      <c r="A68" s="904" t="inlineStr">
        <is>
          <t>Fromage de chèvre 5%</t>
        </is>
      </c>
      <c r="B68" s="905" t="n"/>
      <c r="C68" s="923" t="inlineStr">
        <is>
          <t>F. Chèvre = 5 kg</t>
        </is>
      </c>
      <c r="D68" s="905" t="n"/>
      <c r="E68" s="868" t="n">
        <v>0</v>
      </c>
      <c r="F68" s="852" t="n">
        <v>1</v>
      </c>
      <c r="G68" s="855">
        <f>[1]SPECIALITES!$AC$28</f>
        <v/>
      </c>
      <c r="H68" s="851" t="n"/>
      <c r="I68" s="851" t="n"/>
    </row>
    <row r="69" ht="39" customHeight="1" s="1025" thickBot="1">
      <c r="A69" s="929" t="inlineStr">
        <is>
          <t>Sauci'flette</t>
        </is>
      </c>
      <c r="B69" s="905" t="n"/>
      <c r="C69" s="933" t="inlineStr">
        <is>
          <t xml:space="preserve">Emmental = 5 kg Oignon = 2 kg
</t>
        </is>
      </c>
      <c r="D69" s="905" t="n"/>
      <c r="E69" s="873" t="n">
        <v>0</v>
      </c>
      <c r="F69" s="852" t="n">
        <v>0</v>
      </c>
      <c r="G69" s="855">
        <f>[1]SPECIALITES!$AC$53</f>
        <v/>
      </c>
      <c r="H69" s="851" t="n"/>
      <c r="I69" s="851" t="n"/>
    </row>
    <row r="70" ht="22.2" customHeight="1" s="1025" thickBot="1">
      <c r="A70" s="920" t="inlineStr">
        <is>
          <t>Noisettes 5%</t>
        </is>
      </c>
      <c r="B70" s="905" t="n"/>
      <c r="C70" s="923" t="inlineStr">
        <is>
          <t>Noisettes = 5 kg</t>
        </is>
      </c>
      <c r="D70" s="905" t="n"/>
      <c r="E70" s="871" t="n">
        <v>0</v>
      </c>
      <c r="F70" s="852" t="n">
        <v>1</v>
      </c>
      <c r="G70" s="855">
        <f>[1]SPECIALITES!$AC$66</f>
        <v/>
      </c>
      <c r="H70" s="851" t="n"/>
      <c r="I70" s="851" t="n"/>
    </row>
    <row r="71" ht="22.2" customHeight="1" s="1025" thickBot="1">
      <c r="A71" s="904" t="inlineStr">
        <is>
          <t>Noix 5%</t>
        </is>
      </c>
      <c r="B71" s="905" t="n"/>
      <c r="C71" s="923" t="inlineStr">
        <is>
          <t>Noix = 5 kg</t>
        </is>
      </c>
      <c r="D71" s="905" t="n"/>
      <c r="E71" s="868" t="n">
        <v>0</v>
      </c>
      <c r="F71" s="852" t="n">
        <v>0</v>
      </c>
      <c r="G71" s="855">
        <f>[1]SPECIALITES!$AC$82</f>
        <v/>
      </c>
      <c r="H71" s="851" t="n"/>
      <c r="I71" s="851" t="n"/>
    </row>
    <row r="72" ht="22.2" customHeight="1" s="1025" thickBot="1">
      <c r="A72" s="904" t="inlineStr">
        <is>
          <t>Génépi 2%</t>
        </is>
      </c>
      <c r="B72" s="905" t="n"/>
      <c r="C72" s="923" t="inlineStr">
        <is>
          <t>Génépi = 3 L</t>
        </is>
      </c>
      <c r="D72" s="905" t="n"/>
      <c r="E72" s="868" t="n">
        <v>0</v>
      </c>
      <c r="F72" s="852" t="n">
        <v>0</v>
      </c>
      <c r="G72" s="855">
        <f>[1]SPECIALITES!$AC$107</f>
        <v/>
      </c>
      <c r="H72" s="851" t="n"/>
      <c r="I72" s="851" t="n"/>
    </row>
    <row r="73" ht="22.2" customHeight="1" s="1025" thickBot="1">
      <c r="A73" s="904" t="inlineStr">
        <is>
          <t>Figues 10%</t>
        </is>
      </c>
      <c r="B73" s="905" t="n"/>
      <c r="C73" s="923" t="inlineStr">
        <is>
          <t>Figues = 10 kg</t>
        </is>
      </c>
      <c r="D73" s="905" t="n"/>
      <c r="E73" s="868" t="n">
        <v>0</v>
      </c>
      <c r="F73" s="852" t="n">
        <v>0</v>
      </c>
      <c r="G73" s="855">
        <f>[1]SPECIALITES!$AC$143</f>
        <v/>
      </c>
      <c r="H73" s="851" t="n"/>
      <c r="I73" s="851" t="n"/>
    </row>
    <row r="74" ht="22.2" customHeight="1" s="1025" thickBot="1">
      <c r="A74" s="904" t="inlineStr">
        <is>
          <t>Myrtilles 2%</t>
        </is>
      </c>
      <c r="B74" s="905" t="n"/>
      <c r="C74" s="923" t="inlineStr">
        <is>
          <t>Myrtilles = 2 kg</t>
        </is>
      </c>
      <c r="D74" s="905" t="n"/>
      <c r="E74" s="868" t="n">
        <v>0</v>
      </c>
      <c r="F74" s="852" t="n">
        <v>0</v>
      </c>
      <c r="G74" s="855">
        <f>[1]SPECIALITES!$AC$117</f>
        <v/>
      </c>
      <c r="H74" s="851" t="n"/>
      <c r="I74" s="851" t="n"/>
    </row>
    <row r="75" ht="48.75" customHeight="1" s="1025" thickBot="1">
      <c r="A75" s="929" t="inlineStr">
        <is>
          <t>Herbes Intérieures</t>
        </is>
      </c>
      <c r="B75" s="905" t="n"/>
      <c r="C75" s="917" t="inlineStr">
        <is>
          <t xml:space="preserve">Herbe de Prov. = 350 g
</t>
        </is>
      </c>
      <c r="D75" s="905" t="n"/>
      <c r="E75" s="868" t="n">
        <v>0.5</v>
      </c>
      <c r="F75" s="852" t="n">
        <v>0</v>
      </c>
      <c r="G75" s="855">
        <f>[1]SPECIALITES!$AC$134</f>
        <v/>
      </c>
      <c r="H75" s="851" t="n"/>
      <c r="I75" s="851" t="n"/>
    </row>
    <row r="76" ht="53.25" customHeight="1" s="1025" thickBot="1">
      <c r="A76" s="929" t="inlineStr">
        <is>
          <t>Fenouil</t>
        </is>
      </c>
      <c r="B76" s="905" t="n"/>
      <c r="C76" s="917" t="inlineStr">
        <is>
          <t xml:space="preserve">Fenouil= 375 g
</t>
        </is>
      </c>
      <c r="D76" s="905" t="n"/>
      <c r="E76" s="868" t="n">
        <v>0</v>
      </c>
      <c r="F76" s="852" t="n">
        <v>0</v>
      </c>
      <c r="G76" s="855">
        <f>[1]SPECIALITES!$AC$151</f>
        <v/>
      </c>
      <c r="H76" s="851" t="n"/>
      <c r="I76" s="851" t="n"/>
    </row>
    <row r="77" ht="39" customHeight="1" s="1025" thickBot="1">
      <c r="A77" s="929" t="inlineStr">
        <is>
          <t xml:space="preserve">Cèpes </t>
        </is>
      </c>
      <c r="B77" s="905" t="n"/>
      <c r="C77" s="940" t="inlineStr">
        <is>
          <t>Cèpes = 2 kg
Eau = 30grs /kg</t>
        </is>
      </c>
      <c r="D77" s="905" t="n"/>
      <c r="E77" s="900" t="n">
        <v>0</v>
      </c>
      <c r="F77" s="852" t="n">
        <v>0</v>
      </c>
      <c r="G77" s="855">
        <f>[1]SPECIALITES!$AC$92</f>
        <v/>
      </c>
      <c r="H77" s="851" t="n"/>
      <c r="I77" s="851" t="n"/>
    </row>
    <row r="78" ht="89.25" customHeight="1" s="1025" thickBot="1">
      <c r="A78" s="929" t="inlineStr">
        <is>
          <t>Olives 10%</t>
        </is>
      </c>
      <c r="B78" s="905" t="n"/>
      <c r="C78" s="917" t="inlineStr">
        <is>
          <t>Olives= 10 kg
Huile d'olive= 1 L
Herbe de pro.= 100 g</t>
        </is>
      </c>
      <c r="D78" s="905" t="n"/>
      <c r="E78" s="868" t="n">
        <v>0</v>
      </c>
      <c r="F78" s="852" t="n">
        <v>0</v>
      </c>
      <c r="G78" s="855">
        <f>[1]SPECIALITES!$AC$126</f>
        <v/>
      </c>
      <c r="H78" s="851" t="n"/>
      <c r="I78" s="851" t="n"/>
    </row>
    <row r="79" ht="22.2" customHeight="1" s="1025" thickBot="1">
      <c r="A79" s="904" t="inlineStr">
        <is>
          <t>Pimenté</t>
        </is>
      </c>
      <c r="B79" s="905" t="n"/>
      <c r="C79" s="921" t="n"/>
      <c r="D79" s="905" t="n"/>
      <c r="E79" s="900" t="n">
        <v>0.5</v>
      </c>
      <c r="F79" s="852" t="n">
        <v>0</v>
      </c>
      <c r="G79" s="855">
        <f>[1]SPECIALITES!$AC$160</f>
        <v/>
      </c>
      <c r="H79" s="851" t="n"/>
      <c r="I79" s="851" t="n"/>
    </row>
    <row r="80" ht="22.2" customHeight="1" s="1025" thickBot="1">
      <c r="A80" s="904" t="inlineStr">
        <is>
          <t>Aillé</t>
        </is>
      </c>
      <c r="B80" s="905" t="n"/>
      <c r="C80" s="921" t="n"/>
      <c r="D80" s="905" t="n"/>
      <c r="E80" s="868" t="n">
        <v>0</v>
      </c>
      <c r="F80" s="852" t="n">
        <v>0</v>
      </c>
      <c r="G80" s="855">
        <f>[1]SPECIALITES!$AC$176</f>
        <v/>
      </c>
      <c r="H80" s="851" t="n"/>
      <c r="I80" s="851" t="n"/>
    </row>
    <row r="81" ht="20.25" customHeight="1" s="1025" thickBot="1">
      <c r="A81" s="904" t="inlineStr">
        <is>
          <t xml:space="preserve">Ail des Ours </t>
        </is>
      </c>
      <c r="B81" s="905" t="n"/>
      <c r="C81" s="921" t="inlineStr">
        <is>
          <t>Ail des Ours - 1,6 Kg</t>
        </is>
      </c>
      <c r="D81" s="905" t="n"/>
      <c r="E81" s="868" t="n">
        <v>0</v>
      </c>
      <c r="F81" s="852" t="n">
        <v>0.5</v>
      </c>
      <c r="G81" s="855">
        <f>[1]SPECIALITES!$AC$265</f>
        <v/>
      </c>
      <c r="H81" s="851" t="n"/>
      <c r="I81" s="851" t="n"/>
    </row>
    <row r="82" hidden="1" ht="20.25" customHeight="1" s="1025">
      <c r="A82" s="939" t="inlineStr">
        <is>
          <t>Marron 5%</t>
        </is>
      </c>
      <c r="B82" s="905" t="n"/>
      <c r="C82" s="921" t="n"/>
      <c r="D82" s="905" t="n"/>
      <c r="E82" s="878" t="n"/>
      <c r="F82" s="852" t="n"/>
      <c r="G82" s="855" t="n"/>
      <c r="H82" s="851" t="n"/>
      <c r="I82" s="851" t="n"/>
    </row>
    <row r="83" hidden="1" ht="20.25" customHeight="1" s="1025">
      <c r="A83" s="939" t="inlineStr">
        <is>
          <t>Vin Jaune 5% &amp; Noix 5%</t>
        </is>
      </c>
      <c r="B83" s="905" t="n"/>
      <c r="C83" s="912" t="n"/>
      <c r="D83" s="905" t="n"/>
      <c r="E83" s="878" t="n"/>
      <c r="F83" s="852" t="n"/>
      <c r="G83" s="855" t="n"/>
      <c r="H83" s="851" t="n"/>
      <c r="I83" s="851" t="n"/>
    </row>
    <row r="84" hidden="1" ht="20.25" customHeight="1" s="1025">
      <c r="A84" s="939" t="inlineStr">
        <is>
          <t>Comté 5%</t>
        </is>
      </c>
      <c r="B84" s="905" t="n"/>
      <c r="C84" s="912" t="n"/>
      <c r="D84" s="905" t="n"/>
      <c r="E84" s="878" t="n"/>
      <c r="F84" s="852" t="n"/>
      <c r="G84" s="855" t="n"/>
      <c r="H84" s="851" t="n"/>
      <c r="I84" s="851" t="n"/>
    </row>
    <row r="85" hidden="1" ht="22.2" customHeight="1" s="1025">
      <c r="A85" s="904" t="inlineStr">
        <is>
          <t xml:space="preserve">Lavande </t>
        </is>
      </c>
      <c r="B85" s="905" t="n"/>
      <c r="C85" s="912" t="n"/>
      <c r="D85" s="905" t="n"/>
      <c r="E85" s="878" t="n"/>
      <c r="F85" s="852" t="n"/>
      <c r="G85" s="855" t="n"/>
      <c r="H85" s="851" t="n"/>
      <c r="I85" s="851" t="n"/>
    </row>
    <row r="86" hidden="1" ht="18.75" customHeight="1" s="1025" thickBot="1">
      <c r="A86" s="946" t="inlineStr">
        <is>
          <t>Morilles 1%</t>
        </is>
      </c>
      <c r="B86" s="905" t="n"/>
      <c r="C86" s="912" t="n"/>
      <c r="D86" s="905" t="n"/>
      <c r="E86" s="879" t="n"/>
      <c r="F86" s="852" t="n"/>
      <c r="G86" s="855" t="n"/>
      <c r="H86" s="851" t="n"/>
      <c r="I86" s="851" t="n"/>
    </row>
    <row r="87" ht="22.2" customHeight="1" s="1025" thickBot="1">
      <c r="A87" s="904" t="inlineStr">
        <is>
          <t>Sanglier 15%</t>
        </is>
      </c>
      <c r="B87" s="905" t="n"/>
      <c r="C87" s="912" t="n"/>
      <c r="D87" s="905" t="n"/>
      <c r="E87" s="868" t="n">
        <v>0</v>
      </c>
      <c r="F87" s="852" t="n">
        <v>0</v>
      </c>
      <c r="G87" s="855">
        <f>[1]SPECIALITES!$AC$197</f>
        <v/>
      </c>
      <c r="H87" s="851" t="n"/>
      <c r="I87" s="851" t="n"/>
    </row>
    <row r="88" ht="22.2" customHeight="1" s="1025" thickBot="1">
      <c r="A88" s="904" t="inlineStr">
        <is>
          <t>Cerf 15%</t>
        </is>
      </c>
      <c r="B88" s="905" t="n"/>
      <c r="C88" s="912" t="n"/>
      <c r="D88" s="905" t="n"/>
      <c r="E88" s="868" t="n">
        <v>0.5</v>
      </c>
      <c r="F88" s="852" t="n">
        <v>0</v>
      </c>
      <c r="G88" s="855">
        <f>[1]SPECIALITES!$AC$232</f>
        <v/>
      </c>
      <c r="H88" s="851" t="n"/>
      <c r="I88" s="851" t="n"/>
    </row>
    <row r="89" ht="22.2" customHeight="1" s="1025" thickBot="1">
      <c r="A89" s="904" t="inlineStr">
        <is>
          <t>Taureau 15%</t>
        </is>
      </c>
      <c r="B89" s="905" t="n"/>
      <c r="C89" s="912" t="n"/>
      <c r="D89" s="905" t="n"/>
      <c r="E89" s="868" t="n">
        <v>0</v>
      </c>
      <c r="F89" s="852" t="n">
        <v>0</v>
      </c>
      <c r="G89" s="855">
        <f>[1]SPECIALITES!$AC$209</f>
        <v/>
      </c>
      <c r="H89" s="851" t="n"/>
      <c r="I89" s="851" t="n"/>
    </row>
    <row r="90" ht="22.2" customHeight="1" s="1025" thickBot="1">
      <c r="A90" s="904" t="inlineStr">
        <is>
          <t>Canard 15%</t>
        </is>
      </c>
      <c r="B90" s="905" t="n"/>
      <c r="C90" s="912" t="n"/>
      <c r="D90" s="905" t="n"/>
      <c r="E90" s="868" t="n"/>
      <c r="F90" s="852" t="n">
        <v>0</v>
      </c>
      <c r="G90" s="855" t="n"/>
      <c r="H90" s="851" t="n"/>
      <c r="I90" s="851" t="n"/>
    </row>
    <row r="91" ht="72.59999999999999" customHeight="1" s="1025">
      <c r="A91" s="904" t="n"/>
      <c r="B91" s="905" t="n"/>
      <c r="C91" s="938" t="n"/>
      <c r="D91" s="905" t="n"/>
      <c r="E91" s="197" t="n"/>
    </row>
    <row r="92" hidden="1" ht="26.25" customHeight="1" s="1025" thickBot="1" thickTop="1">
      <c r="A92" s="941" t="inlineStr">
        <is>
          <t>GAMME BIO</t>
        </is>
      </c>
      <c r="B92" s="902" t="n"/>
      <c r="C92" s="902" t="n"/>
      <c r="D92" s="903" t="n"/>
      <c r="E92" s="191">
        <f>SUM(E94:E95)</f>
        <v/>
      </c>
      <c r="F92" s="261" t="inlineStr">
        <is>
          <t>Mêlées</t>
        </is>
      </c>
    </row>
    <row r="93" hidden="1" ht="26.25" customHeight="1" s="1025" thickBot="1" thickTop="1">
      <c r="A93" s="942" t="inlineStr">
        <is>
          <t>CUTTER - PETIT BROYEUR (GRILLE 7) - MELANGEUR</t>
        </is>
      </c>
    </row>
    <row r="94" hidden="1" ht="25.5" customHeight="1" s="1025" thickBot="1">
      <c r="A94" s="904" t="inlineStr">
        <is>
          <t>200 grs BN</t>
        </is>
      </c>
      <c r="B94" s="905" t="n"/>
      <c r="C94" s="938" t="n"/>
      <c r="D94" s="905" t="n"/>
      <c r="E94" s="196" t="n">
        <v>0</v>
      </c>
    </row>
    <row r="95" hidden="1" ht="25.5" customHeight="1" s="1025" thickBot="1">
      <c r="A95" s="904" t="inlineStr">
        <is>
          <t>A CuireNature</t>
        </is>
      </c>
      <c r="B95" s="905" t="n"/>
      <c r="C95" s="938" t="n"/>
      <c r="D95" s="905" t="n"/>
      <c r="E95" s="196" t="n">
        <v>0</v>
      </c>
    </row>
    <row r="96">
      <c r="A96" s="910" t="n"/>
      <c r="B96" s="911" t="n"/>
      <c r="C96" s="943" t="n"/>
      <c r="D96" s="911" t="n"/>
    </row>
    <row r="97">
      <c r="A97" s="906" t="n"/>
      <c r="C97" s="908" t="n"/>
    </row>
    <row r="98">
      <c r="A98" s="906" t="n"/>
      <c r="C98" s="908" t="n"/>
    </row>
    <row r="99">
      <c r="A99" s="906" t="n"/>
      <c r="C99" s="908" t="n"/>
    </row>
    <row r="100">
      <c r="A100" s="906" t="n"/>
      <c r="C100" s="908" t="n"/>
    </row>
    <row r="101">
      <c r="A101" s="906" t="n"/>
      <c r="C101" s="908" t="n"/>
    </row>
    <row r="102">
      <c r="A102" s="906" t="n"/>
      <c r="C102" s="908" t="n"/>
    </row>
    <row r="103">
      <c r="A103" s="906" t="n"/>
      <c r="C103" s="908" t="n"/>
    </row>
    <row r="104">
      <c r="A104" s="906" t="n"/>
      <c r="C104" s="908" t="n"/>
    </row>
    <row r="105">
      <c r="A105" s="906" t="n"/>
      <c r="C105" s="908" t="n"/>
    </row>
    <row r="106">
      <c r="A106" s="906" t="n"/>
      <c r="C106" s="908" t="n"/>
    </row>
    <row r="107">
      <c r="A107" s="906" t="n"/>
      <c r="C107" s="908" t="n"/>
    </row>
  </sheetData>
  <mergeCells count="140">
    <mergeCell ref="A5:D5"/>
    <mergeCell ref="A98:B98"/>
    <mergeCell ref="A73:B73"/>
    <mergeCell ref="A37:C37"/>
    <mergeCell ref="C98:D98"/>
    <mergeCell ref="A107:B107"/>
    <mergeCell ref="A20:D20"/>
    <mergeCell ref="C107:D107"/>
    <mergeCell ref="A29:D29"/>
    <mergeCell ref="C89:D89"/>
    <mergeCell ref="A1:E1"/>
    <mergeCell ref="A88:B88"/>
    <mergeCell ref="A70:B70"/>
    <mergeCell ref="C79:D79"/>
    <mergeCell ref="A13:D13"/>
    <mergeCell ref="C73:D73"/>
    <mergeCell ref="A44:D44"/>
    <mergeCell ref="A65:E65"/>
    <mergeCell ref="A58:D58"/>
    <mergeCell ref="A90:B90"/>
    <mergeCell ref="A99:B99"/>
    <mergeCell ref="A64:D64"/>
    <mergeCell ref="A24:D24"/>
    <mergeCell ref="A74:B74"/>
    <mergeCell ref="A51:D51"/>
    <mergeCell ref="A60:D60"/>
    <mergeCell ref="C105:D105"/>
    <mergeCell ref="A101:B101"/>
    <mergeCell ref="A76:B76"/>
    <mergeCell ref="C76:D76"/>
    <mergeCell ref="A85:B85"/>
    <mergeCell ref="A54:D54"/>
    <mergeCell ref="A7:D7"/>
    <mergeCell ref="A16:D16"/>
    <mergeCell ref="A34:C34"/>
    <mergeCell ref="A56:D56"/>
    <mergeCell ref="A43:E43"/>
    <mergeCell ref="C67:D67"/>
    <mergeCell ref="A68:B68"/>
    <mergeCell ref="A42:D42"/>
    <mergeCell ref="C3:D3"/>
    <mergeCell ref="C69:D69"/>
    <mergeCell ref="C83:D83"/>
    <mergeCell ref="A17:D17"/>
    <mergeCell ref="A22:D22"/>
    <mergeCell ref="A53:D53"/>
    <mergeCell ref="A62:D62"/>
    <mergeCell ref="A103:B103"/>
    <mergeCell ref="C97:D97"/>
    <mergeCell ref="A19:D19"/>
    <mergeCell ref="A79:B79"/>
    <mergeCell ref="A6:E6"/>
    <mergeCell ref="A87:B87"/>
    <mergeCell ref="A9:D9"/>
    <mergeCell ref="A48:D48"/>
    <mergeCell ref="A30:D30"/>
    <mergeCell ref="A59:D59"/>
    <mergeCell ref="A89:B89"/>
    <mergeCell ref="A11:D11"/>
    <mergeCell ref="A38:C38"/>
    <mergeCell ref="A105:B105"/>
    <mergeCell ref="C90:D90"/>
    <mergeCell ref="A61:D61"/>
    <mergeCell ref="K66:S66"/>
    <mergeCell ref="A71:B71"/>
    <mergeCell ref="C71:D71"/>
    <mergeCell ref="A46:D46"/>
    <mergeCell ref="A91:B91"/>
    <mergeCell ref="C91:D91"/>
    <mergeCell ref="A100:B100"/>
    <mergeCell ref="C82:D82"/>
    <mergeCell ref="C66:D66"/>
    <mergeCell ref="A102:B102"/>
    <mergeCell ref="A31:E31"/>
    <mergeCell ref="C102:D102"/>
    <mergeCell ref="A77:B77"/>
    <mergeCell ref="A83:B83"/>
    <mergeCell ref="C77:D77"/>
    <mergeCell ref="C86:D86"/>
    <mergeCell ref="A8:D8"/>
    <mergeCell ref="C68:D68"/>
    <mergeCell ref="A52:D52"/>
    <mergeCell ref="A94:B94"/>
    <mergeCell ref="A10:D10"/>
    <mergeCell ref="A69:B69"/>
    <mergeCell ref="A78:B78"/>
    <mergeCell ref="C85:D85"/>
    <mergeCell ref="C100:D100"/>
    <mergeCell ref="C94:D94"/>
    <mergeCell ref="A25:E25"/>
    <mergeCell ref="A92:D92"/>
    <mergeCell ref="A39:D39"/>
    <mergeCell ref="A75:B75"/>
    <mergeCell ref="C84:D84"/>
    <mergeCell ref="C75:D75"/>
    <mergeCell ref="A80:B80"/>
    <mergeCell ref="A49:D49"/>
    <mergeCell ref="C80:D80"/>
    <mergeCell ref="A45:D45"/>
    <mergeCell ref="A104:B104"/>
    <mergeCell ref="A93:F93"/>
    <mergeCell ref="C95:D95"/>
    <mergeCell ref="C70:D70"/>
    <mergeCell ref="A106:B106"/>
    <mergeCell ref="C106:D106"/>
    <mergeCell ref="A96:B96"/>
    <mergeCell ref="A12:D12"/>
    <mergeCell ref="A21:D21"/>
    <mergeCell ref="A57:D57"/>
    <mergeCell ref="A67:B67"/>
    <mergeCell ref="A32:D32"/>
    <mergeCell ref="A14:D14"/>
    <mergeCell ref="C101:D101"/>
    <mergeCell ref="A82:B82"/>
    <mergeCell ref="A15:E15"/>
    <mergeCell ref="C104:D104"/>
    <mergeCell ref="C74:D74"/>
    <mergeCell ref="C88:D88"/>
    <mergeCell ref="A40:D40"/>
    <mergeCell ref="A33:C33"/>
    <mergeCell ref="C103:D103"/>
    <mergeCell ref="C99:D99"/>
    <mergeCell ref="A84:B84"/>
    <mergeCell ref="A66:B66"/>
    <mergeCell ref="A35:C35"/>
    <mergeCell ref="A86:B86"/>
    <mergeCell ref="A95:B95"/>
    <mergeCell ref="A97:B97"/>
    <mergeCell ref="A18:D18"/>
    <mergeCell ref="A36:C36"/>
    <mergeCell ref="A72:B72"/>
    <mergeCell ref="C72:D72"/>
    <mergeCell ref="A81:B81"/>
    <mergeCell ref="A50:D50"/>
    <mergeCell ref="C81:D81"/>
    <mergeCell ref="A55:D55"/>
    <mergeCell ref="C96:D96"/>
    <mergeCell ref="A47:D47"/>
    <mergeCell ref="C78:D78"/>
    <mergeCell ref="C87:D87"/>
  </mergeCells>
  <printOptions horizontalCentered="1" verticalCentered="1"/>
  <pageMargins left="0.2362204724409449" right="0.2362204724409449" top="0.1968503937007874" bottom="0.1968503937007874" header="0" footer="0"/>
  <pageSetup orientation="portrait" paperSize="9" scale="81" fitToHeight="0"/>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fitToPage="1"/>
  </sheetPr>
  <dimension ref="A1:BN22"/>
  <sheetViews>
    <sheetView topLeftCell="S1" zoomScale="38" zoomScaleNormal="38" workbookViewId="0">
      <pane ySplit="1" topLeftCell="A2" activePane="bottomLeft" state="frozen"/>
      <selection activeCell="M1" sqref="M1"/>
      <selection pane="bottomLeft" activeCell="AC19" sqref="AC19"/>
    </sheetView>
  </sheetViews>
  <sheetFormatPr baseColWidth="8" defaultColWidth="11.44140625" defaultRowHeight="33" customHeight="1"/>
  <cols>
    <col width="41.109375" customWidth="1" style="948" min="1" max="1"/>
    <col width="28.88671875" customWidth="1" style="948" min="2" max="2"/>
    <col width="90.5546875" customWidth="1" style="948" min="3" max="3"/>
    <col width="8.88671875" customWidth="1" style="948" min="4" max="4"/>
    <col width="63.109375" customWidth="1" style="948" min="5" max="5"/>
    <col width="27.109375" customWidth="1" style="948" min="6" max="6"/>
    <col width="92.88671875" customWidth="1" style="948" min="7" max="7"/>
    <col width="12" customWidth="1" style="948" min="8" max="8"/>
    <col width="50.33203125" customWidth="1" style="948" min="9" max="9"/>
    <col width="30.33203125" customWidth="1" style="948" min="10" max="10"/>
    <col width="105.44140625" customWidth="1" style="948" min="11" max="11"/>
    <col width="6.33203125" customWidth="1" style="948" min="12" max="12"/>
    <col width="51.109375" customWidth="1" style="948" min="13" max="13"/>
    <col width="38.5546875" customWidth="1" style="948" min="14" max="14"/>
    <col width="43.33203125" customWidth="1" style="948" min="15" max="15"/>
    <col width="41.33203125" customWidth="1" style="948" min="16" max="16"/>
    <col width="72.109375" customWidth="1" style="948" min="17" max="17"/>
    <col width="50.109375" customWidth="1" style="948" min="18" max="18"/>
    <col width="36.33203125" customWidth="1" style="948" min="19" max="19"/>
    <col width="33.44140625" customWidth="1" style="948" min="20" max="20"/>
    <col width="25.44140625" customWidth="1" style="888" min="21" max="21"/>
    <col width="57.33203125" customWidth="1" style="948" min="22" max="22"/>
    <col width="29.33203125" customWidth="1" style="948" min="23" max="24"/>
    <col width="23.6640625" customWidth="1" style="948" min="25" max="25"/>
    <col width="29.33203125" customWidth="1" style="948" min="26" max="26"/>
    <col width="57.33203125" customWidth="1" style="948" min="27" max="27"/>
    <col width="29.33203125" customWidth="1" style="948" min="28" max="29"/>
    <col width="23.6640625" customWidth="1" style="948" min="30" max="30"/>
    <col width="29.33203125" customWidth="1" style="948" min="31" max="31"/>
    <col width="57.33203125" customWidth="1" style="948" min="32" max="32"/>
    <col width="29.33203125" customWidth="1" style="948" min="33" max="34"/>
    <col width="23.6640625" customWidth="1" style="948" min="35" max="35"/>
    <col width="29.33203125" customWidth="1" style="948" min="36" max="36"/>
    <col width="57.33203125" customWidth="1" style="948" min="37" max="37"/>
    <col width="29.33203125" customWidth="1" style="948" min="38" max="39"/>
    <col width="23.6640625" customWidth="1" style="948" min="40" max="40"/>
    <col width="29.33203125" customWidth="1" style="948" min="41" max="41"/>
    <col width="57.33203125" customWidth="1" style="948" min="42" max="42"/>
    <col width="29.33203125" customWidth="1" style="948" min="43" max="44"/>
    <col width="23.6640625" customWidth="1" style="948" min="45" max="45"/>
    <col width="29.33203125" customWidth="1" style="948" min="46" max="46"/>
    <col width="57.33203125" customWidth="1" style="948" min="47" max="47"/>
    <col width="29.33203125" customWidth="1" style="948" min="48" max="49"/>
    <col width="23.6640625" customWidth="1" style="948" min="50" max="50"/>
    <col width="29.33203125" customWidth="1" style="948" min="51" max="51"/>
    <col width="65" customWidth="1" style="948" min="52" max="52"/>
    <col width="11.44140625" customWidth="1" style="948" min="53" max="53"/>
    <col width="50.6640625" customWidth="1" style="948" min="54" max="55"/>
    <col width="37.88671875" customWidth="1" style="948" min="56" max="56"/>
    <col width="50.6640625" customWidth="1" style="948" min="57" max="57"/>
    <col width="50" customWidth="1" style="948" min="58" max="58"/>
    <col width="50.6640625" customWidth="1" style="948" min="59" max="60"/>
    <col hidden="1" width="42.44140625" customWidth="1" style="948" min="61" max="61"/>
    <col hidden="1" width="38.88671875" customWidth="1" style="948" min="62" max="62"/>
    <col hidden="1" width="39.5546875" customWidth="1" style="948" min="63" max="63"/>
    <col width="38.5546875" customWidth="1" style="948" min="64" max="64"/>
    <col width="44.33203125" customWidth="1" style="948" min="65" max="65"/>
    <col width="50.6640625" customWidth="1" style="948" min="66" max="66"/>
    <col width="11.44140625" customWidth="1" style="948" min="67" max="67"/>
    <col width="11.44140625" customWidth="1" style="948" min="68" max="16384"/>
  </cols>
  <sheetData>
    <row r="1" ht="207.75" customHeight="1" s="1025" thickBot="1">
      <c r="A1" s="948" t="inlineStr">
        <is>
          <t>Produit</t>
        </is>
      </c>
      <c r="B1" s="948" t="inlineStr">
        <is>
          <t>Quantité</t>
        </is>
      </c>
      <c r="C1" s="948" t="inlineStr">
        <is>
          <t>Commentaire</t>
        </is>
      </c>
      <c r="I1" s="948" t="inlineStr">
        <is>
          <t>Produit</t>
        </is>
      </c>
      <c r="J1" s="948" t="inlineStr">
        <is>
          <t>Quantité</t>
        </is>
      </c>
      <c r="K1" s="948" t="inlineStr">
        <is>
          <t>Commentaire</t>
        </is>
      </c>
      <c r="M1" s="248" t="inlineStr">
        <is>
          <t>Type de viandes</t>
        </is>
      </c>
      <c r="N1" s="248" t="inlineStr">
        <is>
          <t>Estimation besoin pour programme de fabrication</t>
        </is>
      </c>
      <c r="O1" s="248" t="inlineStr">
        <is>
          <t>Commandes
Particuliers</t>
        </is>
      </c>
      <c r="P1" s="248" t="inlineStr">
        <is>
          <t>Total besoins pour S40</t>
        </is>
      </c>
      <c r="Q1" s="248" t="inlineStr">
        <is>
          <t xml:space="preserve">Stock au jeudi </t>
        </is>
      </c>
      <c r="R1" s="248" t="inlineStr">
        <is>
          <t xml:space="preserve">Besoin stock déduit </t>
        </is>
      </c>
      <c r="S1" s="248" t="inlineStr">
        <is>
          <t>Commande programmée</t>
        </is>
      </c>
      <c r="T1" s="248" t="inlineStr">
        <is>
          <t xml:space="preserve">Excédent (+) ou manque (-) après commandes </t>
        </is>
      </c>
      <c r="U1" s="883" t="inlineStr">
        <is>
          <t>Stock en nombre de semaines</t>
        </is>
      </c>
      <c r="V1" s="884" t="inlineStr">
        <is>
          <t>Fournisseur</t>
        </is>
      </c>
      <c r="W1" s="248" t="inlineStr">
        <is>
          <t>jour</t>
        </is>
      </c>
      <c r="X1" s="248" t="inlineStr">
        <is>
          <t>ETAT</t>
        </is>
      </c>
      <c r="Y1" s="248" t="inlineStr">
        <is>
          <t>Quantité</t>
        </is>
      </c>
      <c r="Z1" s="883" t="inlineStr">
        <is>
          <t>Prix</t>
        </is>
      </c>
      <c r="AA1" s="884" t="inlineStr">
        <is>
          <t>Fournisseur</t>
        </is>
      </c>
      <c r="AB1" s="248" t="inlineStr">
        <is>
          <t>jour</t>
        </is>
      </c>
      <c r="AC1" s="248" t="inlineStr">
        <is>
          <t>ETAT</t>
        </is>
      </c>
      <c r="AD1" s="248" t="inlineStr">
        <is>
          <t>Quantité</t>
        </is>
      </c>
      <c r="AE1" s="883" t="inlineStr">
        <is>
          <t>Prix</t>
        </is>
      </c>
      <c r="AF1" s="884" t="inlineStr">
        <is>
          <t>Fournisseur</t>
        </is>
      </c>
      <c r="AG1" s="248" t="inlineStr">
        <is>
          <t>jour</t>
        </is>
      </c>
      <c r="AH1" s="248" t="inlineStr">
        <is>
          <t>ETAT</t>
        </is>
      </c>
      <c r="AI1" s="248" t="inlineStr">
        <is>
          <t>Quantité</t>
        </is>
      </c>
      <c r="AJ1" s="883" t="inlineStr">
        <is>
          <t>Prix</t>
        </is>
      </c>
      <c r="AK1" s="884" t="inlineStr">
        <is>
          <t>Fournisseur</t>
        </is>
      </c>
      <c r="AL1" s="248" t="inlineStr">
        <is>
          <t>jour</t>
        </is>
      </c>
      <c r="AM1" s="248" t="inlineStr">
        <is>
          <t>ETAT</t>
        </is>
      </c>
      <c r="AN1" s="248" t="inlineStr">
        <is>
          <t>Quantité</t>
        </is>
      </c>
      <c r="AO1" s="883" t="inlineStr">
        <is>
          <t>Prix</t>
        </is>
      </c>
      <c r="AP1" s="884" t="inlineStr">
        <is>
          <t>Fournisseur</t>
        </is>
      </c>
      <c r="AQ1" s="248" t="inlineStr">
        <is>
          <t>jour</t>
        </is>
      </c>
      <c r="AR1" s="248" t="inlineStr">
        <is>
          <t>ETAT</t>
        </is>
      </c>
      <c r="AS1" s="248" t="inlineStr">
        <is>
          <t>Quantité</t>
        </is>
      </c>
      <c r="AT1" s="883" t="inlineStr">
        <is>
          <t>Prix</t>
        </is>
      </c>
      <c r="AU1" s="884" t="inlineStr">
        <is>
          <t>Fournisseur</t>
        </is>
      </c>
      <c r="AV1" s="248" t="inlineStr">
        <is>
          <t>jour</t>
        </is>
      </c>
      <c r="AW1" s="248" t="inlineStr">
        <is>
          <t>ETAT</t>
        </is>
      </c>
      <c r="AX1" s="248" t="inlineStr">
        <is>
          <t>Quantité</t>
        </is>
      </c>
      <c r="AY1" s="883" t="inlineStr">
        <is>
          <t>Prix</t>
        </is>
      </c>
      <c r="BB1" s="252" t="inlineStr">
        <is>
          <t>Type de boyaux</t>
        </is>
      </c>
      <c r="BC1" s="252" t="inlineStr">
        <is>
          <t>Estimation besoin pour programme de fabrication</t>
        </is>
      </c>
      <c r="BD1" s="252" t="inlineStr">
        <is>
          <t>Unité
 bout ou stick</t>
        </is>
      </c>
      <c r="BE1" s="252" t="inlineStr">
        <is>
          <t>Commandes
Particuliers</t>
        </is>
      </c>
      <c r="BF1" s="252" t="inlineStr">
        <is>
          <t>Total besoins pour S+1</t>
        </is>
      </c>
      <c r="BG1" s="252" t="inlineStr">
        <is>
          <t>Stock au jeudi 
Semaine en cours</t>
        </is>
      </c>
      <c r="BH1" s="252" t="inlineStr">
        <is>
          <t>Unité
 bout ou stick</t>
        </is>
      </c>
      <c r="BI1" s="252" t="inlineStr">
        <is>
          <t xml:space="preserve">Besoin stock déduit </t>
        </is>
      </c>
      <c r="BJ1" s="252" t="inlineStr">
        <is>
          <t>Commande programmée</t>
        </is>
      </c>
      <c r="BK1" s="252" t="inlineStr">
        <is>
          <t>Unité
 bout ou stick</t>
        </is>
      </c>
      <c r="BL1" s="252" t="inlineStr">
        <is>
          <t xml:space="preserve">Excédent (+) ou manque (-) après commandes </t>
        </is>
      </c>
      <c r="BM1" s="259" t="inlineStr">
        <is>
          <t>COMMANDE PROGRAMMÉE 
(en cartons/futs)</t>
        </is>
      </c>
      <c r="BN1" s="252" t="inlineStr">
        <is>
          <t>Unité
cartons ou futs</t>
        </is>
      </c>
    </row>
    <row r="2" ht="39.75" customHeight="1" s="1025" thickBot="1">
      <c r="A2" s="949" t="inlineStr">
        <is>
          <t xml:space="preserve">ASSAISONNEMENT </t>
        </is>
      </c>
      <c r="B2" s="919" t="n"/>
      <c r="C2" s="932" t="n"/>
      <c r="E2" s="949" t="inlineStr">
        <is>
          <t>EPICES</t>
        </is>
      </c>
      <c r="F2" s="919" t="n"/>
      <c r="G2" s="932" t="n"/>
      <c r="I2" s="949" t="inlineStr">
        <is>
          <t xml:space="preserve">INGREDIENTS </t>
        </is>
      </c>
      <c r="J2" s="919" t="n"/>
      <c r="K2" s="932" t="n"/>
      <c r="M2" s="950" t="inlineStr">
        <is>
          <t>VIANDE</t>
        </is>
      </c>
      <c r="Q2" s="225" t="n"/>
      <c r="R2" s="225" t="n"/>
      <c r="S2" s="225" t="n"/>
      <c r="T2" s="225" t="n"/>
      <c r="U2" s="885" t="n"/>
      <c r="V2" s="886" t="n"/>
      <c r="W2" s="225" t="n"/>
      <c r="X2" s="225" t="n"/>
      <c r="Y2" s="225" t="n"/>
      <c r="Z2" s="885" t="n"/>
      <c r="AA2" s="886" t="n"/>
      <c r="AB2" s="225" t="n"/>
      <c r="AC2" s="225" t="n"/>
      <c r="AD2" s="225" t="n"/>
      <c r="AE2" s="885" t="n"/>
      <c r="AF2" s="225" t="n"/>
      <c r="AG2" s="225" t="n"/>
      <c r="AH2" s="225" t="n"/>
      <c r="AI2" s="225" t="n"/>
      <c r="AJ2" s="885" t="n"/>
      <c r="AK2" s="886" t="n"/>
      <c r="AL2" s="225" t="n"/>
      <c r="AM2" s="225" t="n"/>
      <c r="AN2" s="225" t="n"/>
      <c r="AO2" s="885" t="n"/>
      <c r="AP2" s="886" t="n"/>
      <c r="AQ2" s="225" t="n"/>
      <c r="AR2" s="225" t="n"/>
      <c r="AS2" s="225" t="n"/>
      <c r="AT2" s="885" t="n"/>
      <c r="AU2" s="886" t="n"/>
      <c r="AV2" s="225" t="n"/>
      <c r="AW2" s="225" t="n"/>
      <c r="AX2" s="225" t="n"/>
      <c r="AY2" s="885" t="n"/>
      <c r="BB2" s="947" t="inlineStr">
        <is>
          <t>BOYAUX</t>
        </is>
      </c>
    </row>
    <row r="3" ht="81" customHeight="1" s="1025">
      <c r="A3" s="206" t="inlineStr">
        <is>
          <t xml:space="preserve">SEL </t>
        </is>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
      </c>
      <c r="C3" s="246" t="inlineStr">
        <is>
          <t>+ 25 kg POUR TREMPAGE DES BOYAUX</t>
        </is>
      </c>
      <c r="E3" s="206" t="inlineStr">
        <is>
          <t>PIMENT DOUX</t>
        </is>
      </c>
      <c r="F3" s="207">
        <f>'Halrizo 200 + GP '!O16+'Halrizo 200 + GP '!Z16+'Spécialité Autres'!E62</f>
        <v/>
      </c>
      <c r="G3" s="208" t="n"/>
      <c r="I3" s="206" t="inlineStr">
        <is>
          <t>NOISETTES</t>
        </is>
      </c>
      <c r="J3" s="207">
        <f>'Spécialité Autres'!E14</f>
        <v/>
      </c>
      <c r="K3" s="208" t="n"/>
      <c r="M3" s="226" t="inlineStr">
        <is>
          <t>FILET MIGNON</t>
        </is>
      </c>
      <c r="N3" s="227">
        <f>'PLANNING DE FABRICATION'!E3</f>
        <v/>
      </c>
      <c r="O3" s="227" t="n"/>
      <c r="P3" s="228">
        <f>N3+O3</f>
        <v/>
      </c>
      <c r="Q3" s="256" t="n">
        <v>402</v>
      </c>
      <c r="R3" s="229">
        <f>P3-Q3</f>
        <v/>
      </c>
      <c r="S3" s="865" t="n"/>
      <c r="T3" s="866">
        <f>S3-R3</f>
        <v/>
      </c>
      <c r="U3" s="893">
        <f>$T3/100</f>
        <v/>
      </c>
      <c r="V3" s="887" t="n"/>
      <c r="W3" s="229" t="n"/>
      <c r="X3" s="229" t="n"/>
      <c r="Y3" s="895" t="n"/>
      <c r="Z3" s="897" t="n"/>
      <c r="AA3" s="887" t="n"/>
      <c r="AB3" s="229" t="n"/>
      <c r="AC3" s="229" t="n"/>
      <c r="AD3" s="895" t="n"/>
      <c r="AE3" s="897" t="n"/>
      <c r="AF3" s="226" t="n"/>
      <c r="AG3" s="229" t="n"/>
      <c r="AH3" s="229" t="n"/>
      <c r="AI3" s="895" t="n"/>
      <c r="AJ3" s="897" t="n"/>
      <c r="AK3" s="887" t="n"/>
      <c r="AL3" s="229" t="n"/>
      <c r="AM3" s="229" t="n"/>
      <c r="AN3" s="895" t="n"/>
      <c r="AO3" s="897" t="n"/>
      <c r="AP3" s="887" t="n"/>
      <c r="AQ3" s="229" t="n"/>
      <c r="AR3" s="229" t="n"/>
      <c r="AS3" s="895" t="n"/>
      <c r="AT3" s="897" t="n"/>
      <c r="AU3" s="887" t="n"/>
      <c r="AV3" s="229" t="n"/>
      <c r="AW3" s="229" t="n"/>
      <c r="AX3" s="895" t="n"/>
      <c r="AY3" s="897" t="n"/>
      <c r="BC3" s="251" t="n"/>
    </row>
    <row r="4" ht="81" customHeight="1" s="1025">
      <c r="A4" s="200" t="inlineStr">
        <is>
          <t>SEL NITRITE</t>
        </is>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
      </c>
      <c r="C4" s="202" t="n"/>
      <c r="E4" s="200" t="inlineStr">
        <is>
          <t>PIMENT FORT</t>
        </is>
      </c>
      <c r="F4" s="201">
        <f>'Halrizo 200 + GP '!O15+'Halrizo 200 + GP '!Z15+'Halal 350 BN Pimenté'!E15+'Halal G.P - 200 et BN '!E18+'Halal G.P - 200 et BN '!M18+'Halal G.P - 200 et BN '!U18+'Spécialité Autres'!E63</f>
        <v/>
      </c>
      <c r="G4" s="202" t="n"/>
      <c r="I4" s="200" t="inlineStr">
        <is>
          <t>NOIX</t>
        </is>
      </c>
      <c r="J4" s="201">
        <f>'Spécialité Autres'!K14+'ANCIENNCES RECETTES'!E15</f>
        <v/>
      </c>
      <c r="K4" s="202" t="n"/>
      <c r="M4" s="230" t="inlineStr">
        <is>
          <t>EPAULES 3D</t>
        </is>
      </c>
      <c r="N4" s="229">
        <f>'Recette viandes'!AD22+'Recette viandes'!AC6</f>
        <v/>
      </c>
      <c r="O4" s="227" t="n"/>
      <c r="P4" s="228">
        <f>N4+O4</f>
        <v/>
      </c>
      <c r="Q4" s="257" t="n">
        <v>758</v>
      </c>
      <c r="R4" s="229">
        <f>P4-Q4</f>
        <v/>
      </c>
      <c r="S4" s="865" t="n"/>
      <c r="T4" s="866">
        <f>S4-R4</f>
        <v/>
      </c>
      <c r="U4" s="893">
        <f>T4/200</f>
        <v/>
      </c>
      <c r="V4" s="887" t="n"/>
      <c r="W4" s="229" t="n"/>
      <c r="X4" s="229" t="n"/>
      <c r="Y4" s="896" t="n"/>
      <c r="Z4" s="898" t="n"/>
      <c r="AA4" s="887" t="n"/>
      <c r="AB4" s="229" t="n"/>
      <c r="AC4" s="229" t="n"/>
      <c r="AD4" s="896" t="n"/>
      <c r="AE4" s="898" t="n"/>
      <c r="AF4" s="226" t="n"/>
      <c r="AG4" s="229" t="n"/>
      <c r="AH4" s="229" t="n"/>
      <c r="AI4" s="896" t="n"/>
      <c r="AJ4" s="898" t="n"/>
      <c r="AK4" s="887" t="n"/>
      <c r="AL4" s="229" t="n"/>
      <c r="AM4" s="229" t="n"/>
      <c r="AN4" s="896" t="n"/>
      <c r="AO4" s="898" t="n"/>
      <c r="AP4" s="887" t="n"/>
      <c r="AQ4" s="229" t="n"/>
      <c r="AR4" s="229" t="n"/>
      <c r="AS4" s="896" t="n"/>
      <c r="AT4" s="898" t="n"/>
      <c r="AU4" s="887" t="n"/>
      <c r="AV4" s="229" t="n"/>
      <c r="AW4" s="229" t="n"/>
      <c r="AX4" s="896" t="n"/>
      <c r="AY4" s="898" t="n"/>
      <c r="BB4" s="252" t="inlineStr">
        <is>
          <t>Collagène Fabios Diamètre 37</t>
        </is>
      </c>
      <c r="BC4" s="253">
        <f>('PLANNING DE FABRICATION'!E7+'PLANNING DE FABRICATION'!E8)*7*2</f>
        <v/>
      </c>
      <c r="BD4" s="253" t="inlineStr">
        <is>
          <t>STICK</t>
        </is>
      </c>
      <c r="BE4" s="254" t="n"/>
      <c r="BF4" s="253">
        <f>BC4+BE4</f>
        <v/>
      </c>
      <c r="BG4" s="258" t="n"/>
      <c r="BH4" s="253" t="inlineStr">
        <is>
          <t>STICK</t>
        </is>
      </c>
      <c r="BI4" s="253">
        <f>BF4-BG4</f>
        <v/>
      </c>
      <c r="BJ4" s="253">
        <f>BM4*100</f>
        <v/>
      </c>
      <c r="BK4" s="253" t="inlineStr">
        <is>
          <t>STICK</t>
        </is>
      </c>
      <c r="BL4" s="253">
        <f>BJ4-BI4</f>
        <v/>
      </c>
      <c r="BM4" s="254" t="n"/>
      <c r="BN4" s="253" t="inlineStr">
        <is>
          <t>CARTONS</t>
        </is>
      </c>
    </row>
    <row r="5" ht="81" customHeight="1" s="1025">
      <c r="A5" s="200" t="inlineStr">
        <is>
          <t>NITRATE DE POTASSIUM</t>
        </is>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
      </c>
      <c r="C5" s="202" t="n"/>
      <c r="E5" s="200" t="inlineStr">
        <is>
          <t>PIMENT DOUX FUME</t>
        </is>
      </c>
      <c r="F5" s="201">
        <f>'Halrizo 200 + GP '!O17+'Halrizo 200 + GP '!Z17+'Spécialité Autres'!E64</f>
        <v/>
      </c>
      <c r="G5" s="202" t="n"/>
      <c r="I5" s="200" t="inlineStr">
        <is>
          <t>BEAUFORT</t>
        </is>
      </c>
      <c r="J5" s="201">
        <f>'Spécialité Fromagère'!E14</f>
        <v/>
      </c>
      <c r="K5" s="202" t="n"/>
      <c r="M5" s="230" t="inlineStr">
        <is>
          <t>EPAULES 4D</t>
        </is>
      </c>
      <c r="N5" s="231">
        <f>'Recette viandes'!AD21</f>
        <v/>
      </c>
      <c r="O5" s="227" t="n"/>
      <c r="P5" s="228">
        <f>N5+O5</f>
        <v/>
      </c>
      <c r="Q5" s="257" t="n">
        <v>1492.5</v>
      </c>
      <c r="R5" s="229">
        <f>P5-Q5</f>
        <v/>
      </c>
      <c r="S5" s="865" t="n"/>
      <c r="T5" s="866">
        <f>S5-R5</f>
        <v/>
      </c>
      <c r="U5" s="893">
        <f>T5/500</f>
        <v/>
      </c>
      <c r="V5" s="887" t="n"/>
      <c r="W5" s="229" t="n"/>
      <c r="X5" s="229" t="n"/>
      <c r="Y5" s="896" t="n"/>
      <c r="Z5" s="898" t="n"/>
      <c r="AA5" s="887" t="n"/>
      <c r="AB5" s="229" t="n"/>
      <c r="AC5" s="229" t="n"/>
      <c r="AD5" s="896" t="n"/>
      <c r="AE5" s="898" t="n"/>
      <c r="AF5" s="226" t="n"/>
      <c r="AG5" s="229" t="n"/>
      <c r="AH5" s="229" t="n"/>
      <c r="AI5" s="896" t="n"/>
      <c r="AJ5" s="898" t="n"/>
      <c r="AK5" s="887" t="n"/>
      <c r="AL5" s="229" t="n"/>
      <c r="AM5" s="229" t="n"/>
      <c r="AN5" s="896" t="n"/>
      <c r="AO5" s="898" t="n"/>
      <c r="AP5" s="887" t="n"/>
      <c r="AQ5" s="229" t="n"/>
      <c r="AR5" s="229" t="n"/>
      <c r="AS5" s="896" t="n"/>
      <c r="AT5" s="898" t="n"/>
      <c r="AU5" s="887" t="n"/>
      <c r="AV5" s="229" t="n"/>
      <c r="AW5" s="229" t="n"/>
      <c r="AX5" s="896" t="n"/>
      <c r="AY5" s="898" t="n"/>
      <c r="BB5" s="252" t="inlineStr">
        <is>
          <t>Collagène FGR 95, en 63cm</t>
        </is>
      </c>
      <c r="BC5" s="253">
        <f>('PLANNING DE FABRICATION'!E11+'PLANNING DE FABRICATION'!E12)*42*2</f>
        <v/>
      </c>
      <c r="BD5" s="253" t="inlineStr">
        <is>
          <t>BOUTS</t>
        </is>
      </c>
      <c r="BE5" s="254" t="n"/>
      <c r="BF5" s="253">
        <f>BC5+BE5</f>
        <v/>
      </c>
      <c r="BG5" s="258" t="n"/>
      <c r="BH5" s="253" t="inlineStr">
        <is>
          <t>BOUTS</t>
        </is>
      </c>
      <c r="BI5" s="253">
        <f>BF5-BG5</f>
        <v/>
      </c>
      <c r="BJ5" s="253">
        <f>BM5*500</f>
        <v/>
      </c>
      <c r="BK5" s="253" t="inlineStr">
        <is>
          <t>BOUTS</t>
        </is>
      </c>
      <c r="BL5" s="253">
        <f>BJ5-BI5</f>
        <v/>
      </c>
      <c r="BM5" s="254" t="n"/>
      <c r="BN5" s="253" t="inlineStr">
        <is>
          <t>CARTONS</t>
        </is>
      </c>
    </row>
    <row r="6" ht="81" customHeight="1" s="1025">
      <c r="A6" s="200" t="inlineStr">
        <is>
          <t>LACTOSE</t>
        </is>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
      </c>
      <c r="C6" s="202" t="n"/>
      <c r="E6" s="200" t="inlineStr">
        <is>
          <t>CUMIN</t>
        </is>
      </c>
      <c r="F6" s="201">
        <f>'Halrizo 200 + GP '!O18+'Halrizo 200 + GP '!Z18+'Halal 350 BN Pimenté'!E17+'Halal G.P - 200 et BN '!E17+'Halal G.P - 200 et BN '!M17+'Halal G.P - 200 et BN '!U17</f>
        <v/>
      </c>
      <c r="G6" s="202" t="n"/>
      <c r="I6" s="200" t="inlineStr">
        <is>
          <t>ROQUEFORT</t>
        </is>
      </c>
      <c r="J6" s="201">
        <f>'Spécialité Fromagère'!E29</f>
        <v/>
      </c>
      <c r="K6" s="202" t="n"/>
      <c r="M6" s="230" t="inlineStr">
        <is>
          <t>EPAULES 6D</t>
        </is>
      </c>
      <c r="N6" s="231">
        <f>'Recette viandes'!AD20</f>
        <v/>
      </c>
      <c r="O6" s="227" t="n"/>
      <c r="P6" s="228">
        <f>N6+O6</f>
        <v/>
      </c>
      <c r="Q6" s="257" t="n">
        <v>0</v>
      </c>
      <c r="R6" s="229">
        <f>P6-Q6</f>
        <v/>
      </c>
      <c r="S6" s="865" t="n"/>
      <c r="T6" s="866">
        <f>S6-R6</f>
        <v/>
      </c>
      <c r="U6" s="893">
        <f>T6/600</f>
        <v/>
      </c>
      <c r="V6" s="887" t="n"/>
      <c r="W6" s="229" t="n"/>
      <c r="X6" s="229" t="n"/>
      <c r="Y6" s="896" t="n"/>
      <c r="Z6" s="898" t="n"/>
      <c r="AA6" s="887" t="n"/>
      <c r="AB6" s="229" t="n"/>
      <c r="AC6" s="229" t="n"/>
      <c r="AD6" s="896" t="n"/>
      <c r="AE6" s="898" t="n"/>
      <c r="AF6" s="226" t="n"/>
      <c r="AG6" s="229" t="n"/>
      <c r="AH6" s="229" t="n"/>
      <c r="AI6" s="896" t="n"/>
      <c r="AJ6" s="898" t="n"/>
      <c r="AK6" s="887" t="n"/>
      <c r="AL6" s="229" t="n"/>
      <c r="AM6" s="229" t="n"/>
      <c r="AN6" s="896" t="n"/>
      <c r="AO6" s="898" t="n"/>
      <c r="AP6" s="887" t="n"/>
      <c r="AQ6" s="229" t="n"/>
      <c r="AR6" s="229" t="n"/>
      <c r="AS6" s="896" t="n"/>
      <c r="AT6" s="898" t="n"/>
      <c r="AU6" s="887" t="n"/>
      <c r="AV6" s="229" t="n"/>
      <c r="AW6" s="229" t="n"/>
      <c r="AX6" s="896" t="n"/>
      <c r="AY6" s="898" t="n"/>
      <c r="BB6" s="252" t="n"/>
      <c r="BC6" s="253" t="n"/>
      <c r="BD6" s="253" t="n"/>
      <c r="BE6" s="253" t="n"/>
      <c r="BF6" s="253" t="n"/>
      <c r="BG6" s="253" t="n"/>
      <c r="BH6" s="253" t="n"/>
      <c r="BI6" s="253" t="n"/>
      <c r="BJ6" s="253" t="n"/>
      <c r="BK6" s="253" t="n"/>
      <c r="BL6" s="253" t="n"/>
      <c r="BM6" s="253" t="n"/>
      <c r="BN6" s="253" t="n"/>
    </row>
    <row r="7" ht="81" customHeight="1" s="1025">
      <c r="A7" s="200" t="inlineStr">
        <is>
          <t>DEXTROSE</t>
        </is>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
      </c>
      <c r="C7" s="202" t="n"/>
      <c r="E7" s="203" t="inlineStr">
        <is>
          <t>ORIGAN</t>
        </is>
      </c>
      <c r="F7" s="204">
        <f>'Halrizo 200 + GP '!O19+'Halrizo 200 + GP '!Z19+'Halal 350 BN Pimenté'!E16+'Halal G.P - 200 et BN '!E16+'Halal G.P - 200 et BN '!M16+'Halal G.P - 200 et BN '!U16</f>
        <v/>
      </c>
      <c r="G7" s="205" t="n"/>
      <c r="I7" s="200" t="inlineStr">
        <is>
          <t>BUCHE DE CHEVRE</t>
        </is>
      </c>
      <c r="J7" s="201">
        <f>'Spécialité Fromagère'!K14</f>
        <v/>
      </c>
      <c r="K7" s="202" t="n"/>
      <c r="M7" s="230" t="inlineStr">
        <is>
          <t>GRAS DE PORC</t>
        </is>
      </c>
      <c r="N7" s="231">
        <f>'Recette viandes'!AC9+'Recette viandes'!AD23</f>
        <v/>
      </c>
      <c r="O7" s="227" t="n"/>
      <c r="P7" s="228">
        <f>N7+O7</f>
        <v/>
      </c>
      <c r="Q7" s="257" t="n">
        <v>511.5</v>
      </c>
      <c r="R7" s="229">
        <f>P7-Q7</f>
        <v/>
      </c>
      <c r="S7" s="865" t="n"/>
      <c r="T7" s="866">
        <f>S7-R7</f>
        <v/>
      </c>
      <c r="U7" s="893">
        <f>T7/600</f>
        <v/>
      </c>
      <c r="V7" s="887" t="n"/>
      <c r="W7" s="229" t="n"/>
      <c r="X7" s="229" t="n"/>
      <c r="Y7" s="896" t="n"/>
      <c r="Z7" s="898" t="n"/>
      <c r="AA7" s="887" t="n"/>
      <c r="AB7" s="229" t="n"/>
      <c r="AC7" s="229" t="n"/>
      <c r="AD7" s="896" t="n"/>
      <c r="AE7" s="898" t="n"/>
      <c r="AF7" s="226" t="n"/>
      <c r="AG7" s="229" t="n"/>
      <c r="AH7" s="229" t="n"/>
      <c r="AI7" s="896" t="n"/>
      <c r="AJ7" s="898" t="n"/>
      <c r="AK7" s="887" t="n"/>
      <c r="AL7" s="229" t="n"/>
      <c r="AM7" s="229" t="n"/>
      <c r="AN7" s="896" t="n"/>
      <c r="AO7" s="898" t="n"/>
      <c r="AP7" s="887" t="n"/>
      <c r="AQ7" s="229" t="n"/>
      <c r="AR7" s="229" t="n"/>
      <c r="AS7" s="896" t="n"/>
      <c r="AT7" s="898" t="n"/>
      <c r="AU7" s="887" t="n"/>
      <c r="AV7" s="229" t="n"/>
      <c r="AW7" s="229" t="n"/>
      <c r="AX7" s="896" t="n"/>
      <c r="AY7" s="898" t="n"/>
      <c r="BB7" s="252" t="inlineStr">
        <is>
          <t>Droit de Bœuf 51/54 en 30cm</t>
        </is>
      </c>
      <c r="BC7" s="253">
        <f>('PLANNING DE FABRICATION'!E9+'PLANNING DE FABRICATION'!E10+'PLANNING DE FABRICATION'!E26+'PLANNING DE FABRICATION'!E27)*360</f>
        <v/>
      </c>
      <c r="BD7" s="253" t="inlineStr">
        <is>
          <t>BOUTS</t>
        </is>
      </c>
      <c r="BE7" s="254" t="n"/>
      <c r="BF7" s="253">
        <f>BC7+BE7</f>
        <v/>
      </c>
      <c r="BG7" s="258" t="n"/>
      <c r="BH7" s="253" t="inlineStr">
        <is>
          <t>BOUTS</t>
        </is>
      </c>
      <c r="BI7" s="253">
        <f>BF7-BG7</f>
        <v/>
      </c>
      <c r="BJ7" s="253">
        <f>BM7*10000</f>
        <v/>
      </c>
      <c r="BK7" s="253" t="inlineStr">
        <is>
          <t>BOUTS</t>
        </is>
      </c>
      <c r="BL7" s="253">
        <f>BJ7-BI7</f>
        <v/>
      </c>
      <c r="BM7" s="254" t="n"/>
      <c r="BN7" s="253" t="inlineStr">
        <is>
          <t>FUTS</t>
        </is>
      </c>
    </row>
    <row r="8" ht="81" customHeight="1" s="1025">
      <c r="A8" s="200" t="inlineStr">
        <is>
          <t>SACCHAROSE</t>
        </is>
      </c>
      <c r="B8" s="201">
        <f>'Halrizo 200 + GP '!O10+'Halrizo 200 + GP '!Z10+'Halal 350 BN Pimenté'!E9+'Halal G.P - 200 et BN '!E10+'Halal G.P - 200 et BN '!M10+'Halal G.P - 200 et BN '!U10+'Haché Moyen'!M11</f>
        <v/>
      </c>
      <c r="C8" s="202" t="n"/>
      <c r="E8" s="203" t="inlineStr">
        <is>
          <t>FENOUIL</t>
        </is>
      </c>
      <c r="F8" s="204">
        <f>'Spécialité Autres'!Q28</f>
        <v/>
      </c>
      <c r="G8" s="205" t="n"/>
      <c r="I8" s="200" t="inlineStr">
        <is>
          <t>EMMENTAL</t>
        </is>
      </c>
      <c r="J8" s="201">
        <f>'Spécialité Fromagère'!K30</f>
        <v/>
      </c>
      <c r="K8" s="202" t="n"/>
      <c r="M8" s="230" t="inlineStr">
        <is>
          <t>HAMPES DE PORC</t>
        </is>
      </c>
      <c r="N8" s="231">
        <f>'Recette viandes'!AC7+'Recette viandes'!AD24</f>
        <v/>
      </c>
      <c r="O8" s="227" t="n"/>
      <c r="P8" s="228">
        <f>N8+O8</f>
        <v/>
      </c>
      <c r="Q8" s="257" t="n">
        <v>2560.5</v>
      </c>
      <c r="R8" s="229">
        <f>P8-Q8</f>
        <v/>
      </c>
      <c r="S8" s="865" t="n"/>
      <c r="T8" s="866">
        <f>S8-R8</f>
        <v/>
      </c>
      <c r="U8" s="893">
        <f>T8/2500</f>
        <v/>
      </c>
      <c r="V8" s="887" t="n"/>
      <c r="W8" s="229" t="n"/>
      <c r="X8" s="229" t="n"/>
      <c r="Y8" s="896" t="n"/>
      <c r="Z8" s="898" t="n"/>
      <c r="AA8" s="887" t="n"/>
      <c r="AB8" s="229" t="n"/>
      <c r="AC8" s="229" t="n"/>
      <c r="AD8" s="896" t="n"/>
      <c r="AE8" s="898" t="n"/>
      <c r="AF8" s="226" t="n"/>
      <c r="AG8" s="229" t="n"/>
      <c r="AH8" s="229" t="n"/>
      <c r="AI8" s="896" t="n"/>
      <c r="AJ8" s="898" t="n"/>
      <c r="AK8" s="887" t="n"/>
      <c r="AL8" s="229" t="n"/>
      <c r="AM8" s="229" t="n"/>
      <c r="AN8" s="896" t="n"/>
      <c r="AO8" s="898" t="n"/>
      <c r="AP8" s="887" t="n"/>
      <c r="AQ8" s="229" t="n"/>
      <c r="AR8" s="229" t="n"/>
      <c r="AS8" s="896" t="n"/>
      <c r="AT8" s="898" t="n"/>
      <c r="AU8" s="887" t="n"/>
      <c r="AV8" s="229" t="n"/>
      <c r="AW8" s="229" t="n"/>
      <c r="AX8" s="896" t="n"/>
      <c r="AY8" s="898" t="n"/>
      <c r="BB8" s="252" t="n"/>
      <c r="BC8" s="253" t="n"/>
      <c r="BD8" s="253" t="n"/>
      <c r="BE8" s="253" t="n"/>
      <c r="BF8" s="253" t="n"/>
      <c r="BG8" s="253" t="n"/>
      <c r="BH8" s="253" t="n"/>
      <c r="BI8" s="253" t="n"/>
      <c r="BJ8" s="253" t="n"/>
      <c r="BK8" s="253" t="n"/>
      <c r="BL8" s="253" t="n"/>
      <c r="BM8" s="253" t="n"/>
      <c r="BN8" s="253" t="n"/>
    </row>
    <row r="9" ht="81" customHeight="1" s="1025">
      <c r="A9" s="200" t="inlineStr">
        <is>
          <t>POIVRE BLANC MOULU</t>
        </is>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
      </c>
      <c r="C9" s="202" t="n"/>
      <c r="E9" s="203" t="inlineStr">
        <is>
          <t>HERBES DE PROVENCE</t>
        </is>
      </c>
      <c r="F9" s="204">
        <f>'Spécialité Autres'!K46+'Spécialité Autres'!K28</f>
        <v/>
      </c>
      <c r="G9" s="205" t="n"/>
      <c r="I9" s="200" t="inlineStr">
        <is>
          <t xml:space="preserve"> GENEPI</t>
        </is>
      </c>
      <c r="J9" s="201">
        <f>'Spécialité Autres'!Q14</f>
        <v/>
      </c>
      <c r="K9" s="202" t="n"/>
      <c r="M9" s="230" t="inlineStr">
        <is>
          <t>COUENNE CUITE</t>
        </is>
      </c>
      <c r="N9" s="231">
        <f>'Recette viandes'!AD26</f>
        <v/>
      </c>
      <c r="O9" s="227" t="n"/>
      <c r="P9" s="228">
        <f>N9+O9</f>
        <v/>
      </c>
      <c r="Q9" s="257" t="n">
        <v>12.5</v>
      </c>
      <c r="R9" s="229">
        <f>P9-Q9</f>
        <v/>
      </c>
      <c r="S9" s="865" t="n"/>
      <c r="T9" s="866">
        <f>S9-R9</f>
        <v/>
      </c>
      <c r="U9" s="893">
        <f>T9/'Recette viandes'!N26</f>
        <v/>
      </c>
      <c r="V9" s="887" t="n"/>
      <c r="W9" s="229" t="n"/>
      <c r="X9" s="229" t="n"/>
      <c r="Y9" s="896" t="n"/>
      <c r="Z9" s="898" t="n"/>
      <c r="AA9" s="887" t="n"/>
      <c r="AB9" s="229" t="n"/>
      <c r="AC9" s="229" t="n"/>
      <c r="AD9" s="896" t="n"/>
      <c r="AE9" s="898" t="n"/>
      <c r="AF9" s="226" t="n"/>
      <c r="AG9" s="229" t="n"/>
      <c r="AH9" s="229" t="n"/>
      <c r="AI9" s="896" t="n"/>
      <c r="AJ9" s="898" t="n"/>
      <c r="AK9" s="887" t="n"/>
      <c r="AL9" s="229" t="n"/>
      <c r="AM9" s="229" t="n"/>
      <c r="AN9" s="896" t="n"/>
      <c r="AO9" s="898" t="n"/>
      <c r="AP9" s="887" t="n"/>
      <c r="AQ9" s="229" t="n"/>
      <c r="AR9" s="229" t="n"/>
      <c r="AS9" s="896" t="n"/>
      <c r="AT9" s="898" t="n"/>
      <c r="AU9" s="887" t="n"/>
      <c r="AV9" s="229" t="n"/>
      <c r="AW9" s="229" t="n"/>
      <c r="AX9" s="896" t="n"/>
      <c r="AY9" s="898" t="n"/>
      <c r="BB9" s="252" t="inlineStr">
        <is>
          <t>Chaudins 52/56 en 20cm</t>
        </is>
      </c>
      <c r="BC9" s="253" t="n"/>
      <c r="BD9" s="253" t="n"/>
      <c r="BE9" s="253" t="n"/>
      <c r="BF9" s="253">
        <f>BC9+BE9</f>
        <v/>
      </c>
      <c r="BG9" s="253" t="n"/>
      <c r="BH9" s="253" t="n"/>
      <c r="BI9" s="253" t="n"/>
      <c r="BJ9" s="253" t="n"/>
      <c r="BK9" s="253" t="n"/>
      <c r="BL9" s="253">
        <f>BJ9-BI9</f>
        <v/>
      </c>
      <c r="BM9" s="253" t="n"/>
      <c r="BN9" s="253" t="n"/>
    </row>
    <row r="10" ht="81" customHeight="1" s="1025">
      <c r="A10" s="200" t="inlineStr">
        <is>
          <t>POIVRE NOIR CONCASSE</t>
        </is>
      </c>
      <c r="B10" s="201">
        <f>'Halal 350 BN Pimenté'!E12+'Halal G.P - 200 et BN '!E13+'Halal G.P - 200 et BN '!M13+'Halal G.P - 200 et BN '!U13</f>
        <v/>
      </c>
      <c r="C10" s="202" t="n"/>
      <c r="E10" s="203" t="inlineStr">
        <is>
          <t>LAVANDE</t>
        </is>
      </c>
      <c r="F10" s="204">
        <f>'Spécialité Autres'!Q62</f>
        <v/>
      </c>
      <c r="G10" s="205" t="n"/>
      <c r="I10" s="200" t="inlineStr">
        <is>
          <t>MARC DE SAVOIE</t>
        </is>
      </c>
      <c r="J10" s="201">
        <f>SAG!F12+'A cuire'!K28</f>
        <v/>
      </c>
      <c r="K10" s="202" t="n"/>
      <c r="M10" s="230" t="inlineStr">
        <is>
          <t>TÊTE DE PORC CUITE</t>
        </is>
      </c>
      <c r="N10" s="231">
        <f>'Recette viandes'!AD27</f>
        <v/>
      </c>
      <c r="O10" s="227" t="n"/>
      <c r="P10" s="228">
        <f>N10+O10</f>
        <v/>
      </c>
      <c r="Q10" s="257" t="n">
        <v>0</v>
      </c>
      <c r="R10" s="229">
        <f>P10-Q10</f>
        <v/>
      </c>
      <c r="S10" s="865" t="n"/>
      <c r="T10" s="866">
        <f>S10-R10</f>
        <v/>
      </c>
      <c r="U10" s="893">
        <f>T10/'Recette viandes'!N27</f>
        <v/>
      </c>
      <c r="V10" s="887" t="n"/>
      <c r="W10" s="229" t="n"/>
      <c r="X10" s="229" t="n"/>
      <c r="Y10" s="896" t="n"/>
      <c r="Z10" s="898" t="n"/>
      <c r="AA10" s="887" t="n"/>
      <c r="AB10" s="229" t="n"/>
      <c r="AC10" s="229" t="n"/>
      <c r="AD10" s="896" t="n"/>
      <c r="AE10" s="898" t="n"/>
      <c r="AF10" s="226" t="n"/>
      <c r="AG10" s="229" t="n"/>
      <c r="AH10" s="229" t="n"/>
      <c r="AI10" s="896" t="n"/>
      <c r="AJ10" s="898" t="n"/>
      <c r="AK10" s="887" t="n"/>
      <c r="AL10" s="229" t="n"/>
      <c r="AM10" s="229" t="n"/>
      <c r="AN10" s="896" t="n"/>
      <c r="AO10" s="898" t="n"/>
      <c r="AP10" s="887" t="n"/>
      <c r="AQ10" s="229" t="n"/>
      <c r="AR10" s="229" t="n"/>
      <c r="AS10" s="896" t="n"/>
      <c r="AT10" s="898" t="n"/>
      <c r="AU10" s="887" t="n"/>
      <c r="AV10" s="229" t="n"/>
      <c r="AW10" s="229" t="n"/>
      <c r="AX10" s="896" t="n"/>
      <c r="AY10" s="898" t="n"/>
      <c r="BB10" s="252" t="inlineStr">
        <is>
          <t>Chaudins 52/56 
en 20cm</t>
        </is>
      </c>
      <c r="BC10" s="255" t="n"/>
      <c r="BD10" s="253" t="inlineStr">
        <is>
          <t>BOUTS</t>
        </is>
      </c>
      <c r="BE10" s="255" t="n"/>
      <c r="BF10" s="253">
        <f>BC10+BE10</f>
        <v/>
      </c>
      <c r="BG10" s="255" t="n"/>
      <c r="BH10" s="253" t="inlineStr">
        <is>
          <t>BOUTS</t>
        </is>
      </c>
      <c r="BI10" s="255" t="n"/>
      <c r="BJ10" s="255" t="n"/>
      <c r="BK10" s="253" t="inlineStr">
        <is>
          <t>BOUTS</t>
        </is>
      </c>
      <c r="BL10" s="255" t="n"/>
      <c r="BM10" s="255" t="n"/>
      <c r="BN10" s="255" t="n"/>
    </row>
    <row r="11" ht="81" customHeight="1" s="1025">
      <c r="A11" s="200" t="inlineStr">
        <is>
          <t>AIL SEMOULE</t>
        </is>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
      </c>
      <c r="C11" s="202" t="n"/>
      <c r="E11" s="203" t="inlineStr">
        <is>
          <t>BETTERAVE ROUGE</t>
        </is>
      </c>
      <c r="F11" s="204">
        <f>'Halal G.P - 200 et BN '!E20+'Halal G.P - 200 et BN '!M20+'Halal G.P - 200 et BN '!U20</f>
        <v/>
      </c>
      <c r="G11" s="205" t="n"/>
      <c r="I11" s="200" t="inlineStr">
        <is>
          <t>HUILE D'OLIVE</t>
        </is>
      </c>
      <c r="J11" s="201">
        <f>'Spécialité Autres'!K45</f>
        <v/>
      </c>
      <c r="K11" s="202" t="n"/>
      <c r="M11" s="230" t="inlineStr">
        <is>
          <t>VIANDE DE TAUREAU</t>
        </is>
      </c>
      <c r="N11" s="231">
        <f>'Recette viandes'!AC10</f>
        <v/>
      </c>
      <c r="O11" s="227" t="n"/>
      <c r="P11" s="228">
        <f>N11+O11</f>
        <v/>
      </c>
      <c r="Q11" s="257" t="n">
        <v>449</v>
      </c>
      <c r="R11" s="229">
        <f>P11-Q11</f>
        <v/>
      </c>
      <c r="S11" s="865" t="n"/>
      <c r="T11" s="866">
        <f>S11-R11</f>
        <v/>
      </c>
      <c r="U11" s="893">
        <f>T11/'Recette viandes'!U10</f>
        <v/>
      </c>
      <c r="V11" s="887" t="n"/>
      <c r="W11" s="229" t="n"/>
      <c r="X11" s="229" t="n"/>
      <c r="Y11" s="896" t="n"/>
      <c r="Z11" s="898" t="n"/>
      <c r="AA11" s="887" t="n"/>
      <c r="AB11" s="229" t="n"/>
      <c r="AC11" s="229" t="n"/>
      <c r="AD11" s="896" t="n"/>
      <c r="AE11" s="898" t="n"/>
      <c r="AF11" s="226" t="n"/>
      <c r="AG11" s="229" t="n"/>
      <c r="AH11" s="229" t="n"/>
      <c r="AI11" s="896" t="n"/>
      <c r="AJ11" s="898" t="n"/>
      <c r="AK11" s="887" t="n"/>
      <c r="AL11" s="229" t="n"/>
      <c r="AM11" s="229" t="n"/>
      <c r="AN11" s="896" t="n"/>
      <c r="AO11" s="898" t="n"/>
      <c r="AP11" s="887" t="n"/>
      <c r="AQ11" s="229" t="n"/>
      <c r="AR11" s="229" t="n"/>
      <c r="AS11" s="896" t="n"/>
      <c r="AT11" s="898" t="n"/>
      <c r="AU11" s="887" t="n"/>
      <c r="AV11" s="229" t="n"/>
      <c r="AW11" s="229" t="n"/>
      <c r="AX11" s="896" t="n"/>
      <c r="AY11" s="898" t="n"/>
      <c r="BB11" s="252" t="n"/>
      <c r="BC11" s="255" t="n"/>
      <c r="BD11" s="253" t="n"/>
      <c r="BE11" s="255" t="n"/>
      <c r="BF11" s="253">
        <f>BC11+BE11</f>
        <v/>
      </c>
      <c r="BG11" s="255" t="n"/>
      <c r="BH11" s="253" t="n"/>
      <c r="BI11" s="255" t="n"/>
      <c r="BJ11" s="255" t="n"/>
      <c r="BK11" s="253" t="n"/>
      <c r="BL11" s="255">
        <f>BJ11-BI11</f>
        <v/>
      </c>
      <c r="BM11" s="255" t="n"/>
      <c r="BN11" s="255" t="n"/>
    </row>
    <row r="12" ht="81" customHeight="1" s="1025">
      <c r="A12" s="200" t="inlineStr">
        <is>
          <t>ERYTHORBATE DE SODIUM</t>
        </is>
      </c>
      <c r="B12" s="201">
        <f>'A cuire'!E7+'A cuire'!K7+'A cuire'!E20+'A cuire'!K20</f>
        <v/>
      </c>
      <c r="C12" s="202" t="n"/>
      <c r="E12" s="203" t="inlineStr">
        <is>
          <t>ARÔME DE PAPRIKA</t>
        </is>
      </c>
      <c r="F12" s="204">
        <f>'Halrizo 200 + GP '!O20+'Halrizo 200 + GP '!Z20</f>
        <v/>
      </c>
      <c r="G12" s="205" t="n"/>
      <c r="I12" s="200" t="inlineStr">
        <is>
          <t>FIGUES</t>
        </is>
      </c>
      <c r="J12" s="201">
        <f>'Spécialité Autres'!K62</f>
        <v/>
      </c>
      <c r="K12" s="202" t="n"/>
      <c r="M12" s="230" t="inlineStr">
        <is>
          <t>VIANDE DE CANARD</t>
        </is>
      </c>
      <c r="N12" s="231">
        <f>'Recette viandes'!AC11</f>
        <v/>
      </c>
      <c r="O12" s="227" t="n"/>
      <c r="P12" s="228">
        <f>N12+O12</f>
        <v/>
      </c>
      <c r="Q12" s="257" t="n">
        <v>0</v>
      </c>
      <c r="R12" s="229">
        <f>P12-Q12</f>
        <v/>
      </c>
      <c r="S12" s="865" t="n"/>
      <c r="T12" s="866">
        <f>S12-R12</f>
        <v/>
      </c>
      <c r="U12" s="894" t="inlineStr">
        <is>
          <t>VOIR DISPO SEPT 2023</t>
        </is>
      </c>
      <c r="V12" s="887" t="n"/>
      <c r="W12" s="229" t="n"/>
      <c r="X12" s="229" t="n"/>
      <c r="Y12" s="896" t="n"/>
      <c r="Z12" s="898" t="n"/>
      <c r="AA12" s="887" t="n"/>
      <c r="AB12" s="229" t="n"/>
      <c r="AC12" s="229" t="n"/>
      <c r="AD12" s="896" t="n"/>
      <c r="AE12" s="898" t="n"/>
      <c r="AF12" s="226" t="n"/>
      <c r="AG12" s="229" t="n"/>
      <c r="AH12" s="229" t="n"/>
      <c r="AI12" s="896" t="n"/>
      <c r="AJ12" s="898" t="n"/>
      <c r="AK12" s="887" t="n"/>
      <c r="AL12" s="229" t="n"/>
      <c r="AM12" s="229" t="n"/>
      <c r="AN12" s="896" t="n"/>
      <c r="AO12" s="898" t="n"/>
      <c r="AP12" s="887" t="n"/>
      <c r="AQ12" s="229" t="n"/>
      <c r="AR12" s="229" t="n"/>
      <c r="AS12" s="896" t="n"/>
      <c r="AT12" s="898" t="n"/>
      <c r="AU12" s="887" t="n"/>
      <c r="AV12" s="229" t="n"/>
      <c r="AW12" s="229" t="n"/>
      <c r="AX12" s="896" t="n"/>
      <c r="AY12" s="898" t="n"/>
      <c r="BB12" s="252" t="n"/>
      <c r="BC12" s="255" t="n"/>
      <c r="BD12" s="253" t="n"/>
      <c r="BE12" s="255" t="n"/>
      <c r="BF12" s="253">
        <f>BC12+BE12</f>
        <v/>
      </c>
      <c r="BG12" s="255" t="n"/>
      <c r="BH12" s="253" t="n"/>
      <c r="BI12" s="255" t="n"/>
      <c r="BJ12" s="255" t="n"/>
      <c r="BK12" s="253" t="n"/>
      <c r="BL12" s="255">
        <f>BJ12-BI12</f>
        <v/>
      </c>
      <c r="BM12" s="255" t="n"/>
      <c r="BN12" s="255" t="n"/>
    </row>
    <row r="13" ht="81" customHeight="1" s="1025">
      <c r="A13" s="203" t="inlineStr">
        <is>
          <t>PHOSPHATE (E450+E451)</t>
        </is>
      </c>
      <c r="B13" s="204">
        <f>'Halrizo 200 + GP '!O14+'Halrizo 200 + GP '!Z14+'Halal 350 BN Pimenté'!E14+'Halal G.P - 200 et BN '!E15+'Halal G.P - 200 et BN '!M15+'Halal G.P - 200 et BN '!U15</f>
        <v/>
      </c>
      <c r="C13" s="205" t="n"/>
      <c r="E13" s="203" t="n"/>
      <c r="F13" s="204" t="n"/>
      <c r="G13" s="205" t="n"/>
      <c r="I13" s="200" t="inlineStr">
        <is>
          <t>MYRTILLES</t>
        </is>
      </c>
      <c r="J13" s="201">
        <f>'Spécialité Autres'!E28</f>
        <v/>
      </c>
      <c r="K13" s="202" t="n"/>
      <c r="M13" s="230" t="inlineStr">
        <is>
          <t>VIANDE DE CERF</t>
        </is>
      </c>
      <c r="N13" s="231">
        <f>'Recette viandes'!AC12</f>
        <v/>
      </c>
      <c r="O13" s="227" t="n"/>
      <c r="P13" s="228">
        <f>N13+O13</f>
        <v/>
      </c>
      <c r="Q13" s="257" t="n">
        <v>414</v>
      </c>
      <c r="R13" s="229">
        <f>P13-Q13</f>
        <v/>
      </c>
      <c r="S13" s="865" t="n"/>
      <c r="T13" s="866">
        <f>S13-R13</f>
        <v/>
      </c>
      <c r="U13" s="893">
        <f>T13/'Recette viandes'!Y12</f>
        <v/>
      </c>
      <c r="V13" s="887" t="n"/>
      <c r="W13" s="229" t="n"/>
      <c r="X13" s="229" t="n"/>
      <c r="Y13" s="896" t="n"/>
      <c r="Z13" s="898" t="n"/>
      <c r="AA13" s="887" t="n"/>
      <c r="AB13" s="229" t="n"/>
      <c r="AC13" s="229" t="n"/>
      <c r="AD13" s="896" t="n"/>
      <c r="AE13" s="898" t="n"/>
      <c r="AF13" s="226" t="n"/>
      <c r="AG13" s="229" t="n"/>
      <c r="AH13" s="229" t="n"/>
      <c r="AI13" s="896" t="n"/>
      <c r="AJ13" s="898" t="n"/>
      <c r="AK13" s="887" t="n"/>
      <c r="AL13" s="229" t="n"/>
      <c r="AM13" s="229" t="n"/>
      <c r="AN13" s="896" t="n"/>
      <c r="AO13" s="898" t="n"/>
      <c r="AP13" s="887" t="n"/>
      <c r="AQ13" s="229" t="n"/>
      <c r="AR13" s="229" t="n"/>
      <c r="AS13" s="896" t="n"/>
      <c r="AT13" s="898" t="n"/>
      <c r="AU13" s="887" t="n"/>
      <c r="AV13" s="229" t="n"/>
      <c r="AW13" s="229" t="n"/>
      <c r="AX13" s="896" t="n"/>
      <c r="AY13" s="898" t="n"/>
      <c r="BB13" s="252" t="n"/>
      <c r="BC13" s="255" t="n"/>
      <c r="BD13" s="253" t="n"/>
      <c r="BE13" s="255" t="n"/>
      <c r="BF13" s="253">
        <f>BC13+BE13</f>
        <v/>
      </c>
      <c r="BG13" s="255" t="n"/>
      <c r="BH13" s="253" t="n"/>
      <c r="BI13" s="255" t="n"/>
      <c r="BJ13" s="255" t="n"/>
      <c r="BK13" s="253" t="n"/>
      <c r="BL13" s="255">
        <f>BJ13-BI13</f>
        <v/>
      </c>
      <c r="BM13" s="255" t="n"/>
      <c r="BN13" s="255" t="n"/>
    </row>
    <row r="14" ht="81" customHeight="1" s="1025" thickBot="1">
      <c r="I14" s="200" t="inlineStr">
        <is>
          <t>CEPES</t>
        </is>
      </c>
      <c r="J14" s="201">
        <f>'Spécialité Autres'!E44</f>
        <v/>
      </c>
      <c r="K14" s="202" t="n"/>
      <c r="M14" s="230" t="inlineStr">
        <is>
          <t>VIANDE DE SANGLIER</t>
        </is>
      </c>
      <c r="N14" s="231">
        <f>'Recette viandes'!AC13</f>
        <v/>
      </c>
      <c r="O14" s="227" t="n"/>
      <c r="P14" s="228">
        <f>N14+O14</f>
        <v/>
      </c>
      <c r="Q14" s="257" t="n">
        <v>820</v>
      </c>
      <c r="R14" s="229">
        <f>P14-Q14</f>
        <v/>
      </c>
      <c r="S14" s="865" t="n"/>
      <c r="T14" s="866">
        <f>S14-R14</f>
        <v/>
      </c>
      <c r="U14" s="893">
        <f>T14/'Recette viandes'!AA13</f>
        <v/>
      </c>
      <c r="V14" s="887" t="n"/>
      <c r="W14" s="229" t="n"/>
      <c r="X14" s="229" t="n"/>
      <c r="Y14" s="896" t="n"/>
      <c r="Z14" s="898" t="n"/>
      <c r="AA14" s="887" t="n"/>
      <c r="AB14" s="229" t="n"/>
      <c r="AC14" s="229" t="n"/>
      <c r="AD14" s="896" t="n"/>
      <c r="AE14" s="898" t="n"/>
      <c r="AF14" s="226" t="n"/>
      <c r="AG14" s="229" t="n"/>
      <c r="AH14" s="229" t="n"/>
      <c r="AI14" s="896" t="n"/>
      <c r="AJ14" s="898" t="n"/>
      <c r="AK14" s="887" t="n"/>
      <c r="AL14" s="229" t="n"/>
      <c r="AM14" s="229" t="n"/>
      <c r="AN14" s="896" t="n"/>
      <c r="AO14" s="898" t="n"/>
      <c r="AP14" s="887" t="n"/>
      <c r="AQ14" s="229" t="n"/>
      <c r="AR14" s="229" t="n"/>
      <c r="AS14" s="896" t="n"/>
      <c r="AT14" s="898" t="n"/>
      <c r="AU14" s="887" t="n"/>
      <c r="AV14" s="229" t="n"/>
      <c r="AW14" s="229" t="n"/>
      <c r="AX14" s="896" t="n"/>
      <c r="AY14" s="898" t="n"/>
      <c r="AZ14" s="252" t="n"/>
      <c r="BB14" s="252" t="inlineStr">
        <is>
          <t>Chaudins 53/57 
en 24cm</t>
        </is>
      </c>
      <c r="BC14" s="255" t="n"/>
      <c r="BD14" s="253" t="inlineStr">
        <is>
          <t>BOUTS</t>
        </is>
      </c>
      <c r="BE14" s="255" t="n"/>
      <c r="BF14" s="253">
        <f>BC14+BE14</f>
        <v/>
      </c>
      <c r="BG14" s="255" t="n"/>
      <c r="BH14" s="253" t="inlineStr">
        <is>
          <t>BOUTS</t>
        </is>
      </c>
      <c r="BI14" s="255" t="n"/>
      <c r="BJ14" s="255" t="n"/>
      <c r="BK14" s="253" t="inlineStr">
        <is>
          <t>BOUTS</t>
        </is>
      </c>
      <c r="BL14" s="255" t="n"/>
      <c r="BM14" s="255" t="n"/>
      <c r="BN14" s="255" t="n"/>
    </row>
    <row r="15" ht="81" customHeight="1" s="1025" thickBot="1">
      <c r="A15" s="949" t="inlineStr">
        <is>
          <t>FERMENT</t>
        </is>
      </c>
      <c r="B15" s="919" t="n"/>
      <c r="C15" s="932" t="n"/>
      <c r="I15" s="200" t="inlineStr">
        <is>
          <t>OIGNONS</t>
        </is>
      </c>
      <c r="J15" s="201">
        <f>'Spécialité Fromagère'!K29</f>
        <v/>
      </c>
      <c r="K15" s="202" t="n"/>
      <c r="M15" s="230" t="inlineStr">
        <is>
          <t>MINERAI DE BŒUF HALAL</t>
        </is>
      </c>
      <c r="N15" s="231">
        <f>'Recette viandes'!F8</f>
        <v/>
      </c>
      <c r="O15" s="227" t="n"/>
      <c r="P15" s="228">
        <f>N15+O15</f>
        <v/>
      </c>
      <c r="Q15" s="257" t="n">
        <v>1190</v>
      </c>
      <c r="R15" s="229">
        <f>P15-Q15</f>
        <v/>
      </c>
      <c r="S15" s="865" t="n"/>
      <c r="T15" s="866">
        <f>S15-R15</f>
        <v/>
      </c>
      <c r="U15" s="893">
        <f>T15/'Recette viandes'!D8</f>
        <v/>
      </c>
      <c r="V15" s="887" t="n"/>
      <c r="W15" s="229" t="n"/>
      <c r="X15" s="229" t="n"/>
      <c r="Y15" s="896" t="n"/>
      <c r="Z15" s="898" t="n"/>
      <c r="AA15" s="887" t="n"/>
      <c r="AB15" s="229" t="n"/>
      <c r="AC15" s="229" t="n"/>
      <c r="AD15" s="896" t="n"/>
      <c r="AE15" s="898" t="n"/>
      <c r="AF15" s="226" t="n"/>
      <c r="AG15" s="229" t="n"/>
      <c r="AH15" s="229" t="n"/>
      <c r="AI15" s="896" t="n"/>
      <c r="AJ15" s="898" t="n"/>
      <c r="AK15" s="887" t="n"/>
      <c r="AL15" s="229" t="n"/>
      <c r="AM15" s="229" t="n"/>
      <c r="AN15" s="896" t="n"/>
      <c r="AO15" s="898" t="n"/>
      <c r="AP15" s="887" t="n"/>
      <c r="AQ15" s="229" t="n"/>
      <c r="AR15" s="229" t="n"/>
      <c r="AS15" s="896" t="n"/>
      <c r="AT15" s="898" t="n"/>
      <c r="AU15" s="887" t="n"/>
      <c r="AV15" s="229" t="n"/>
      <c r="AW15" s="229" t="n"/>
      <c r="AX15" s="896" t="n"/>
      <c r="AY15" s="898" t="n"/>
      <c r="AZ15" s="252" t="n"/>
      <c r="BB15" s="252" t="n"/>
      <c r="BC15" s="251" t="n"/>
      <c r="BD15" s="253" t="n"/>
      <c r="BE15" s="253" t="n"/>
      <c r="BF15" s="253" t="n"/>
      <c r="BG15" s="253" t="n"/>
      <c r="BH15" s="253" t="n"/>
      <c r="BI15" s="253" t="n"/>
      <c r="BJ15" s="253" t="n"/>
      <c r="BK15" s="253" t="n"/>
      <c r="BL15" s="253" t="n"/>
      <c r="BM15" s="253" t="n"/>
      <c r="BN15" s="253" t="n"/>
    </row>
    <row r="16" ht="81" customHeight="1" s="1025">
      <c r="A16" s="206" t="inlineStr">
        <is>
          <t>BC 40 (100 kg)</t>
        </is>
      </c>
      <c r="B16" s="207">
        <f>'A cuire'!E12+'A cuire'!K12+'A cuire'!K25</f>
        <v/>
      </c>
      <c r="C16" s="208" t="n"/>
      <c r="I16" s="200" t="inlineStr">
        <is>
          <t>OLIVES VERTES</t>
        </is>
      </c>
      <c r="J16" s="201">
        <f>'Spécialité Autres'!K44</f>
        <v/>
      </c>
      <c r="K16" s="202" t="n"/>
      <c r="M16" s="230" t="inlineStr">
        <is>
          <t>GRAS DE BŒUF HALAL</t>
        </is>
      </c>
      <c r="N16" s="231">
        <f>'Recette viandes'!F10</f>
        <v/>
      </c>
      <c r="O16" s="227" t="n"/>
      <c r="P16" s="228">
        <f>N16+O16</f>
        <v/>
      </c>
      <c r="Q16" s="257" t="n">
        <v>1424</v>
      </c>
      <c r="R16" s="229">
        <f>P16-Q16</f>
        <v/>
      </c>
      <c r="S16" s="865" t="n"/>
      <c r="T16" s="866">
        <f>S16-R16</f>
        <v/>
      </c>
      <c r="U16" s="893">
        <f>T16/'Recette viandes'!B10</f>
        <v/>
      </c>
      <c r="V16" s="887" t="n"/>
      <c r="W16" s="229" t="n"/>
      <c r="X16" s="229" t="n"/>
      <c r="Y16" s="896" t="n"/>
      <c r="Z16" s="898" t="n"/>
      <c r="AA16" s="887" t="n"/>
      <c r="AB16" s="229" t="n"/>
      <c r="AC16" s="229" t="n"/>
      <c r="AD16" s="896" t="n"/>
      <c r="AE16" s="898" t="n"/>
      <c r="AF16" s="226" t="n"/>
      <c r="AG16" s="229" t="n"/>
      <c r="AH16" s="229" t="n"/>
      <c r="AI16" s="896" t="n"/>
      <c r="AJ16" s="898" t="n"/>
      <c r="AK16" s="887" t="n"/>
      <c r="AL16" s="229" t="n"/>
      <c r="AM16" s="229" t="n"/>
      <c r="AN16" s="896" t="n"/>
      <c r="AO16" s="898" t="n"/>
      <c r="AP16" s="887" t="n"/>
      <c r="AQ16" s="229" t="n"/>
      <c r="AR16" s="229" t="n"/>
      <c r="AS16" s="896" t="n"/>
      <c r="AT16" s="898" t="n"/>
      <c r="AU16" s="887" t="n"/>
      <c r="AV16" s="229" t="n"/>
      <c r="AW16" s="229" t="n"/>
      <c r="AX16" s="896" t="n"/>
      <c r="AY16" s="898" t="n"/>
      <c r="BB16" s="252" t="inlineStr">
        <is>
          <t>Chaudins 63/66 
en 24cm</t>
        </is>
      </c>
      <c r="BC16" s="253">
        <f>('PLANNING DE FABRICATION'!E29+'PLANNING DE FABRICATION'!E34+'PLANNING DE FABRICATION'!E44)*250*2</f>
        <v/>
      </c>
      <c r="BD16" s="253" t="inlineStr">
        <is>
          <t>BOUTS</t>
        </is>
      </c>
      <c r="BE16" s="254" t="n"/>
      <c r="BF16" s="253">
        <f>BC16+BE16</f>
        <v/>
      </c>
      <c r="BG16" s="254" t="n"/>
      <c r="BH16" s="253" t="inlineStr">
        <is>
          <t>BOUTS</t>
        </is>
      </c>
      <c r="BI16" s="253">
        <f>BF16-BG16</f>
        <v/>
      </c>
      <c r="BJ16" s="253">
        <f>BM16*3200</f>
        <v/>
      </c>
      <c r="BK16" s="253" t="inlineStr">
        <is>
          <t>BOUTS</t>
        </is>
      </c>
      <c r="BL16" s="253">
        <f>BJ16-BI16</f>
        <v/>
      </c>
      <c r="BM16" s="254" t="n"/>
      <c r="BN16" s="253" t="inlineStr">
        <is>
          <t>FUTS</t>
        </is>
      </c>
    </row>
    <row r="17" ht="81" customHeight="1" s="1025">
      <c r="A17" s="200" t="inlineStr">
        <is>
          <t>MF 244 (150 kg)</t>
        </is>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
      </c>
      <c r="C17" s="202" t="n"/>
      <c r="I17" s="200" t="inlineStr">
        <is>
          <t>VIN SABODET</t>
        </is>
      </c>
      <c r="J17" s="201">
        <f>'A cuire'!E25</f>
        <v/>
      </c>
      <c r="K17" s="202" t="n"/>
      <c r="M17" s="230" t="inlineStr">
        <is>
          <t>FLANCHET DE DINDE HALAL</t>
        </is>
      </c>
      <c r="N17" s="231">
        <f>'Recette viandes'!F11</f>
        <v/>
      </c>
      <c r="O17" s="227" t="n"/>
      <c r="P17" s="228">
        <f>N17+O17</f>
        <v/>
      </c>
      <c r="Q17" s="257" t="n">
        <v>2755</v>
      </c>
      <c r="R17" s="229">
        <f>P17-Q17</f>
        <v/>
      </c>
      <c r="S17" s="865" t="n"/>
      <c r="T17" s="866">
        <f>S17-R17</f>
        <v/>
      </c>
      <c r="U17" s="893">
        <f>T17/'Recette viandes'!B11</f>
        <v/>
      </c>
      <c r="V17" s="887" t="n"/>
      <c r="W17" s="229" t="n"/>
      <c r="X17" s="229" t="n"/>
      <c r="Y17" s="896" t="n"/>
      <c r="Z17" s="898" t="n"/>
      <c r="AA17" s="887" t="n"/>
      <c r="AB17" s="229" t="n"/>
      <c r="AC17" s="229" t="n"/>
      <c r="AD17" s="896" t="n"/>
      <c r="AE17" s="898" t="n"/>
      <c r="AF17" s="226" t="n"/>
      <c r="AG17" s="229" t="n"/>
      <c r="AH17" s="229" t="n"/>
      <c r="AI17" s="896" t="n"/>
      <c r="AJ17" s="898" t="n"/>
      <c r="AK17" s="887" t="n"/>
      <c r="AL17" s="229" t="n"/>
      <c r="AM17" s="229" t="n"/>
      <c r="AN17" s="896" t="n"/>
      <c r="AO17" s="898" t="n"/>
      <c r="AP17" s="887" t="n"/>
      <c r="AQ17" s="229" t="n"/>
      <c r="AR17" s="229" t="n"/>
      <c r="AS17" s="896" t="n"/>
      <c r="AT17" s="898" t="n"/>
      <c r="AU17" s="887" t="n"/>
      <c r="AV17" s="229" t="n"/>
      <c r="AW17" s="229" t="n"/>
      <c r="AX17" s="896" t="n"/>
      <c r="AY17" s="898" t="n"/>
      <c r="BB17" s="252" t="inlineStr">
        <is>
          <t>Chaudins 65/70 
en 45cm</t>
        </is>
      </c>
      <c r="BC17" s="253">
        <f>('PLANNING DE FABRICATION'!E16+'PLANNING DE FABRICATION'!E35+'PLANNING DE FABRICATION'!E45)*130</f>
        <v/>
      </c>
      <c r="BD17" s="253" t="inlineStr">
        <is>
          <t>BOUTS</t>
        </is>
      </c>
      <c r="BE17" s="254" t="n"/>
      <c r="BF17" s="253">
        <f>BC17+BE17</f>
        <v/>
      </c>
      <c r="BG17" s="258" t="n"/>
      <c r="BH17" s="253" t="inlineStr">
        <is>
          <t>BOUTS</t>
        </is>
      </c>
      <c r="BI17" s="253">
        <f>BF17-BG17</f>
        <v/>
      </c>
      <c r="BJ17" s="253">
        <f>BM17*1500</f>
        <v/>
      </c>
      <c r="BK17" s="253" t="inlineStr">
        <is>
          <t>BOUTS</t>
        </is>
      </c>
      <c r="BL17" s="253">
        <f>BJ17-BI17</f>
        <v/>
      </c>
      <c r="BM17" s="254" t="n"/>
      <c r="BN17" s="253" t="inlineStr">
        <is>
          <t>FUTS</t>
        </is>
      </c>
    </row>
    <row r="18" ht="81" customHeight="1" s="1025" thickBot="1">
      <c r="A18" s="200" t="inlineStr">
        <is>
          <t>MF 42R( 150 kg)</t>
        </is>
      </c>
      <c r="B18" s="201">
        <f>'Halrizo 200 + GP '!O21+'Halrizo 200 + GP '!Z21+'Halal 350 BN Pimenté'!E18+'Halal G.P - 200 et BN '!E19+'Halal G.P - 200 et BN '!M19+'Halal G.P - 200 et BN '!U19+'Spécialité Fromagère'!E28+' Snaking'!E14</f>
        <v/>
      </c>
      <c r="C18" s="202" t="n"/>
      <c r="I18" s="200" t="inlineStr">
        <is>
          <t>COMPLET CHORIZO HALAL</t>
        </is>
      </c>
      <c r="J18" s="201">
        <f>'Halrizo 200 + GP '!T8</f>
        <v/>
      </c>
      <c r="K18" s="202" t="n"/>
      <c r="V18" s="889" t="n"/>
      <c r="W18" s="889" t="n"/>
      <c r="X18" s="889" t="n"/>
      <c r="Y18" s="890" t="n"/>
      <c r="Z18" s="890" t="n"/>
      <c r="AA18" s="889" t="n"/>
      <c r="AB18" s="889" t="n"/>
      <c r="AC18" s="889" t="n"/>
      <c r="AD18" s="890" t="n"/>
      <c r="AE18" s="890" t="n"/>
      <c r="AF18" s="889" t="n"/>
      <c r="AG18" s="889" t="n"/>
      <c r="AH18" s="889" t="n"/>
      <c r="AI18" s="890" t="n"/>
      <c r="AJ18" s="890" t="n"/>
      <c r="AK18" s="889" t="n"/>
      <c r="AL18" s="889" t="n"/>
      <c r="AM18" s="889" t="n"/>
      <c r="AN18" s="890" t="n"/>
      <c r="AO18" s="890" t="n"/>
      <c r="AP18" s="889" t="n"/>
      <c r="AQ18" s="889" t="n"/>
      <c r="AR18" s="889" t="n"/>
      <c r="AS18" s="890" t="n"/>
      <c r="AT18" s="890" t="n"/>
      <c r="AU18" s="889" t="n"/>
      <c r="AV18" s="889" t="n"/>
      <c r="AW18" s="889" t="n"/>
      <c r="AX18" s="890" t="n"/>
      <c r="AY18" s="890" t="n"/>
      <c r="AZ18" s="251" t="n"/>
      <c r="BB18" s="252" t="inlineStr">
        <is>
          <t>Chaudins 48/53
 en 28cm</t>
        </is>
      </c>
      <c r="BC18" s="253">
        <f>('PLANNING DE FABRICATION'!E61+'PLANNING DE FABRICATION'!E64)*500</f>
        <v/>
      </c>
      <c r="BD18" s="253" t="inlineStr">
        <is>
          <t>BOUTS</t>
        </is>
      </c>
      <c r="BE18" s="254" t="n"/>
      <c r="BF18" s="253">
        <f>BC18+BE18</f>
        <v/>
      </c>
      <c r="BG18" s="258" t="n"/>
      <c r="BH18" s="253" t="inlineStr">
        <is>
          <t>BOUTS</t>
        </is>
      </c>
      <c r="BI18" s="253">
        <f>BF18-BG18</f>
        <v/>
      </c>
      <c r="BJ18" s="253">
        <f>BM18*4200</f>
        <v/>
      </c>
      <c r="BK18" s="253" t="inlineStr">
        <is>
          <t>BOUTS</t>
        </is>
      </c>
      <c r="BL18" s="253">
        <f>BJ18-BI18</f>
        <v/>
      </c>
      <c r="BM18" s="254" t="n"/>
      <c r="BN18" s="253" t="inlineStr">
        <is>
          <t>FUTS</t>
        </is>
      </c>
    </row>
    <row r="19" ht="81" customHeight="1" s="1025" thickBot="1">
      <c r="A19" s="209" t="inlineStr">
        <is>
          <t>NATAMAX</t>
        </is>
      </c>
      <c r="B19" s="438" t="n"/>
      <c r="C19" s="202" t="n"/>
      <c r="I19" s="200" t="inlineStr">
        <is>
          <t>PISTACHES</t>
        </is>
      </c>
      <c r="J19" s="201">
        <f>'A cuire'!K13</f>
        <v/>
      </c>
      <c r="K19" s="202" t="n"/>
      <c r="S19" s="892" t="n"/>
      <c r="V19" s="252" t="n"/>
      <c r="W19" s="252" t="n"/>
      <c r="X19" s="252" t="n"/>
      <c r="Y19" s="891" t="n"/>
      <c r="Z19" s="891" t="n"/>
      <c r="AA19" s="252" t="n"/>
      <c r="AB19" s="252" t="n"/>
      <c r="AC19" s="252" t="n"/>
      <c r="AD19" s="891" t="n"/>
      <c r="AE19" s="891" t="n"/>
      <c r="AF19" s="252" t="n"/>
      <c r="AG19" s="252" t="n"/>
      <c r="AH19" s="252" t="n"/>
      <c r="AI19" s="891" t="n"/>
      <c r="AJ19" s="891" t="n"/>
      <c r="AK19" s="252" t="n"/>
      <c r="AL19" s="252" t="n"/>
      <c r="AM19" s="252" t="n"/>
      <c r="AN19" s="891" t="n"/>
      <c r="AO19" s="891" t="n"/>
      <c r="AP19" s="252" t="n"/>
      <c r="AQ19" s="252" t="n"/>
      <c r="AR19" s="252" t="n"/>
      <c r="AS19" s="891" t="n"/>
      <c r="AT19" s="891" t="n"/>
      <c r="AU19" s="252" t="n"/>
      <c r="AV19" s="252" t="n"/>
      <c r="AW19" s="252" t="n"/>
      <c r="AX19" s="891" t="n"/>
      <c r="AY19" s="891" t="n"/>
    </row>
    <row r="20" ht="81" customHeight="1" s="1025">
      <c r="B20" s="274" t="n"/>
      <c r="C20" s="274" t="n"/>
      <c r="I20" s="203" t="inlineStr">
        <is>
          <t>TRUFFES</t>
        </is>
      </c>
      <c r="J20" s="204">
        <f>'A cuire'!K26</f>
        <v/>
      </c>
      <c r="K20" s="205" t="n"/>
      <c r="V20" s="252" t="n"/>
      <c r="W20" s="252" t="n"/>
      <c r="X20" s="252" t="n"/>
      <c r="Y20" s="891" t="n"/>
      <c r="Z20" s="891" t="n"/>
      <c r="AA20" s="252" t="n"/>
      <c r="AB20" s="252" t="n"/>
      <c r="AC20" s="252" t="n"/>
      <c r="AD20" s="891" t="n"/>
      <c r="AE20" s="891" t="n"/>
      <c r="AF20" s="252" t="n"/>
      <c r="AG20" s="252" t="n"/>
      <c r="AH20" s="252" t="n"/>
      <c r="AI20" s="891" t="n"/>
      <c r="AJ20" s="891" t="n"/>
      <c r="AK20" s="252" t="n"/>
      <c r="AL20" s="252" t="n"/>
      <c r="AM20" s="252" t="n"/>
      <c r="AN20" s="891" t="n"/>
      <c r="AO20" s="891" t="n"/>
      <c r="AP20" s="252" t="n"/>
      <c r="AQ20" s="252" t="n"/>
      <c r="AR20" s="252" t="n"/>
      <c r="AS20" s="891" t="n"/>
      <c r="AT20" s="891" t="n"/>
      <c r="AU20" s="252" t="n"/>
      <c r="AV20" s="252" t="n"/>
      <c r="AW20" s="252" t="n"/>
      <c r="AX20" s="891" t="n"/>
      <c r="AY20" s="891" t="n"/>
    </row>
    <row r="21" ht="126" customHeight="1" s="1025">
      <c r="I21" s="203" t="inlineStr">
        <is>
          <t>CEPES DE FRANCE</t>
        </is>
      </c>
      <c r="J21" s="204">
        <f>'A cuire'!K27</f>
        <v/>
      </c>
      <c r="K21" s="205" t="n"/>
      <c r="V21" s="252" t="n"/>
      <c r="W21" s="252" t="n"/>
      <c r="X21" s="252" t="n"/>
      <c r="Y21" s="891" t="n"/>
      <c r="Z21" s="891" t="n"/>
      <c r="AA21" s="252" t="n"/>
      <c r="AB21" s="252" t="n"/>
      <c r="AC21" s="252" t="n"/>
      <c r="AD21" s="891" t="n"/>
      <c r="AE21" s="891" t="n"/>
      <c r="AF21" s="252" t="n"/>
      <c r="AG21" s="252" t="n"/>
      <c r="AH21" s="252" t="n"/>
      <c r="AI21" s="891" t="n"/>
      <c r="AJ21" s="891" t="n"/>
      <c r="AK21" s="252" t="n"/>
      <c r="AL21" s="252" t="n"/>
      <c r="AM21" s="252" t="n"/>
      <c r="AN21" s="891" t="n"/>
      <c r="AO21" s="891" t="n"/>
      <c r="AP21" s="252" t="n"/>
      <c r="AQ21" s="252" t="n"/>
      <c r="AR21" s="252" t="n"/>
      <c r="AS21" s="891" t="n"/>
      <c r="AT21" s="891" t="n"/>
      <c r="AU21" s="252" t="n"/>
      <c r="AV21" s="252" t="n"/>
      <c r="AW21" s="252" t="n"/>
      <c r="AY21" s="891" t="n"/>
    </row>
    <row r="22" ht="87.75" customHeight="1" s="1025">
      <c r="I22" s="200" t="inlineStr">
        <is>
          <t>AIL DES OURS</t>
        </is>
      </c>
      <c r="J22" s="201">
        <f>'Spécialité Autres'!Q78</f>
        <v/>
      </c>
      <c r="K22" s="202" t="n"/>
      <c r="V22" s="252" t="n"/>
      <c r="W22" s="252" t="n"/>
      <c r="X22" s="252" t="n"/>
      <c r="Y22" s="891" t="n"/>
      <c r="Z22" s="891" t="n"/>
      <c r="AA22" s="252" t="n"/>
      <c r="AB22" s="252" t="n"/>
      <c r="AC22" s="252" t="n"/>
      <c r="AD22" s="891" t="n"/>
      <c r="AE22" s="891" t="n"/>
      <c r="AF22" s="252" t="n"/>
      <c r="AG22" s="252" t="n"/>
      <c r="AH22" s="252" t="n"/>
      <c r="AI22" s="891" t="n"/>
      <c r="AJ22" s="891" t="n"/>
      <c r="AK22" s="252" t="n"/>
      <c r="AL22" s="252" t="n"/>
      <c r="AM22" s="252" t="n"/>
      <c r="AN22" s="891" t="n"/>
      <c r="AO22" s="891" t="n"/>
      <c r="AP22" s="252" t="n"/>
      <c r="AQ22" s="252" t="n"/>
      <c r="AR22" s="252" t="n"/>
      <c r="AS22" s="891" t="n"/>
      <c r="AT22" s="891" t="n"/>
      <c r="AU22" s="252" t="n"/>
      <c r="AV22" s="252" t="n"/>
      <c r="AW22" s="252" t="n"/>
      <c r="AY22" s="891" t="n"/>
    </row>
    <row r="23" ht="60.75" customHeight="1" s="1025"/>
    <row r="24" ht="60.75" customHeight="1" s="1025"/>
    <row r="25" ht="60.75" customHeight="1" s="1025"/>
    <row r="26" ht="60.75" customHeight="1" s="1025"/>
    <row r="27" ht="60.75" customHeight="1" s="1025"/>
    <row r="30" ht="64.5" customHeight="1" s="1025"/>
    <row r="31" ht="64.5" customHeight="1" s="1025"/>
    <row r="32" ht="64.5" customHeight="1" s="1025"/>
    <row r="33" ht="64.5" customHeight="1" s="1025"/>
    <row r="34" ht="64.5" customHeight="1" s="1025"/>
    <row r="35" ht="64.5" customHeight="1" s="1025"/>
  </sheetData>
  <mergeCells count="6">
    <mergeCell ref="BB2:BN2"/>
    <mergeCell ref="E2:G2"/>
    <mergeCell ref="I2:K2"/>
    <mergeCell ref="M2:P2"/>
    <mergeCell ref="A15:C15"/>
    <mergeCell ref="A2:C2"/>
  </mergeCells>
  <printOptions horizontalCentered="1" verticalCentered="1"/>
  <pageMargins left="0.2362204724409449" right="0.2362204724409449" top="0.7480314960629921" bottom="0.7480314960629921" header="0.3149606299212598" footer="0.3149606299212598"/>
  <pageSetup orientation="portrait" paperSize="9" scale="45" fitToWidth="0"/>
  <legacyDrawing xmlns:r="http://schemas.openxmlformats.org/officeDocument/2006/relationships" r:id="anysvml"/>
</worksheet>
</file>

<file path=xl/worksheets/sheet3.xml><?xml version="1.0" encoding="utf-8"?>
<worksheet xmlns="http://schemas.openxmlformats.org/spreadsheetml/2006/main">
  <sheetPr codeName="Sheet3">
    <outlinePr summaryBelow="1" summaryRight="1"/>
    <pageSetUpPr/>
  </sheetPr>
  <dimension ref="A3:AD28"/>
  <sheetViews>
    <sheetView topLeftCell="A5" zoomScale="70" zoomScaleNormal="70" workbookViewId="0">
      <selection activeCell="D23" sqref="D23"/>
    </sheetView>
  </sheetViews>
  <sheetFormatPr baseColWidth="8" defaultColWidth="11.44140625" defaultRowHeight="19.2"/>
  <cols>
    <col width="25.88671875" customWidth="1" style="953" min="1" max="1"/>
    <col width="8.33203125" customWidth="1" style="953" min="2" max="11"/>
    <col width="8.44140625" customWidth="1" style="953" min="12" max="12"/>
    <col width="8.33203125" customWidth="1" style="953" min="13" max="17"/>
    <col width="8.44140625" customWidth="1" style="953" min="18" max="22"/>
    <col width="8.33203125" customWidth="1" style="953" min="23" max="24"/>
    <col width="8.109375" customWidth="1" style="953" min="25" max="32"/>
    <col width="11.44140625" customWidth="1" style="953" min="33" max="33"/>
    <col width="11.44140625" customWidth="1" style="953" min="34" max="16384"/>
  </cols>
  <sheetData>
    <row r="2" ht="23.25" customHeight="1" s="1025" thickBot="1"/>
    <row r="3" ht="23.25" customHeight="1" s="1025" thickBot="1">
      <c r="B3" s="967" t="inlineStr">
        <is>
          <t xml:space="preserve">HALAL  </t>
        </is>
      </c>
      <c r="C3" s="919" t="n"/>
      <c r="D3" s="919" t="n"/>
      <c r="E3" s="932" t="n"/>
      <c r="J3" s="956" t="inlineStr">
        <is>
          <t>BIO</t>
        </is>
      </c>
      <c r="K3" s="919" t="n"/>
      <c r="L3" s="919" t="n"/>
      <c r="M3" s="932" t="n"/>
      <c r="S3" s="968" t="inlineStr">
        <is>
          <t>SPECIALITES 200 GRS</t>
        </is>
      </c>
      <c r="T3" s="919" t="n"/>
      <c r="U3" s="919" t="n"/>
      <c r="V3" s="919" t="n"/>
      <c r="W3" s="919" t="n"/>
      <c r="X3" s="919" t="n"/>
      <c r="Y3" s="919" t="n"/>
      <c r="Z3" s="919" t="n"/>
      <c r="AA3" s="919" t="n"/>
      <c r="AB3" s="932" t="n"/>
    </row>
    <row r="4" ht="150.75" customFormat="1" customHeight="1" s="1012" thickBot="1">
      <c r="A4" s="1012" t="inlineStr">
        <is>
          <t>Nouvelle recette au 18/12/2019</t>
        </is>
      </c>
      <c r="B4" s="951" t="inlineStr">
        <is>
          <t>Halal 200
Halrizo 200
Halal 350 BN nature
Halal 350 BN pimenté</t>
        </is>
      </c>
      <c r="C4" s="932" t="n"/>
      <c r="D4" s="951" t="inlineStr">
        <is>
          <t>Halal G.P.
Halrizo G.P.</t>
        </is>
      </c>
      <c r="E4" s="932" t="n"/>
      <c r="J4" s="951" t="inlineStr">
        <is>
          <t>200 grs</t>
        </is>
      </c>
      <c r="K4" s="932" t="n"/>
      <c r="L4" s="951" t="inlineStr">
        <is>
          <t>A Cuire</t>
        </is>
      </c>
      <c r="M4" s="932" t="n"/>
      <c r="S4" s="951" t="inlineStr">
        <is>
          <t>Spécialité fromagères +
Spécialités Autres</t>
        </is>
      </c>
      <c r="T4" s="932" t="n"/>
      <c r="U4" s="951" t="inlineStr">
        <is>
          <t>Taureau 180-200</t>
        </is>
      </c>
      <c r="V4" s="932" t="n"/>
      <c r="W4" s="951" t="inlineStr">
        <is>
          <t>Canard 180-200</t>
        </is>
      </c>
      <c r="X4" s="932" t="n"/>
      <c r="Y4" s="951" t="inlineStr">
        <is>
          <t>Cerf 180-200</t>
        </is>
      </c>
      <c r="Z4" s="932" t="n"/>
      <c r="AA4" s="951" t="inlineStr">
        <is>
          <t>Sanglier 180-200</t>
        </is>
      </c>
      <c r="AB4" s="932" t="n"/>
    </row>
    <row r="5" ht="40.5" customFormat="1" customHeight="1" s="1012" thickBot="1">
      <c r="A5" s="970" t="inlineStr">
        <is>
          <t>Nombre de mêlées =</t>
        </is>
      </c>
      <c r="B5" s="176">
        <f>'PLANNING DE FABRICATION'!E7+'PLANNING DE FABRICATION'!E8+'PLANNING DE FABRICATION'!E9+'PLANNING DE FABRICATION'!E10</f>
        <v/>
      </c>
      <c r="C5" s="951" t="inlineStr">
        <is>
          <t>Qtt total</t>
        </is>
      </c>
      <c r="D5" s="176">
        <f>'PLANNING DE FABRICATION'!E11+'PLANNING DE FABRICATION'!E12</f>
        <v/>
      </c>
      <c r="E5" s="951" t="inlineStr">
        <is>
          <t>Qtt total</t>
        </is>
      </c>
      <c r="H5" s="974" t="inlineStr">
        <is>
          <t>Nombre de mêlées</t>
        </is>
      </c>
      <c r="I5" s="932" t="n"/>
      <c r="J5" s="176">
        <f>'PLANNING DE FABRICATION'!E94</f>
        <v/>
      </c>
      <c r="K5" s="144" t="inlineStr">
        <is>
          <t>Qtt total</t>
        </is>
      </c>
      <c r="L5" s="176">
        <f>'PLANNING DE FABRICATION'!E95</f>
        <v/>
      </c>
      <c r="M5" s="144" t="inlineStr">
        <is>
          <t>Qtt total</t>
        </is>
      </c>
      <c r="P5" s="970" t="inlineStr">
        <is>
          <t>Nombre de mêlées =</t>
        </is>
      </c>
      <c r="Q5" s="919" t="n"/>
      <c r="R5" s="932" t="n"/>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
      </c>
      <c r="T5" s="145" t="inlineStr">
        <is>
          <t>Qtt total</t>
        </is>
      </c>
      <c r="U5" s="176">
        <f>'PLANNING DE FABRICATION'!E89</f>
        <v/>
      </c>
      <c r="V5" s="144" t="inlineStr">
        <is>
          <t>Qtt total</t>
        </is>
      </c>
      <c r="W5" s="176">
        <f>'PLANNING DE FABRICATION'!E90</f>
        <v/>
      </c>
      <c r="X5" s="144" t="inlineStr">
        <is>
          <t>Qtt total</t>
        </is>
      </c>
      <c r="Y5" s="176">
        <f>'PLANNING DE FABRICATION'!E88</f>
        <v/>
      </c>
      <c r="Z5" s="144" t="inlineStr">
        <is>
          <t>Qtt total</t>
        </is>
      </c>
      <c r="AA5" s="176">
        <f>'PLANNING DE FABRICATION'!E87</f>
        <v/>
      </c>
      <c r="AB5" s="144" t="inlineStr">
        <is>
          <t>Qtt total</t>
        </is>
      </c>
    </row>
    <row r="6">
      <c r="A6" s="216" t="inlineStr">
        <is>
          <t>Cuisse de dinde</t>
        </is>
      </c>
      <c r="B6" s="217" t="n">
        <v>0</v>
      </c>
      <c r="C6" s="148">
        <f>$B$5*B6</f>
        <v/>
      </c>
      <c r="D6" s="219" t="n">
        <v>0</v>
      </c>
      <c r="E6" s="148">
        <f>D6*$D$5</f>
        <v/>
      </c>
      <c r="F6" s="183">
        <f>C6+E6</f>
        <v/>
      </c>
      <c r="H6" s="960" t="inlineStr">
        <is>
          <t>Epaules 4D BIO</t>
        </is>
      </c>
      <c r="I6" s="961" t="n"/>
      <c r="J6" s="149" t="n">
        <v>130</v>
      </c>
      <c r="K6" s="150">
        <f>$J$5*J6</f>
        <v/>
      </c>
      <c r="L6" s="149" t="n"/>
      <c r="M6" s="182">
        <f>$L$5*L6</f>
        <v/>
      </c>
      <c r="N6" s="183">
        <f>K6+M6</f>
        <v/>
      </c>
      <c r="P6" s="975" t="inlineStr">
        <is>
          <t>Epaule 3D</t>
        </is>
      </c>
      <c r="Q6" s="976" t="n"/>
      <c r="R6" s="977" t="n"/>
      <c r="S6" s="147" t="n">
        <v>69</v>
      </c>
      <c r="T6" s="148">
        <f>$S$5*S6</f>
        <v/>
      </c>
      <c r="U6" s="149" t="n">
        <v>45</v>
      </c>
      <c r="V6" s="150">
        <f>$U$5*U6</f>
        <v/>
      </c>
      <c r="W6" s="149" t="n">
        <v>45</v>
      </c>
      <c r="X6" s="150">
        <f>$W$5*W6</f>
        <v/>
      </c>
      <c r="Y6" s="149" t="n">
        <v>45</v>
      </c>
      <c r="Z6" s="150">
        <f>$Y$5*Y6</f>
        <v/>
      </c>
      <c r="AA6" s="149" t="n">
        <v>45</v>
      </c>
      <c r="AB6" s="182">
        <f>$AA$5*AA6</f>
        <v/>
      </c>
      <c r="AC6" s="183">
        <f>T6+V6+X6+Z6+AB6</f>
        <v/>
      </c>
    </row>
    <row r="7" ht="23.25" customHeight="1" s="1025" thickBot="1">
      <c r="A7" s="220" t="inlineStr">
        <is>
          <t>Viande rouge Dinde</t>
        </is>
      </c>
      <c r="B7" s="221" t="n">
        <v>0</v>
      </c>
      <c r="C7" s="152">
        <f>$B$5*B7</f>
        <v/>
      </c>
      <c r="D7" s="222" t="n">
        <v>0</v>
      </c>
      <c r="E7" s="152">
        <f>D7*$D$5</f>
        <v/>
      </c>
      <c r="F7" s="188">
        <f>C7+E7</f>
        <v/>
      </c>
      <c r="H7" s="971" t="inlineStr">
        <is>
          <t>Bardiere BIO</t>
        </is>
      </c>
      <c r="I7" s="972" t="n"/>
      <c r="J7" s="154" t="n">
        <v>20</v>
      </c>
      <c r="K7" s="150">
        <f>$J$5*J7</f>
        <v/>
      </c>
      <c r="L7" s="154" t="n"/>
      <c r="M7" s="182">
        <f>$L$5*L7</f>
        <v/>
      </c>
      <c r="N7" s="187">
        <f>K7+M7</f>
        <v/>
      </c>
      <c r="P7" s="952" t="inlineStr">
        <is>
          <t>Hampes</t>
        </is>
      </c>
      <c r="R7" s="954" t="n"/>
      <c r="S7" s="151" t="n">
        <v>47</v>
      </c>
      <c r="T7" s="162">
        <f>$S$5*S7</f>
        <v/>
      </c>
      <c r="U7" s="153" t="n">
        <v>47</v>
      </c>
      <c r="V7" s="190">
        <f>$U$5*U7</f>
        <v/>
      </c>
      <c r="W7" s="153" t="n">
        <v>47</v>
      </c>
      <c r="X7" s="190">
        <f>$W$5*W7</f>
        <v/>
      </c>
      <c r="Y7" s="153" t="n">
        <v>47</v>
      </c>
      <c r="Z7" s="190">
        <f>$Y$5*Y7</f>
        <v/>
      </c>
      <c r="AA7" s="153" t="n">
        <v>47</v>
      </c>
      <c r="AB7" s="189">
        <f>$AA$5*AA7</f>
        <v/>
      </c>
      <c r="AC7" s="188">
        <f>T7+V7+X7+Z7+AB7</f>
        <v/>
      </c>
    </row>
    <row r="8" ht="23.25" customHeight="1" s="1025" thickBot="1">
      <c r="A8" s="218" t="inlineStr">
        <is>
          <t>Minerai</t>
        </is>
      </c>
      <c r="B8" s="217" t="n">
        <v>15</v>
      </c>
      <c r="C8" s="148">
        <f>$B$5*B8</f>
        <v/>
      </c>
      <c r="D8" s="219" t="n">
        <v>35</v>
      </c>
      <c r="E8" s="148">
        <f>D8*$D$5</f>
        <v/>
      </c>
      <c r="F8" s="184">
        <f>C8+E8</f>
        <v/>
      </c>
      <c r="H8" s="973" t="inlineStr">
        <is>
          <t>TOTAL</t>
        </is>
      </c>
      <c r="I8" s="932" t="n"/>
      <c r="J8" s="157">
        <f>SUM(J6:J7)</f>
        <v/>
      </c>
      <c r="K8" s="158">
        <f>SUM(K6:K7)</f>
        <v/>
      </c>
      <c r="L8" s="157">
        <f>SUM(L6:L7)</f>
        <v/>
      </c>
      <c r="M8" s="158">
        <f>SUM(M6:M7)</f>
        <v/>
      </c>
      <c r="P8" s="955" t="inlineStr">
        <is>
          <t>Maigre</t>
        </is>
      </c>
      <c r="R8" s="954" t="n"/>
      <c r="S8" s="147" t="n"/>
      <c r="T8" s="148">
        <f>$S$5*S8</f>
        <v/>
      </c>
      <c r="U8" s="155" t="n"/>
      <c r="V8" s="150">
        <f>$U$5*U8</f>
        <v/>
      </c>
      <c r="W8" s="155" t="n"/>
      <c r="X8" s="150">
        <f>$W$5*W8</f>
        <v/>
      </c>
      <c r="Y8" s="155" t="n"/>
      <c r="Z8" s="150">
        <f>$Y$5*Y8</f>
        <v/>
      </c>
      <c r="AA8" s="155" t="n"/>
      <c r="AB8" s="182">
        <f>$AA$5*AA8</f>
        <v/>
      </c>
      <c r="AC8" s="184">
        <f>T8+V8+X8+Z8+AB8</f>
        <v/>
      </c>
    </row>
    <row r="9">
      <c r="A9" s="220" t="inlineStr">
        <is>
          <t xml:space="preserve">Capa </t>
        </is>
      </c>
      <c r="B9" s="221" t="n">
        <v>0</v>
      </c>
      <c r="C9" s="152">
        <f>$B$5*B9</f>
        <v/>
      </c>
      <c r="D9" s="222" t="n">
        <v>0</v>
      </c>
      <c r="E9" s="152">
        <f>D9*$D$5</f>
        <v/>
      </c>
      <c r="F9" s="188">
        <f>C9+E9</f>
        <v/>
      </c>
      <c r="P9" s="952" t="inlineStr">
        <is>
          <t xml:space="preserve">Gras </t>
        </is>
      </c>
      <c r="R9" s="954" t="n"/>
      <c r="S9" s="151" t="n">
        <v>34</v>
      </c>
      <c r="T9" s="162">
        <f>$S$5*S9</f>
        <v/>
      </c>
      <c r="U9" s="153" t="n">
        <v>35</v>
      </c>
      <c r="V9" s="190">
        <f>$U$5*U9</f>
        <v/>
      </c>
      <c r="W9" s="153" t="n">
        <v>35</v>
      </c>
      <c r="X9" s="190">
        <f>$W$5*W9</f>
        <v/>
      </c>
      <c r="Y9" s="153" t="n">
        <v>35</v>
      </c>
      <c r="Z9" s="190">
        <f>$Y$5*Y9</f>
        <v/>
      </c>
      <c r="AA9" s="153" t="n">
        <v>35</v>
      </c>
      <c r="AB9" s="189">
        <f>$AA$5*AA9</f>
        <v/>
      </c>
      <c r="AC9" s="188">
        <f>T9+V9+X9+Z9+AB9</f>
        <v/>
      </c>
    </row>
    <row r="10">
      <c r="A10" s="218" t="inlineStr">
        <is>
          <t>Gras bovin</t>
        </is>
      </c>
      <c r="B10" s="217" t="n">
        <v>45</v>
      </c>
      <c r="C10" s="148">
        <f>$B$5*B10</f>
        <v/>
      </c>
      <c r="D10" s="219" t="n">
        <v>35</v>
      </c>
      <c r="E10" s="150">
        <f>D10*$D$5</f>
        <v/>
      </c>
      <c r="F10" s="232">
        <f>C10+E10</f>
        <v/>
      </c>
      <c r="P10" s="955" t="inlineStr">
        <is>
          <t>TAUREAU</t>
        </is>
      </c>
      <c r="R10" s="954" t="n"/>
      <c r="S10" s="147" t="n"/>
      <c r="T10" s="148">
        <f>$S$5*S10</f>
        <v/>
      </c>
      <c r="U10" s="155" t="n">
        <v>23</v>
      </c>
      <c r="V10" s="150">
        <f>$U$5*U10</f>
        <v/>
      </c>
      <c r="W10" s="155" t="n"/>
      <c r="X10" s="150">
        <f>$W$5*W10</f>
        <v/>
      </c>
      <c r="Y10" s="155" t="n"/>
      <c r="Z10" s="150">
        <f>$Y$5*Y10</f>
        <v/>
      </c>
      <c r="AA10" s="155" t="n"/>
      <c r="AB10" s="182">
        <f>$AA$5*AA10</f>
        <v/>
      </c>
      <c r="AC10" s="184">
        <f>T10+V10+X10+Z10+AB10</f>
        <v/>
      </c>
    </row>
    <row r="11" ht="23.25" customHeight="1" s="1025" thickBot="1">
      <c r="A11" s="233" t="inlineStr">
        <is>
          <t>Flanchet</t>
        </is>
      </c>
      <c r="B11" s="221" t="n">
        <v>90</v>
      </c>
      <c r="C11" s="152">
        <f>$B$5*B11</f>
        <v/>
      </c>
      <c r="D11" s="222" t="n">
        <v>80</v>
      </c>
      <c r="E11" s="152">
        <f>D11*$D$5</f>
        <v/>
      </c>
      <c r="F11" s="188">
        <f>C11+E11</f>
        <v/>
      </c>
      <c r="P11" s="952" t="inlineStr">
        <is>
          <t>CANARD</t>
        </is>
      </c>
      <c r="R11" s="954" t="n"/>
      <c r="S11" s="161" t="n"/>
      <c r="T11" s="162">
        <f>$S$5*S11</f>
        <v/>
      </c>
      <c r="U11" s="153" t="n"/>
      <c r="V11" s="190">
        <f>$U$5*U11</f>
        <v/>
      </c>
      <c r="W11" s="153" t="n">
        <v>23</v>
      </c>
      <c r="X11" s="190">
        <f>$W$5*W11</f>
        <v/>
      </c>
      <c r="Y11" s="153" t="n"/>
      <c r="Z11" s="190">
        <f>$Y$5*Y11</f>
        <v/>
      </c>
      <c r="AA11" s="153" t="n"/>
      <c r="AB11" s="189">
        <f>$AA$5*AA11</f>
        <v/>
      </c>
      <c r="AC11" s="188">
        <f>T11+V11+X11+Z11+AB11</f>
        <v/>
      </c>
    </row>
    <row r="12" ht="23.25" customHeight="1" s="1025" thickBot="1">
      <c r="A12" s="973" t="inlineStr">
        <is>
          <t>TOTAL</t>
        </is>
      </c>
      <c r="B12" s="160">
        <f>SUM(B6:B11)</f>
        <v/>
      </c>
      <c r="C12" s="158">
        <f>SUM(C6:C11)</f>
        <v/>
      </c>
      <c r="D12" s="213">
        <f>SUM(D6:D11)</f>
        <v/>
      </c>
      <c r="E12" s="214">
        <f>SUM(E6:E11)</f>
        <v/>
      </c>
      <c r="F12" s="158">
        <f>SUM(F6:F11)</f>
        <v/>
      </c>
      <c r="H12" s="214" t="n"/>
      <c r="P12" s="955" t="inlineStr">
        <is>
          <t>CERF</t>
        </is>
      </c>
      <c r="R12" s="954" t="n"/>
      <c r="S12" s="147" t="n"/>
      <c r="T12" s="148">
        <f>$S$5*S12</f>
        <v/>
      </c>
      <c r="U12" s="155" t="n"/>
      <c r="V12" s="150">
        <f>$U$5*U12</f>
        <v/>
      </c>
      <c r="W12" s="155" t="n"/>
      <c r="X12" s="150">
        <f>$W$5*W12</f>
        <v/>
      </c>
      <c r="Y12" s="155" t="n">
        <v>23</v>
      </c>
      <c r="Z12" s="150">
        <f>$Y$5*Y12</f>
        <v/>
      </c>
      <c r="AA12" s="155" t="n"/>
      <c r="AB12" s="182">
        <f>$AA$5*AA12</f>
        <v/>
      </c>
      <c r="AC12" s="184">
        <f>T12+V12+X12+Z12+AB12</f>
        <v/>
      </c>
    </row>
    <row r="13" ht="23.25" customHeight="1" s="1025" thickBot="1">
      <c r="P13" s="964" t="inlineStr">
        <is>
          <t>SANGLIER</t>
        </is>
      </c>
      <c r="Q13" s="965" t="n"/>
      <c r="R13" s="966" t="n"/>
      <c r="S13" s="161" t="n"/>
      <c r="T13" s="162">
        <f>$S$5*S13</f>
        <v/>
      </c>
      <c r="U13" s="154" t="n"/>
      <c r="V13" s="190">
        <f>$U$5*U13</f>
        <v/>
      </c>
      <c r="W13" s="154" t="n"/>
      <c r="X13" s="190">
        <f>$W$5*W13</f>
        <v/>
      </c>
      <c r="Y13" s="154" t="n"/>
      <c r="Z13" s="190">
        <f>$Y$5*Y13</f>
        <v/>
      </c>
      <c r="AA13" s="154" t="n">
        <v>23</v>
      </c>
      <c r="AB13" s="189">
        <f>$AA$5*AA13</f>
        <v/>
      </c>
      <c r="AC13" s="187">
        <f>T13+V13+X13+Z13+AB13</f>
        <v/>
      </c>
    </row>
    <row r="14" ht="23.25" customHeight="1" s="1025" thickBot="1">
      <c r="P14" s="973" t="inlineStr">
        <is>
          <t>TOTAL</t>
        </is>
      </c>
      <c r="Q14" s="919" t="n"/>
      <c r="R14" s="932" t="n"/>
      <c r="S14" s="157">
        <f>SUM(S6:S13)</f>
        <v/>
      </c>
      <c r="T14" s="163">
        <f>SUM(T6:T13)</f>
        <v/>
      </c>
      <c r="U14" s="157">
        <f>SUM(U6:U13)</f>
        <v/>
      </c>
      <c r="V14" s="163">
        <f>SUM(V6:V13)</f>
        <v/>
      </c>
      <c r="W14" s="157">
        <f>SUM(W6:W13)</f>
        <v/>
      </c>
      <c r="X14" s="163">
        <f>SUM(X6:X13)</f>
        <v/>
      </c>
      <c r="Y14" s="157">
        <f>SUM(Y6:Y13)</f>
        <v/>
      </c>
      <c r="Z14" s="163">
        <f>SUM(Z6:Z13)</f>
        <v/>
      </c>
      <c r="AA14" s="157">
        <f>SUM(AA6:AA13)</f>
        <v/>
      </c>
      <c r="AB14" s="163">
        <f>SUM(AB6:AB13)</f>
        <v/>
      </c>
    </row>
    <row r="15" ht="23.25" customHeight="1" s="1025" thickBot="1"/>
    <row r="16" ht="23.25" customHeight="1" s="1025" thickBot="1">
      <c r="B16" s="969" t="inlineStr">
        <is>
          <t>PUR PORC</t>
        </is>
      </c>
      <c r="C16" s="919" t="n"/>
      <c r="D16" s="919" t="n"/>
      <c r="E16" s="919" t="n"/>
      <c r="F16" s="919" t="n"/>
      <c r="G16" s="919" t="n"/>
      <c r="H16" s="919" t="n"/>
      <c r="I16" s="919" t="n"/>
      <c r="J16" s="919" t="n"/>
      <c r="K16" s="919" t="n"/>
      <c r="L16" s="919" t="n"/>
      <c r="M16" s="919" t="n"/>
      <c r="N16" s="919" t="n"/>
      <c r="O16" s="919" t="n"/>
      <c r="P16" s="919" t="n"/>
      <c r="Q16" s="919" t="n"/>
      <c r="R16" s="919" t="n"/>
      <c r="S16" s="919" t="n"/>
      <c r="T16" s="919" t="n"/>
      <c r="U16" s="919" t="n"/>
      <c r="V16" s="919" t="n"/>
      <c r="W16" s="932" t="n"/>
    </row>
    <row r="17" ht="26.25" customFormat="1" customHeight="1" s="118" thickBot="1">
      <c r="B17" s="957" t="inlineStr">
        <is>
          <t>Viande francaises</t>
        </is>
      </c>
      <c r="C17" s="919" t="n"/>
      <c r="D17" s="919" t="n"/>
      <c r="E17" s="932" t="n"/>
      <c r="F17" s="957" t="inlineStr">
        <is>
          <t>SAG</t>
        </is>
      </c>
      <c r="G17" s="932" t="n"/>
      <c r="H17" s="957" t="inlineStr">
        <is>
          <t>A cuire</t>
        </is>
      </c>
      <c r="I17" s="919" t="n"/>
      <c r="J17" s="919" t="n"/>
      <c r="K17" s="919" t="n"/>
      <c r="L17" s="919" t="n"/>
      <c r="M17" s="932" t="n"/>
      <c r="N17" s="957" t="inlineStr">
        <is>
          <t>Hache Moyen (Viande U.E)</t>
        </is>
      </c>
      <c r="O17" s="919" t="n"/>
      <c r="P17" s="919" t="n"/>
      <c r="Q17" s="919" t="n"/>
      <c r="R17" s="919" t="n"/>
      <c r="S17" s="919" t="n"/>
      <c r="T17" s="919" t="n"/>
      <c r="U17" s="919" t="n"/>
      <c r="V17" s="919" t="n"/>
      <c r="W17" s="919" t="n"/>
      <c r="X17" s="919" t="n"/>
      <c r="Y17" s="932" t="n"/>
    </row>
    <row r="18" ht="157.5" customFormat="1" customHeight="1" s="1008" thickBot="1">
      <c r="B18" s="958" t="inlineStr">
        <is>
          <t>HG 250 grs
3-400 Artisanal
8-900 Artisanal
3-400 Arti. Aillé
Saucisse Courbe</t>
        </is>
      </c>
      <c r="C18" s="959" t="n"/>
      <c r="D18" s="963" t="inlineStr">
        <is>
          <t xml:space="preserve">Snaking:
Grelot aux Noix
Mignonettes </t>
        </is>
      </c>
      <c r="E18" s="959" t="n"/>
      <c r="F18" s="962" t="inlineStr">
        <is>
          <t>SAG</t>
        </is>
      </c>
      <c r="G18" s="959" t="n"/>
      <c r="H18" s="963" t="inlineStr">
        <is>
          <t>UE : 
A cuire Nature
A Cuire Pistaché</t>
        </is>
      </c>
      <c r="I18" s="959" t="n"/>
      <c r="J18" s="963" t="inlineStr">
        <is>
          <t>VPF :
A cuire Nature
A Cuire Pistaché</t>
        </is>
      </c>
      <c r="K18" s="959" t="n"/>
      <c r="L18" s="963" t="inlineStr">
        <is>
          <t>A Cuire Truffes et Cèpes de France</t>
        </is>
      </c>
      <c r="M18" s="959" t="n"/>
      <c r="N18" s="962" t="inlineStr">
        <is>
          <t>Sabodet</t>
        </is>
      </c>
      <c r="O18" s="959" t="n"/>
      <c r="P18" s="963" t="inlineStr">
        <is>
          <t xml:space="preserve">650 grs
Rosette Kg
Sauc. Droite
Mini Rosette </t>
        </is>
      </c>
      <c r="Q18" s="959" t="n"/>
      <c r="R18" s="962" t="inlineStr">
        <is>
          <t>BN 200</t>
        </is>
      </c>
      <c r="S18" s="959" t="n"/>
      <c r="T18" s="963" t="inlineStr">
        <is>
          <t>BN 200 
Promo Leclerc</t>
        </is>
      </c>
      <c r="U18" s="959" t="n"/>
      <c r="V18" s="963" t="inlineStr">
        <is>
          <t>250 grs Salaison de Provence</t>
        </is>
      </c>
      <c r="W18" s="959" t="n"/>
      <c r="X18" s="962" t="inlineStr">
        <is>
          <t>3-400 nature</t>
        </is>
      </c>
      <c r="Y18" s="959" t="n"/>
      <c r="Z18" s="962" t="inlineStr">
        <is>
          <t>7-800 Nature</t>
        </is>
      </c>
      <c r="AA18" s="959" t="n"/>
    </row>
    <row r="19" ht="45" customHeight="1" s="1025" thickBot="1">
      <c r="A19" s="143" t="inlineStr">
        <is>
          <t>Nombre de mêlées =</t>
        </is>
      </c>
      <c r="B19" s="176">
        <f>'PLANNING DE FABRICATION'!E33+'PLANNING DE FABRICATION'!E34+'PLANNING DE FABRICATION'!E35+'PLANNING DE FABRICATION'!E36+'PLANNING DE FABRICATION'!E37+'PLANNING DE FABRICATION'!E38+'PLANNING DE FABRICATION'!E39</f>
        <v/>
      </c>
      <c r="C19" s="142" t="inlineStr">
        <is>
          <t>Qtt total</t>
        </is>
      </c>
      <c r="D19" s="176">
        <f>'PLANNING DE FABRICATION'!E32</f>
        <v/>
      </c>
      <c r="E19" s="141" t="inlineStr">
        <is>
          <t>Qtt total</t>
        </is>
      </c>
      <c r="F19" s="175">
        <f>'PLANNING DE FABRICATION'!E16+'PLANNING DE FABRICATION'!E17+'PLANNING DE FABRICATION'!E18+'PLANNING DE FABRICATION'!E19+'PLANNING DE FABRICATION'!E20+'PLANNING DE FABRICATION'!E21+'PLANNING DE FABRICATION'!E22</f>
        <v/>
      </c>
      <c r="G19" s="142" t="inlineStr">
        <is>
          <t>Qtt total</t>
        </is>
      </c>
      <c r="H19" s="176">
        <f>'PLANNING DE FABRICATION'!E26+'PLANNING DE FABRICATION'!E27</f>
        <v/>
      </c>
      <c r="I19" s="141" t="inlineStr">
        <is>
          <t>Qtt total</t>
        </is>
      </c>
      <c r="J19" s="176">
        <f>0</f>
        <v/>
      </c>
      <c r="K19" s="141" t="inlineStr">
        <is>
          <t>Qtt total</t>
        </is>
      </c>
      <c r="L19" s="175">
        <f>'PLANNING DE FABRICATION'!E28</f>
        <v/>
      </c>
      <c r="M19" s="142" t="inlineStr">
        <is>
          <t>Qtt total</t>
        </is>
      </c>
      <c r="N19" s="210">
        <f>'PLANNING DE FABRICATION'!E29</f>
        <v/>
      </c>
      <c r="O19" s="141" t="inlineStr">
        <is>
          <t>Qtt total</t>
        </is>
      </c>
      <c r="P19" s="177">
        <f>'PLANNING DE FABRICATION'!E56+'PLANNING DE FABRICATION'!E57+'PLANNING DE FABRICATION'!E58+'PLANNING DE FABRICATION'!E59</f>
        <v/>
      </c>
      <c r="Q19" s="141" t="inlineStr">
        <is>
          <t>Qtt total</t>
        </is>
      </c>
      <c r="R19" s="178">
        <f>'PLANNING DE FABRICATION'!E61</f>
        <v/>
      </c>
      <c r="S19" s="142" t="inlineStr">
        <is>
          <t>Qtt total</t>
        </is>
      </c>
      <c r="T19" s="177">
        <f>'PLANNING DE FABRICATION'!E62</f>
        <v/>
      </c>
      <c r="U19" s="141" t="inlineStr">
        <is>
          <t>Qtt total</t>
        </is>
      </c>
      <c r="V19" s="179">
        <f>'PLANNING DE FABRICATION'!E40</f>
        <v/>
      </c>
      <c r="W19" s="142" t="inlineStr">
        <is>
          <t>Qtt total</t>
        </is>
      </c>
      <c r="X19" s="180">
        <f>'PLANNING DE FABRICATION'!E44</f>
        <v/>
      </c>
      <c r="Y19" s="141" t="inlineStr">
        <is>
          <t>Qtt total</t>
        </is>
      </c>
      <c r="Z19" s="178">
        <f>'PLANNING DE FABRICATION'!E45</f>
        <v/>
      </c>
      <c r="AA19" s="141" t="inlineStr">
        <is>
          <t>Qtt total</t>
        </is>
      </c>
    </row>
    <row r="20" customFormat="1" s="167">
      <c r="A20" s="164" t="inlineStr">
        <is>
          <t>Epaules 6D</t>
        </is>
      </c>
      <c r="B20" s="149" t="n"/>
      <c r="C20" s="165">
        <f>B20*$B$19</f>
        <v/>
      </c>
      <c r="D20" s="149" t="n"/>
      <c r="E20" s="156">
        <f>D20*$D$19</f>
        <v/>
      </c>
      <c r="F20" s="166" t="n">
        <v>150</v>
      </c>
      <c r="G20" s="165">
        <f>F20*$F$19</f>
        <v/>
      </c>
      <c r="H20" s="149" t="n"/>
      <c r="I20" s="156">
        <f>H20*$J$19</f>
        <v/>
      </c>
      <c r="J20" s="149" t="n"/>
      <c r="K20" s="156">
        <f>J20*$J$19</f>
        <v/>
      </c>
      <c r="L20" s="166" t="n"/>
      <c r="M20" s="165">
        <f>L20*$L$19</f>
        <v/>
      </c>
      <c r="N20" s="149" t="n"/>
      <c r="O20" s="156">
        <f>N20*$N$19</f>
        <v/>
      </c>
      <c r="P20" s="149" t="n"/>
      <c r="Q20" s="156">
        <f>$P$19*P20</f>
        <v/>
      </c>
      <c r="R20" s="166" t="n"/>
      <c r="S20" s="165">
        <f>R20*$R$19</f>
        <v/>
      </c>
      <c r="T20" s="149" t="n"/>
      <c r="U20" s="156">
        <f>T20*$T$19</f>
        <v/>
      </c>
      <c r="V20" s="166" t="n"/>
      <c r="W20" s="165">
        <f>V20*$V$19</f>
        <v/>
      </c>
      <c r="X20" s="149" t="n"/>
      <c r="Y20" s="156">
        <f>X20*$X$19</f>
        <v/>
      </c>
      <c r="Z20" s="166" t="n"/>
      <c r="AA20" s="156">
        <f>Z20*$Z$19</f>
        <v/>
      </c>
      <c r="AD20" s="185">
        <f>C20+E20+G20+K20+M20+O20+Q20+S20+U20+W20+Y20+AA20</f>
        <v/>
      </c>
    </row>
    <row r="21" customFormat="1" s="170">
      <c r="A21" s="151" t="inlineStr">
        <is>
          <t>Epaules 4D</t>
        </is>
      </c>
      <c r="B21" s="153" t="n">
        <v>135</v>
      </c>
      <c r="C21" s="168">
        <f>B21*$B$19</f>
        <v/>
      </c>
      <c r="D21" s="153" t="n">
        <v>125</v>
      </c>
      <c r="E21" s="152">
        <f>D21*$D$19</f>
        <v/>
      </c>
      <c r="F21" s="169" t="n"/>
      <c r="G21" s="168">
        <f>F21*$F$19</f>
        <v/>
      </c>
      <c r="H21" s="153" t="n"/>
      <c r="I21" s="152">
        <f>H21*$J$19</f>
        <v/>
      </c>
      <c r="J21" s="153" t="n"/>
      <c r="K21" s="152">
        <f>J21*$J$19</f>
        <v/>
      </c>
      <c r="L21" s="169" t="n">
        <v>110</v>
      </c>
      <c r="M21" s="168">
        <f>L21*$L$19</f>
        <v/>
      </c>
      <c r="N21" s="153" t="n"/>
      <c r="O21" s="152">
        <f>N21*$N$19</f>
        <v/>
      </c>
      <c r="P21" s="153" t="n"/>
      <c r="Q21" s="152">
        <f>$P$19*P21</f>
        <v/>
      </c>
      <c r="R21" s="169" t="n"/>
      <c r="S21" s="168">
        <f>R21*$R$19</f>
        <v/>
      </c>
      <c r="T21" s="153" t="n"/>
      <c r="U21" s="152">
        <f>T21*$T$19</f>
        <v/>
      </c>
      <c r="V21" s="169" t="n">
        <v>84</v>
      </c>
      <c r="W21" s="168">
        <f>V21*$V$19</f>
        <v/>
      </c>
      <c r="X21" s="153" t="n"/>
      <c r="Y21" s="152">
        <f>X21*$X$19</f>
        <v/>
      </c>
      <c r="Z21" s="169" t="n"/>
      <c r="AA21" s="152">
        <f>Z21*$Z$19</f>
        <v/>
      </c>
      <c r="AD21" s="146">
        <f>C21+E21+G21+K21+M21+O21+Q21+S21+U21+W21+Y21+AA21</f>
        <v/>
      </c>
    </row>
    <row r="22" customFormat="1" s="167">
      <c r="A22" s="164" t="inlineStr">
        <is>
          <t>Epaules 3D</t>
        </is>
      </c>
      <c r="B22" s="155" t="n"/>
      <c r="C22" s="165">
        <f>B22*$B$19</f>
        <v/>
      </c>
      <c r="D22" s="155" t="n"/>
      <c r="E22" s="156">
        <f>D22*$D$19</f>
        <v/>
      </c>
      <c r="F22" s="171" t="n"/>
      <c r="G22" s="165">
        <f>F22*$F$19</f>
        <v/>
      </c>
      <c r="H22" s="155" t="n">
        <v>105</v>
      </c>
      <c r="I22" s="156">
        <f>H22*$H$19</f>
        <v/>
      </c>
      <c r="J22" s="155" t="n"/>
      <c r="K22" s="156">
        <f>J22*$J$19</f>
        <v/>
      </c>
      <c r="L22" s="171" t="n"/>
      <c r="M22" s="165">
        <f>L22*$L$19</f>
        <v/>
      </c>
      <c r="N22" s="155" t="n">
        <v>30</v>
      </c>
      <c r="O22" s="156">
        <f>N22*$N$19</f>
        <v/>
      </c>
      <c r="P22" s="155" t="n">
        <v>82</v>
      </c>
      <c r="Q22" s="156">
        <f>$P$19*P22</f>
        <v/>
      </c>
      <c r="R22" s="171" t="n">
        <v>69</v>
      </c>
      <c r="S22" s="165">
        <f>R22*$R$19</f>
        <v/>
      </c>
      <c r="T22" s="155" t="n">
        <v>44</v>
      </c>
      <c r="U22" s="156">
        <f>T22*$T$19</f>
        <v/>
      </c>
      <c r="V22" s="171" t="n"/>
      <c r="W22" s="165">
        <f>V22*$V$19</f>
        <v/>
      </c>
      <c r="X22" s="155" t="n">
        <v>82</v>
      </c>
      <c r="Y22" s="156">
        <f>X22*$X$19</f>
        <v/>
      </c>
      <c r="Z22" s="171" t="n">
        <v>82</v>
      </c>
      <c r="AA22" s="156">
        <f>Z22*$Z$19</f>
        <v/>
      </c>
      <c r="AD22" s="247">
        <f>C22+E22+G22+K22+M22+O22+Q22+S22+U22+W22+Y22+AA22+I22</f>
        <v/>
      </c>
    </row>
    <row r="23" customFormat="1" s="170">
      <c r="A23" s="151" t="inlineStr">
        <is>
          <t>Gras</t>
        </is>
      </c>
      <c r="B23" s="153" t="n">
        <v>15</v>
      </c>
      <c r="C23" s="168">
        <f>B23*$B$19</f>
        <v/>
      </c>
      <c r="D23" s="153" t="n">
        <v>25</v>
      </c>
      <c r="E23" s="152">
        <f>D23*$D$19</f>
        <v/>
      </c>
      <c r="F23" s="169" t="n"/>
      <c r="G23" s="168">
        <f>F23*$F$19</f>
        <v/>
      </c>
      <c r="H23" s="153" t="n">
        <v>45</v>
      </c>
      <c r="I23" s="152">
        <f>H23*$H$19</f>
        <v/>
      </c>
      <c r="J23" s="153" t="n"/>
      <c r="K23" s="152">
        <f>J23*$J$19</f>
        <v/>
      </c>
      <c r="L23" s="169" t="n">
        <v>40</v>
      </c>
      <c r="M23" s="168">
        <f>L23*$L$19</f>
        <v/>
      </c>
      <c r="N23" s="153" t="n">
        <v>25</v>
      </c>
      <c r="O23" s="152">
        <f>N23*$N$19</f>
        <v/>
      </c>
      <c r="P23" s="153" t="n">
        <v>28</v>
      </c>
      <c r="Q23" s="152">
        <f>$P$19*P23</f>
        <v/>
      </c>
      <c r="R23" s="169" t="n">
        <v>34</v>
      </c>
      <c r="S23" s="168">
        <f>R23*$R$19</f>
        <v/>
      </c>
      <c r="T23" s="153" t="n">
        <v>26</v>
      </c>
      <c r="U23" s="152">
        <f>T23*$T$19</f>
        <v/>
      </c>
      <c r="V23" s="169" t="n">
        <v>26</v>
      </c>
      <c r="W23" s="168">
        <f>V23*$V$19</f>
        <v/>
      </c>
      <c r="X23" s="153" t="n">
        <v>28</v>
      </c>
      <c r="Y23" s="152">
        <f>X23*$X$19</f>
        <v/>
      </c>
      <c r="Z23" s="169" t="n">
        <v>28</v>
      </c>
      <c r="AA23" s="152">
        <f>Z23*$Z$19</f>
        <v/>
      </c>
      <c r="AD23" s="146">
        <f>C23+E23+G23+K23+M23+O23+Q23+S23+U23+W23+Y23+AA23+I23</f>
        <v/>
      </c>
    </row>
    <row r="24" customFormat="1" s="167">
      <c r="A24" s="164" t="inlineStr">
        <is>
          <t xml:space="preserve">Hampes </t>
        </is>
      </c>
      <c r="B24" s="155" t="n"/>
      <c r="C24" s="165">
        <f>B24*$B$19</f>
        <v/>
      </c>
      <c r="D24" s="155" t="n"/>
      <c r="E24" s="156">
        <f>D24*$D$19</f>
        <v/>
      </c>
      <c r="F24" s="171" t="n"/>
      <c r="G24" s="165">
        <f>F24*$F$19</f>
        <v/>
      </c>
      <c r="H24" s="155" t="n"/>
      <c r="I24" s="156">
        <f>H24*$J$19</f>
        <v/>
      </c>
      <c r="J24" s="155" t="n"/>
      <c r="K24" s="156">
        <f>J24*$J$19</f>
        <v/>
      </c>
      <c r="L24" s="171" t="n"/>
      <c r="M24" s="165">
        <f>L24*$L$19</f>
        <v/>
      </c>
      <c r="N24" s="155" t="n">
        <v>60</v>
      </c>
      <c r="O24" s="156">
        <f>N24*$N$19</f>
        <v/>
      </c>
      <c r="P24" s="155" t="n">
        <v>40</v>
      </c>
      <c r="Q24" s="156">
        <f>$P$19*P24</f>
        <v/>
      </c>
      <c r="R24" s="171" t="n">
        <v>47</v>
      </c>
      <c r="S24" s="165">
        <f>R24*$R$19</f>
        <v/>
      </c>
      <c r="T24" s="155" t="n">
        <v>60</v>
      </c>
      <c r="U24" s="156">
        <f>T24*$T$19</f>
        <v/>
      </c>
      <c r="V24" s="171" t="n">
        <v>40</v>
      </c>
      <c r="W24" s="165">
        <f>V24*$V$19</f>
        <v/>
      </c>
      <c r="X24" s="155" t="n">
        <v>40</v>
      </c>
      <c r="Y24" s="156">
        <f>X24*$X$19</f>
        <v/>
      </c>
      <c r="Z24" s="171" t="n">
        <v>40</v>
      </c>
      <c r="AA24" s="156">
        <f>Z24*$Z$19</f>
        <v/>
      </c>
      <c r="AD24" s="247">
        <f>C24+E24+G24+K24+M24+O24+Q24+S24+U24+W24+Y24+AA24</f>
        <v/>
      </c>
    </row>
    <row r="25" customFormat="1" s="170">
      <c r="A25" s="151" t="inlineStr">
        <is>
          <t>Maigre</t>
        </is>
      </c>
      <c r="B25" s="153" t="n"/>
      <c r="C25" s="168">
        <f>B25*$B$19</f>
        <v/>
      </c>
      <c r="D25" s="153" t="n"/>
      <c r="E25" s="152">
        <f>D25*$D$19</f>
        <v/>
      </c>
      <c r="F25" s="169" t="n"/>
      <c r="G25" s="168">
        <f>F25*$F$19</f>
        <v/>
      </c>
      <c r="H25" s="153" t="n"/>
      <c r="I25" s="152">
        <f>H25*$J$19</f>
        <v/>
      </c>
      <c r="J25" s="153" t="n"/>
      <c r="K25" s="152">
        <f>J25*$J$19</f>
        <v/>
      </c>
      <c r="L25" s="169" t="n"/>
      <c r="M25" s="168">
        <f>L25*$L$19</f>
        <v/>
      </c>
      <c r="N25" s="153" t="n"/>
      <c r="O25" s="152">
        <f>N25*$N$19</f>
        <v/>
      </c>
      <c r="P25" s="153" t="n"/>
      <c r="Q25" s="152">
        <f>$P$19*P25</f>
        <v/>
      </c>
      <c r="R25" s="169" t="n"/>
      <c r="S25" s="168">
        <f>R25*$R$19</f>
        <v/>
      </c>
      <c r="T25" s="153" t="n">
        <v>20</v>
      </c>
      <c r="U25" s="152">
        <f>T25*$T$19</f>
        <v/>
      </c>
      <c r="V25" s="169" t="n"/>
      <c r="W25" s="168">
        <f>V25*$V$19</f>
        <v/>
      </c>
      <c r="X25" s="153" t="n"/>
      <c r="Y25" s="152">
        <f>X25*$X$19</f>
        <v/>
      </c>
      <c r="Z25" s="169" t="n"/>
      <c r="AA25" s="152">
        <f>Z25*$Z$19</f>
        <v/>
      </c>
      <c r="AD25" s="146">
        <f>C25+E25+G25+K25+M25+O25+Q25+S25+U25+W25+Y25+AA25</f>
        <v/>
      </c>
    </row>
    <row r="26" customFormat="1" s="167">
      <c r="A26" s="164" t="inlineStr">
        <is>
          <t>Couenne</t>
        </is>
      </c>
      <c r="B26" s="155" t="n"/>
      <c r="C26" s="165">
        <f>B26*$B$19</f>
        <v/>
      </c>
      <c r="D26" s="155" t="n"/>
      <c r="E26" s="156">
        <f>D26*$D$19</f>
        <v/>
      </c>
      <c r="F26" s="171" t="n"/>
      <c r="G26" s="165">
        <f>F26*$F$19</f>
        <v/>
      </c>
      <c r="H26" s="155" t="n"/>
      <c r="I26" s="156">
        <f>H26*$J$19</f>
        <v/>
      </c>
      <c r="J26" s="155" t="n"/>
      <c r="K26" s="156">
        <f>J26*$J$19</f>
        <v/>
      </c>
      <c r="L26" s="171" t="n"/>
      <c r="M26" s="165">
        <f>L26*$L$19</f>
        <v/>
      </c>
      <c r="N26" s="155" t="n">
        <v>25</v>
      </c>
      <c r="O26" s="156">
        <f>N26*$N$19</f>
        <v/>
      </c>
      <c r="P26" s="155" t="n"/>
      <c r="Q26" s="156">
        <f>$P$19*P26</f>
        <v/>
      </c>
      <c r="R26" s="171" t="n"/>
      <c r="S26" s="165">
        <f>R26*$R$19</f>
        <v/>
      </c>
      <c r="T26" s="155" t="n"/>
      <c r="U26" s="156">
        <f>T26*$T$19</f>
        <v/>
      </c>
      <c r="V26" s="171" t="n"/>
      <c r="W26" s="165">
        <f>V26*$V$19</f>
        <v/>
      </c>
      <c r="X26" s="155" t="n"/>
      <c r="Y26" s="156">
        <f>X26*$X$19</f>
        <v/>
      </c>
      <c r="Z26" s="171" t="n"/>
      <c r="AA26" s="156">
        <f>Z26*$Z$19</f>
        <v/>
      </c>
      <c r="AD26" s="247">
        <f>C26+E26+G26+K26+M26+O26+Q26+S26+U26+W26+Y26+AA26</f>
        <v/>
      </c>
    </row>
    <row r="27" ht="23.25" customFormat="1" customHeight="1" s="170" thickBot="1">
      <c r="A27" s="172" t="inlineStr">
        <is>
          <t>Tête de Porc</t>
        </is>
      </c>
      <c r="B27" s="154" t="n"/>
      <c r="C27" s="168">
        <f>B27*$B$19</f>
        <v/>
      </c>
      <c r="D27" s="154" t="n"/>
      <c r="E27" s="152">
        <f>D27*$D$19</f>
        <v/>
      </c>
      <c r="F27" s="181" t="n"/>
      <c r="G27" s="168">
        <f>F27*$F$19</f>
        <v/>
      </c>
      <c r="H27" s="154" t="n"/>
      <c r="I27" s="152">
        <f>H27*$J$19</f>
        <v/>
      </c>
      <c r="J27" s="154" t="n"/>
      <c r="K27" s="152">
        <f>J27*$J$19</f>
        <v/>
      </c>
      <c r="L27" s="181" t="n"/>
      <c r="M27" s="168">
        <f>L27*$L$19</f>
        <v/>
      </c>
      <c r="N27" s="211" t="n">
        <v>10</v>
      </c>
      <c r="O27" s="212">
        <f>N27*$N$19</f>
        <v/>
      </c>
      <c r="P27" s="154" t="n"/>
      <c r="Q27" s="152">
        <f>$P$19*P27</f>
        <v/>
      </c>
      <c r="R27" s="181" t="n"/>
      <c r="S27" s="168">
        <f>R27*$R$19</f>
        <v/>
      </c>
      <c r="T27" s="154" t="n"/>
      <c r="U27" s="152">
        <f>T27*$T$19</f>
        <v/>
      </c>
      <c r="V27" s="181" t="n"/>
      <c r="W27" s="168">
        <f>V27*$V$19</f>
        <v/>
      </c>
      <c r="X27" s="154" t="n"/>
      <c r="Y27" s="152">
        <f>X27*$X$19</f>
        <v/>
      </c>
      <c r="Z27" s="181" t="n"/>
      <c r="AA27" s="152">
        <f>Z27*$Z$19</f>
        <v/>
      </c>
      <c r="AD27" s="971">
        <f>C27+E27+G27+K27+M27+O27+Q27+S27+U27+W27+Y27+AA27</f>
        <v/>
      </c>
    </row>
    <row r="28" ht="19.5" customFormat="1" customHeight="1" s="139" thickBot="1">
      <c r="A28" s="173" t="inlineStr">
        <is>
          <t>TOTAL</t>
        </is>
      </c>
      <c r="B28" s="173">
        <f>SUM(B20:B27)</f>
        <v/>
      </c>
      <c r="C28" s="174">
        <f>SUM(C20:C27)</f>
        <v/>
      </c>
      <c r="D28" s="173">
        <f>SUM(D20:D27)</f>
        <v/>
      </c>
      <c r="E28" s="174">
        <f>SUM(E20:E27)</f>
        <v/>
      </c>
      <c r="F28" s="173">
        <f>SUM(F20:F27)</f>
        <v/>
      </c>
      <c r="G28" s="174">
        <f>SUM(G20:G27)</f>
        <v/>
      </c>
      <c r="H28" s="173">
        <f>SUM(H20:H27)</f>
        <v/>
      </c>
      <c r="I28" s="174">
        <f>SUM(I20:I27)</f>
        <v/>
      </c>
      <c r="J28" s="173">
        <f>SUM(J20:J27)</f>
        <v/>
      </c>
      <c r="K28" s="174">
        <f>SUM(K20:K27)</f>
        <v/>
      </c>
      <c r="L28" s="173">
        <f>SUM(L20:L27)</f>
        <v/>
      </c>
      <c r="M28" s="174">
        <f>SUM(M20:M27)</f>
        <v/>
      </c>
      <c r="N28" s="173">
        <f>SUM(N20:N27)</f>
        <v/>
      </c>
      <c r="O28" s="174">
        <f>SUM(O20:O27)</f>
        <v/>
      </c>
      <c r="P28" s="173">
        <f>SUM(P20:P27)</f>
        <v/>
      </c>
      <c r="Q28" s="174">
        <f>SUM(Q20:Q27)</f>
        <v/>
      </c>
      <c r="R28" s="173">
        <f>SUM(R20:R27)</f>
        <v/>
      </c>
      <c r="S28" s="174">
        <f>SUM(S20:S27)</f>
        <v/>
      </c>
      <c r="T28" s="173">
        <f>SUM(T20:T27)</f>
        <v/>
      </c>
      <c r="U28" s="174">
        <f>SUM(U20:U27)</f>
        <v/>
      </c>
      <c r="V28" s="173">
        <f>SUM(V20:V27)</f>
        <v/>
      </c>
      <c r="W28" s="174">
        <f>SUM(W20:W27)</f>
        <v/>
      </c>
      <c r="X28" s="173">
        <f>SUM(X20:X27)</f>
        <v/>
      </c>
      <c r="Y28" s="174">
        <f>SUM(Y20:Y27)</f>
        <v/>
      </c>
      <c r="Z28" s="173">
        <f>SUM(Z20:Z27)</f>
        <v/>
      </c>
      <c r="AA28" s="174">
        <f>SUM(AA20:AA27)</f>
        <v/>
      </c>
    </row>
  </sheetData>
  <sheetProtection selectLockedCells="0" selectUnlockedCells="0" algorithmName="SHA-512" sheet="1" objects="1" insertRows="1" insertHyperlinks="1" autoFilter="1" scenarios="1" formatColumns="1" deleteColumns="1" insertColumns="1" pivotTables="1" deleteRows="1" formatCells="1" saltValue="eWFP/hhUMhbDgHxNmAobUg==" formatRows="1" sort="1" spinCount="100000" hashValue="DNiu8vWCI7R1e1MiWNUg6CJbtb02ECes9MAHYD121rdS9gektcYvoopvrC74EsmVcRVxwtYTThtp4YfKPvJwBA=="/>
  <mergeCells count="44">
    <mergeCell ref="S4:T4"/>
    <mergeCell ref="W4:X4"/>
    <mergeCell ref="Y4:Z4"/>
    <mergeCell ref="P11:R11"/>
    <mergeCell ref="P8:R8"/>
    <mergeCell ref="J3:M3"/>
    <mergeCell ref="H17:M17"/>
    <mergeCell ref="B18:C18"/>
    <mergeCell ref="N17:Y17"/>
    <mergeCell ref="P7:R7"/>
    <mergeCell ref="H6:I6"/>
    <mergeCell ref="F18:G18"/>
    <mergeCell ref="L18:M18"/>
    <mergeCell ref="P13:R13"/>
    <mergeCell ref="N18:O18"/>
    <mergeCell ref="B3:E3"/>
    <mergeCell ref="X18:Y18"/>
    <mergeCell ref="P12:R12"/>
    <mergeCell ref="AA4:AB4"/>
    <mergeCell ref="Z18:AA18"/>
    <mergeCell ref="F17:G17"/>
    <mergeCell ref="B16:W16"/>
    <mergeCell ref="J4:K4"/>
    <mergeCell ref="L4:M4"/>
    <mergeCell ref="P5:R5"/>
    <mergeCell ref="H7:I7"/>
    <mergeCell ref="P14:R14"/>
    <mergeCell ref="S3:AB3"/>
    <mergeCell ref="D4:E4"/>
    <mergeCell ref="D18:E18"/>
    <mergeCell ref="P18:Q18"/>
    <mergeCell ref="B17:E17"/>
    <mergeCell ref="H8:I8"/>
    <mergeCell ref="P10:R10"/>
    <mergeCell ref="B4:C4"/>
    <mergeCell ref="H18:I18"/>
    <mergeCell ref="J18:K18"/>
    <mergeCell ref="P9:R9"/>
    <mergeCell ref="H5:I5"/>
    <mergeCell ref="R18:S18"/>
    <mergeCell ref="T18:U18"/>
    <mergeCell ref="V18:W18"/>
    <mergeCell ref="P6:R6"/>
    <mergeCell ref="U4:V4"/>
  </mergeCells>
  <pageMargins left="0.7" right="0.7" top="0.75" bottom="0.75" header="0.3" footer="0.3"/>
  <pageSetup orientation="landscape" paperSize="9"/>
  <headerFooter>
    <oddHeader>&amp;C&amp;D</oddHeader>
    <oddFooter/>
    <evenHeader/>
    <evenFooter/>
    <firstHeader/>
    <firstFooter/>
  </headerFooter>
</worksheet>
</file>

<file path=xl/worksheets/sheet4.xml><?xml version="1.0" encoding="utf-8"?>
<worksheet xmlns="http://schemas.openxmlformats.org/spreadsheetml/2006/main">
  <sheetPr codeName="Sheet19">
    <outlinePr summaryBelow="1" summaryRight="1"/>
    <pageSetUpPr/>
  </sheetPr>
  <dimension ref="A1:X14"/>
  <sheetViews>
    <sheetView zoomScale="80" zoomScaleNormal="80" workbookViewId="0">
      <selection activeCell="O4" sqref="O4"/>
    </sheetView>
  </sheetViews>
  <sheetFormatPr baseColWidth="8" defaultColWidth="9.109375" defaultRowHeight="81" customHeight="1"/>
  <cols>
    <col width="22.6640625" bestFit="1" customWidth="1" style="1025" min="1" max="1"/>
    <col width="22.6640625" bestFit="1" customWidth="1" style="1025" min="3" max="3"/>
    <col width="37.33203125" customWidth="1" style="1025" min="8" max="8"/>
    <col width="69.33203125" customWidth="1" style="882" min="23" max="23"/>
    <col width="69.33203125" bestFit="1" customWidth="1" style="882" min="24" max="24"/>
  </cols>
  <sheetData>
    <row r="1" ht="81" customHeight="1" s="1025">
      <c r="A1" s="859" t="inlineStr">
        <is>
          <t>Fournisseur</t>
        </is>
      </c>
      <c r="C1" s="859" t="inlineStr">
        <is>
          <t>Jour</t>
        </is>
      </c>
      <c r="H1" s="859" t="inlineStr">
        <is>
          <t>ETAT</t>
        </is>
      </c>
      <c r="W1" s="881" t="n"/>
      <c r="X1" s="881" t="n"/>
    </row>
    <row r="2" ht="81" customHeight="1" s="1025">
      <c r="A2" s="861" t="inlineStr">
        <is>
          <t>AFFRAIS</t>
        </is>
      </c>
      <c r="C2" s="860" t="inlineStr">
        <is>
          <t>Lundi</t>
        </is>
      </c>
      <c r="H2" s="861" t="inlineStr">
        <is>
          <t>Frais</t>
        </is>
      </c>
      <c r="W2" s="881" t="n"/>
      <c r="X2" s="881" t="n"/>
    </row>
    <row r="3" ht="81" customHeight="1" s="1025">
      <c r="A3" s="862" t="inlineStr">
        <is>
          <t>CARNIQUES</t>
        </is>
      </c>
      <c r="C3" s="861" t="inlineStr">
        <is>
          <t>Mardi</t>
        </is>
      </c>
      <c r="H3" s="860" t="inlineStr">
        <is>
          <t>Congelé</t>
        </is>
      </c>
      <c r="W3" s="881" t="n"/>
    </row>
    <row r="4" ht="81" customHeight="1" s="1025">
      <c r="A4" s="864" t="inlineStr">
        <is>
          <t>AMI</t>
        </is>
      </c>
      <c r="C4" s="862" t="inlineStr">
        <is>
          <t>Mercredi</t>
        </is>
      </c>
      <c r="H4" s="864" t="n"/>
      <c r="W4" s="881" t="n"/>
    </row>
    <row r="5" ht="81" customHeight="1" s="1025">
      <c r="A5" s="863" t="inlineStr">
        <is>
          <t>HASSENFORDER</t>
        </is>
      </c>
      <c r="C5" s="863" t="inlineStr">
        <is>
          <t>Jeudi</t>
        </is>
      </c>
      <c r="H5" s="864" t="n"/>
      <c r="W5" s="881" t="n"/>
    </row>
    <row r="6" ht="81" customHeight="1" s="1025">
      <c r="A6" s="863" t="inlineStr">
        <is>
          <t>RIVASAM</t>
        </is>
      </c>
      <c r="C6" s="864" t="inlineStr">
        <is>
          <t>Vendredi</t>
        </is>
      </c>
      <c r="H6" s="864" t="n"/>
    </row>
    <row r="7" ht="81" customHeight="1" s="1025">
      <c r="A7" s="863" t="inlineStr">
        <is>
          <t>TORRECAZA</t>
        </is>
      </c>
    </row>
    <row r="8" ht="81" customHeight="1" s="1025">
      <c r="A8" s="863" t="inlineStr">
        <is>
          <t>MVO DISTRIBUTION</t>
        </is>
      </c>
    </row>
    <row r="9" ht="81" customHeight="1" s="1025">
      <c r="A9" s="863" t="inlineStr">
        <is>
          <t>ARCADIE VIANDES</t>
        </is>
      </c>
    </row>
    <row r="10" ht="81" customHeight="1" s="1025">
      <c r="A10" s="863" t="inlineStr">
        <is>
          <t>DAM</t>
        </is>
      </c>
    </row>
    <row r="11" ht="81" customHeight="1" s="1025">
      <c r="A11" s="863" t="inlineStr">
        <is>
          <t>IANEXPORT</t>
        </is>
      </c>
    </row>
    <row r="12" ht="81" customHeight="1" s="1025">
      <c r="A12" s="863" t="inlineStr">
        <is>
          <t>ROMANS VIANDE</t>
        </is>
      </c>
    </row>
    <row r="13" ht="81" customHeight="1" s="1025">
      <c r="A13" s="863" t="inlineStr">
        <is>
          <t>SMV</t>
        </is>
      </c>
    </row>
    <row r="14" ht="81" customHeight="1" s="1025">
      <c r="A14" s="863" t="inlineStr">
        <is>
          <t>VIÑAS</t>
        </is>
      </c>
    </row>
  </sheetData>
  <pageMargins left="0.7" right="0.7" top="0.75" bottom="0.75" header="0.3" footer="0.3"/>
  <tableParts count="3">
    <tablePart xmlns:r="http://schemas.openxmlformats.org/officeDocument/2006/relationships" r:id="rId1"/>
    <tablePart xmlns:r="http://schemas.openxmlformats.org/officeDocument/2006/relationships" r:id="rId2"/>
    <tablePart xmlns:r="http://schemas.openxmlformats.org/officeDocument/2006/relationships" r:id="rId3"/>
  </tableParts>
</worksheet>
</file>

<file path=xl/worksheets/sheet5.xml><?xml version="1.0" encoding="utf-8"?>
<worksheet xmlns="http://schemas.openxmlformats.org/spreadsheetml/2006/main">
  <sheetPr codeName="Sheet4">
    <tabColor rgb="FFFF0000"/>
    <outlinePr summaryBelow="1" summaryRight="1"/>
    <pageSetUpPr fitToPage="1"/>
  </sheetPr>
  <dimension ref="A1:Z23"/>
  <sheetViews>
    <sheetView topLeftCell="J1" zoomScale="70" zoomScaleNormal="70" workbookViewId="0">
      <selection activeCell="L17" sqref="L17"/>
    </sheetView>
  </sheetViews>
  <sheetFormatPr baseColWidth="8" defaultColWidth="40.88671875" defaultRowHeight="22.8"/>
  <cols>
    <col hidden="1" style="2" min="1" max="1"/>
    <col hidden="1" width="19.33203125" customWidth="1" style="3" min="2" max="2"/>
    <col hidden="1" width="4.88671875" customWidth="1" style="1008" min="3" max="3"/>
    <col hidden="1" width="12.44140625" customWidth="1" style="33" min="4" max="4"/>
    <col hidden="1" width="5" customWidth="1" style="994" min="5" max="5"/>
    <col hidden="1" width="29.44140625" customWidth="1" style="994" min="6" max="6"/>
    <col hidden="1" width="25.5546875" customWidth="1" style="994" min="7" max="7"/>
    <col hidden="1" width="6.109375" customWidth="1" style="995" min="8" max="8"/>
    <col hidden="1" width="12.33203125" customWidth="1" style="994" min="9" max="9"/>
    <col width="4.33203125" customWidth="1" style="994" min="10" max="10"/>
    <col width="43.6640625" customWidth="1" style="994" min="11" max="11"/>
    <col width="14.109375" bestFit="1" customWidth="1" style="994" min="12" max="12"/>
    <col width="12.5546875" bestFit="1" customWidth="1" style="994" min="13" max="13"/>
    <col width="9.109375" bestFit="1" customWidth="1" style="995" min="14" max="14"/>
    <col width="15.33203125" customWidth="1" style="994" min="15" max="15"/>
    <col width="8.88671875" customWidth="1" style="994" min="16" max="16"/>
    <col hidden="1" style="994" min="17" max="17"/>
    <col hidden="1" width="18" customWidth="1" style="994" min="18" max="18"/>
    <col hidden="1" width="6.6640625" customWidth="1" style="994" min="19" max="19"/>
    <col hidden="1" width="14.6640625" customWidth="1" style="994" min="20" max="20"/>
    <col width="40.88671875" customWidth="1" style="994" min="21" max="21"/>
    <col width="47.44140625" bestFit="1" customWidth="1" style="994" min="22" max="22"/>
    <col width="13.6640625" customWidth="1" style="994" min="23" max="23"/>
    <col width="13.44140625" customWidth="1" style="994" min="24" max="24"/>
    <col width="10.33203125" bestFit="1" customWidth="1" style="994" min="25" max="25"/>
    <col width="13.109375" bestFit="1" customWidth="1" style="994" min="26" max="26"/>
    <col width="40.88671875" customWidth="1" style="994" min="27" max="27"/>
    <col width="40.88671875" customWidth="1" style="994" min="28" max="16384"/>
  </cols>
  <sheetData>
    <row r="1" ht="89.25" customHeight="1" s="1025" thickBot="1" thickTop="1">
      <c r="A1" s="983" t="inlineStr">
        <is>
          <t>HALRIZO 200 grs + HALRIZO Grosses pièces</t>
        </is>
      </c>
      <c r="B1" s="902" t="n"/>
      <c r="C1" s="902" t="n"/>
      <c r="D1" s="902" t="n"/>
      <c r="F1" s="983" t="inlineStr">
        <is>
          <t>ESSAI COMPLET SOUSSANA</t>
        </is>
      </c>
      <c r="G1" s="902" t="n"/>
      <c r="H1" s="902" t="n"/>
      <c r="I1" s="902" t="n"/>
      <c r="J1" s="20" t="n"/>
      <c r="K1" s="1000" t="inlineStr">
        <is>
          <t>HALRIZO Grosses pièces</t>
        </is>
      </c>
      <c r="L1" s="902" t="n"/>
      <c r="M1" s="902" t="n"/>
      <c r="N1" s="902" t="n"/>
      <c r="O1" s="268" t="n"/>
      <c r="Q1" s="999" t="inlineStr">
        <is>
          <t>HALRIZO 200  &amp; Grosses Pièces 
COMPLET VAN HESS</t>
        </is>
      </c>
      <c r="R1" s="902" t="n"/>
      <c r="S1" s="902" t="n"/>
      <c r="T1" s="902" t="n"/>
      <c r="V1" s="1000" t="inlineStr">
        <is>
          <t>HALRIZO 200 g</t>
        </is>
      </c>
      <c r="W1" s="902" t="n"/>
      <c r="X1" s="902" t="n"/>
      <c r="Y1" s="902" t="n"/>
      <c r="Z1" s="268" t="n"/>
    </row>
    <row r="2" ht="30" customHeight="1" s="1025" thickTop="1">
      <c r="F2" s="1003" t="inlineStr">
        <is>
          <t>Début essai S. 45 sur GROSSES PIECES</t>
        </is>
      </c>
      <c r="K2" s="3" t="n"/>
      <c r="L2" s="3" t="n"/>
      <c r="M2" s="3" t="n"/>
      <c r="Q2" s="235" t="inlineStr">
        <is>
          <t>A partir du 18/05/2020</t>
        </is>
      </c>
      <c r="R2" s="234" t="n"/>
      <c r="S2" s="234" t="n"/>
      <c r="T2" s="234" t="n"/>
      <c r="V2" s="3" t="n"/>
      <c r="W2" s="3" t="n"/>
      <c r="X2" s="3" t="n"/>
      <c r="Y2" s="995" t="n"/>
    </row>
    <row r="3" ht="26.25" customHeight="1" s="1025" thickBot="1">
      <c r="K3" s="3" t="n"/>
      <c r="L3" s="3" t="n"/>
      <c r="M3" s="3" t="n"/>
      <c r="S3" s="995" t="n"/>
      <c r="V3" s="3" t="n"/>
      <c r="W3" s="3" t="n"/>
      <c r="X3" s="3" t="n"/>
      <c r="Y3" s="995" t="n"/>
    </row>
    <row r="4" ht="26.25" customHeight="1" s="1025" thickBot="1">
      <c r="A4" s="988" t="inlineStr">
        <is>
          <t>ASSAISONNEMENT</t>
        </is>
      </c>
      <c r="B4" s="996" t="inlineStr">
        <is>
          <t>Mêlée de 150 KGS</t>
        </is>
      </c>
      <c r="C4" s="978" t="inlineStr">
        <is>
          <t>Unités</t>
        </is>
      </c>
      <c r="D4" s="98" t="inlineStr">
        <is>
          <t>Nb Mêlées</t>
        </is>
      </c>
      <c r="F4" s="998" t="inlineStr">
        <is>
          <t>ASSAISONNEMENT</t>
        </is>
      </c>
      <c r="G4" s="990" t="inlineStr">
        <is>
          <t>Mêlée de 150 KGS</t>
        </is>
      </c>
      <c r="H4" s="1004" t="inlineStr">
        <is>
          <t>Unités</t>
        </is>
      </c>
      <c r="I4" s="99" t="inlineStr">
        <is>
          <t>Nb Mêlées</t>
        </is>
      </c>
      <c r="K4" s="980" t="inlineStr">
        <is>
          <t>ASSAISONNEMENT</t>
        </is>
      </c>
      <c r="L4" s="985" t="inlineStr">
        <is>
          <t>Mêlée de 150 KG</t>
        </is>
      </c>
      <c r="M4" s="985" t="inlineStr">
        <is>
          <t>Poids cumulés</t>
        </is>
      </c>
      <c r="N4" s="1005" t="inlineStr">
        <is>
          <t>Unités</t>
        </is>
      </c>
      <c r="O4" s="314" t="inlineStr">
        <is>
          <t>Nb Mêlées</t>
        </is>
      </c>
      <c r="Q4" s="984" t="inlineStr">
        <is>
          <t>ASSAISONNEMENT</t>
        </is>
      </c>
      <c r="R4" s="1001" t="inlineStr">
        <is>
          <t>Mêlée de 150 KGS</t>
        </is>
      </c>
      <c r="S4" s="992" t="inlineStr">
        <is>
          <t>Unités</t>
        </is>
      </c>
      <c r="T4" s="245" t="inlineStr">
        <is>
          <t>Nb mêlées</t>
        </is>
      </c>
      <c r="V4" s="980" t="inlineStr">
        <is>
          <t>ASSAISONNEMENT</t>
        </is>
      </c>
      <c r="W4" s="985" t="inlineStr">
        <is>
          <t>Mêlée de 150 KG</t>
        </is>
      </c>
      <c r="X4" s="985" t="inlineStr">
        <is>
          <t>Poids cumulés</t>
        </is>
      </c>
      <c r="Y4" s="1005" t="inlineStr">
        <is>
          <t>Unités</t>
        </is>
      </c>
      <c r="Z4" s="314" t="inlineStr">
        <is>
          <t>Nb Mêlées</t>
        </is>
      </c>
    </row>
    <row r="5" ht="26.25" customHeight="1" s="1025" thickBot="1" thickTop="1">
      <c r="A5" s="989" t="n"/>
      <c r="B5" s="997" t="n"/>
      <c r="C5" s="979" t="n"/>
      <c r="D5" s="103" t="n">
        <v>0</v>
      </c>
      <c r="F5" s="991" t="n"/>
      <c r="G5" s="991" t="n"/>
      <c r="H5" s="991" t="n"/>
      <c r="I5" s="102" t="n">
        <v>0</v>
      </c>
      <c r="K5" s="979" t="n"/>
      <c r="L5" s="979" t="n"/>
      <c r="M5" s="979" t="n"/>
      <c r="N5" s="979" t="n"/>
      <c r="O5" s="315">
        <f>'PLANNING DE FABRICATION'!E12</f>
        <v/>
      </c>
      <c r="Q5" s="982" t="n"/>
      <c r="R5" s="987" t="n"/>
      <c r="S5" s="987" t="n"/>
      <c r="T5" s="244" t="n">
        <v>0</v>
      </c>
      <c r="V5" s="979" t="n"/>
      <c r="W5" s="979" t="n"/>
      <c r="X5" s="979" t="n"/>
      <c r="Y5" s="979" t="n"/>
      <c r="Z5" s="315">
        <f>'PLANNING DE FABRICATION'!E8</f>
        <v/>
      </c>
    </row>
    <row r="6" ht="50.1" customHeight="1" s="1025" thickTop="1">
      <c r="A6" s="28" t="inlineStr">
        <is>
          <t>SEL NITRITE E250</t>
        </is>
      </c>
      <c r="B6" s="22" t="n">
        <v>3.75</v>
      </c>
      <c r="C6" s="24" t="inlineStr">
        <is>
          <t>Kg</t>
        </is>
      </c>
      <c r="D6" s="100">
        <f>B6*$D$5</f>
        <v/>
      </c>
      <c r="F6" s="21" t="inlineStr">
        <is>
          <t>Eau froide</t>
        </is>
      </c>
      <c r="G6" s="22" t="n">
        <v>7</v>
      </c>
      <c r="H6" s="24" t="inlineStr">
        <is>
          <t>Kg</t>
        </is>
      </c>
      <c r="I6" s="101">
        <f>G6*$I$5</f>
        <v/>
      </c>
      <c r="K6" s="291" t="inlineStr">
        <is>
          <t>SEL NITRITE E250</t>
        </is>
      </c>
      <c r="L6" s="279" t="n">
        <v>3.75</v>
      </c>
      <c r="M6" s="279">
        <f>L6</f>
        <v/>
      </c>
      <c r="N6" s="1005" t="inlineStr">
        <is>
          <t>kg</t>
        </is>
      </c>
      <c r="O6" s="316">
        <f>L6*$O$5</f>
        <v/>
      </c>
      <c r="Q6" s="239" t="inlineStr">
        <is>
          <t>Sel Fin</t>
        </is>
      </c>
      <c r="R6" s="236" t="n">
        <v>1.5</v>
      </c>
      <c r="S6" s="237" t="inlineStr">
        <is>
          <t>kg</t>
        </is>
      </c>
      <c r="T6" s="271">
        <f>$T$5*R6</f>
        <v/>
      </c>
      <c r="V6" s="291" t="inlineStr">
        <is>
          <t>SEL NITRITE E250</t>
        </is>
      </c>
      <c r="W6" s="279" t="n">
        <v>3.75</v>
      </c>
      <c r="X6" s="279">
        <f>W6</f>
        <v/>
      </c>
      <c r="Y6" s="1005" t="inlineStr">
        <is>
          <t>kg</t>
        </is>
      </c>
      <c r="Z6" s="316">
        <f>W6*$Z$5</f>
        <v/>
      </c>
    </row>
    <row r="7" ht="50.1" customHeight="1" s="1025">
      <c r="A7" s="29" t="inlineStr">
        <is>
          <t xml:space="preserve">SEL </t>
        </is>
      </c>
      <c r="B7" s="27" t="n">
        <v>0.75</v>
      </c>
      <c r="C7" s="19" t="inlineStr">
        <is>
          <t>Kg</t>
        </is>
      </c>
      <c r="D7" s="35">
        <f>B7*$D$5</f>
        <v/>
      </c>
      <c r="F7" s="26" t="inlineStr">
        <is>
          <t>Sel</t>
        </is>
      </c>
      <c r="G7" s="27" t="n">
        <v>3.6</v>
      </c>
      <c r="H7" s="19" t="inlineStr">
        <is>
          <t>Kg</t>
        </is>
      </c>
      <c r="I7" s="25">
        <f>G7*$I$5</f>
        <v/>
      </c>
      <c r="K7" s="282" t="inlineStr">
        <is>
          <t xml:space="preserve">SEL </t>
        </is>
      </c>
      <c r="L7" s="321" t="n">
        <v>0.75</v>
      </c>
      <c r="M7" s="321">
        <f>M6+L7</f>
        <v/>
      </c>
      <c r="N7" s="283" t="inlineStr">
        <is>
          <t>kg</t>
        </is>
      </c>
      <c r="O7" s="316">
        <f>L7*$O$5</f>
        <v/>
      </c>
      <c r="Q7" s="240" t="inlineStr">
        <is>
          <t>Sel Nitrité</t>
        </is>
      </c>
      <c r="R7" s="26" t="n">
        <v>3</v>
      </c>
      <c r="S7" s="18" t="inlineStr">
        <is>
          <t>kg</t>
        </is>
      </c>
      <c r="T7" s="25">
        <f>$T$5*R7</f>
        <v/>
      </c>
      <c r="V7" s="282" t="inlineStr">
        <is>
          <t xml:space="preserve">SEL </t>
        </is>
      </c>
      <c r="W7" s="321" t="n">
        <v>0.75</v>
      </c>
      <c r="X7" s="321">
        <f>X6+W7</f>
        <v/>
      </c>
      <c r="Y7" s="283" t="inlineStr">
        <is>
          <t>kg</t>
        </is>
      </c>
      <c r="Z7" s="316">
        <f>W7*$Z$5</f>
        <v/>
      </c>
    </row>
    <row r="8" ht="50.1" customHeight="1" s="1025" thickBot="1">
      <c r="A8" s="30" t="inlineStr">
        <is>
          <t>SALPETRE E252</t>
        </is>
      </c>
      <c r="B8" s="12" t="n">
        <v>0.018</v>
      </c>
      <c r="C8" s="18" t="inlineStr">
        <is>
          <t>Kg</t>
        </is>
      </c>
      <c r="D8" s="35">
        <f>B8*$D$5</f>
        <v/>
      </c>
      <c r="F8" s="46" t="inlineStr">
        <is>
          <t>Complet</t>
        </is>
      </c>
      <c r="G8" s="47" t="n">
        <v>9.1</v>
      </c>
      <c r="H8" s="48" t="inlineStr">
        <is>
          <t>Kg</t>
        </is>
      </c>
      <c r="I8" s="49">
        <f>G8*$I$5</f>
        <v/>
      </c>
      <c r="K8" s="288" t="inlineStr">
        <is>
          <t xml:space="preserve">NITRATE DE POTASSIUM </t>
        </is>
      </c>
      <c r="L8" s="323" t="n">
        <v>0.02</v>
      </c>
      <c r="M8" s="324">
        <f>M7+L8</f>
        <v/>
      </c>
      <c r="N8" s="275" t="inlineStr">
        <is>
          <t>kg</t>
        </is>
      </c>
      <c r="O8" s="317">
        <f>L8*$O$5</f>
        <v/>
      </c>
      <c r="Q8" s="241" t="inlineStr">
        <is>
          <t>Complet</t>
        </is>
      </c>
      <c r="R8" s="12" t="n">
        <v>8.4</v>
      </c>
      <c r="S8" s="18" t="inlineStr">
        <is>
          <t>kg</t>
        </is>
      </c>
      <c r="T8" s="25">
        <f>$T$5*R8</f>
        <v/>
      </c>
      <c r="V8" s="288" t="inlineStr">
        <is>
          <t xml:space="preserve">NITRATE DE POTASSIUM </t>
        </is>
      </c>
      <c r="W8" s="323" t="n">
        <v>0.02</v>
      </c>
      <c r="X8" s="324">
        <f>X7+W8</f>
        <v/>
      </c>
      <c r="Y8" s="275" t="inlineStr">
        <is>
          <t>kg</t>
        </is>
      </c>
      <c r="Z8" s="316">
        <f>W8*$Z$5</f>
        <v/>
      </c>
    </row>
    <row r="9" ht="50.1" customHeight="1" s="1025" thickBot="1">
      <c r="A9" s="29" t="inlineStr">
        <is>
          <t>DEXTROSE</t>
        </is>
      </c>
      <c r="B9" s="27" t="n">
        <v>0.45</v>
      </c>
      <c r="C9" s="19" t="inlineStr">
        <is>
          <t>Kg</t>
        </is>
      </c>
      <c r="D9" s="35">
        <f>B9*$D$5</f>
        <v/>
      </c>
      <c r="F9" s="50" t="inlineStr">
        <is>
          <t>Ferment  (100kgs)</t>
        </is>
      </c>
      <c r="G9" s="50" t="n">
        <v>2</v>
      </c>
      <c r="H9" s="51" t="inlineStr">
        <is>
          <t>Sachet</t>
        </is>
      </c>
      <c r="I9" s="52">
        <f>G9*$I$5</f>
        <v/>
      </c>
      <c r="K9" s="295" t="inlineStr">
        <is>
          <t>DEXTROSE</t>
        </is>
      </c>
      <c r="L9" s="326" t="n">
        <v>0.45</v>
      </c>
      <c r="M9" s="326">
        <f>L9</f>
        <v/>
      </c>
      <c r="N9" s="287" t="inlineStr">
        <is>
          <t>kg</t>
        </is>
      </c>
      <c r="O9" s="318">
        <f>L9*$O$5</f>
        <v/>
      </c>
      <c r="Q9" s="242" t="inlineStr">
        <is>
          <t>Ferment</t>
        </is>
      </c>
      <c r="R9" s="238" t="n">
        <v>2</v>
      </c>
      <c r="S9" s="243" t="inlineStr">
        <is>
          <t>sachet</t>
        </is>
      </c>
      <c r="T9" s="25">
        <f>$T$5*R9</f>
        <v/>
      </c>
      <c r="V9" s="295" t="inlineStr">
        <is>
          <t>DEXTROSE</t>
        </is>
      </c>
      <c r="W9" s="326" t="n">
        <v>0.45</v>
      </c>
      <c r="X9" s="326">
        <f>W9</f>
        <v/>
      </c>
      <c r="Y9" s="287" t="inlineStr">
        <is>
          <t>kg</t>
        </is>
      </c>
      <c r="Z9" s="316">
        <f>W9*$Z$5</f>
        <v/>
      </c>
    </row>
    <row r="10" ht="50.1" customHeight="1" s="1025">
      <c r="A10" s="30" t="inlineStr">
        <is>
          <t>SACCHAROSE</t>
        </is>
      </c>
      <c r="B10" s="12" t="n">
        <v>0.3</v>
      </c>
      <c r="C10" s="18" t="inlineStr">
        <is>
          <t>Kg</t>
        </is>
      </c>
      <c r="D10" s="35">
        <f>B10*$D$5</f>
        <v/>
      </c>
      <c r="F10" s="1002" t="inlineStr">
        <is>
          <t>Faire une purée dans un seau 
Ajouter la purée à la viande, laisser mélanger jusqu'à obtenir une pâte uniforme. Puis intégrer les ferments</t>
        </is>
      </c>
      <c r="K10" s="291" t="inlineStr">
        <is>
          <t>SACCHAROSE</t>
        </is>
      </c>
      <c r="L10" s="322" t="n">
        <v>0.3</v>
      </c>
      <c r="M10" s="322">
        <f>M9+L10</f>
        <v/>
      </c>
      <c r="N10" s="1005" t="inlineStr">
        <is>
          <t>kg</t>
        </is>
      </c>
      <c r="O10" s="316">
        <f>L10*$O$5</f>
        <v/>
      </c>
      <c r="S10" s="995" t="n"/>
      <c r="V10" s="291" t="inlineStr">
        <is>
          <t>SACCHAROSE</t>
        </is>
      </c>
      <c r="W10" s="322" t="n">
        <v>0.3</v>
      </c>
      <c r="X10" s="322">
        <f>X9+W10</f>
        <v/>
      </c>
      <c r="Y10" s="1005" t="inlineStr">
        <is>
          <t>kg</t>
        </is>
      </c>
      <c r="Z10" s="316">
        <f>W10*$Z$5</f>
        <v/>
      </c>
    </row>
    <row r="11" ht="50.1" customHeight="1" s="1025">
      <c r="A11" s="29" t="inlineStr">
        <is>
          <t>LACTOSE</t>
        </is>
      </c>
      <c r="B11" s="27" t="n">
        <v>3</v>
      </c>
      <c r="C11" s="19" t="inlineStr">
        <is>
          <t>Kg</t>
        </is>
      </c>
      <c r="D11" s="35">
        <f>B11*$D$5</f>
        <v/>
      </c>
      <c r="K11" s="282" t="inlineStr">
        <is>
          <t>LACTOSE</t>
        </is>
      </c>
      <c r="L11" s="321" t="n">
        <v>3</v>
      </c>
      <c r="M11" s="321">
        <f>M10+L11</f>
        <v/>
      </c>
      <c r="N11" s="283" t="inlineStr">
        <is>
          <t>kg</t>
        </is>
      </c>
      <c r="O11" s="316">
        <f>L11*$O$5</f>
        <v/>
      </c>
      <c r="V11" s="282" t="inlineStr">
        <is>
          <t>LACTOSE</t>
        </is>
      </c>
      <c r="W11" s="321" t="n">
        <v>3</v>
      </c>
      <c r="X11" s="321">
        <f>X10+W11</f>
        <v/>
      </c>
      <c r="Y11" s="283" t="inlineStr">
        <is>
          <t>kg</t>
        </is>
      </c>
      <c r="Z11" s="316">
        <f>W11*$Z$5</f>
        <v/>
      </c>
    </row>
    <row r="12" ht="50.1" customHeight="1" s="1025">
      <c r="A12" s="30" t="inlineStr">
        <is>
          <t>POIVRE MOULU</t>
        </is>
      </c>
      <c r="B12" s="12" t="n">
        <v>0.3</v>
      </c>
      <c r="C12" s="18" t="inlineStr">
        <is>
          <t>Kg</t>
        </is>
      </c>
      <c r="D12" s="35">
        <f>B12*$D$5</f>
        <v/>
      </c>
      <c r="F12" s="993" t="inlineStr">
        <is>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is>
      </c>
      <c r="K12" s="291" t="inlineStr">
        <is>
          <t>POIVRE BLANC MOULU</t>
        </is>
      </c>
      <c r="L12" s="322" t="n">
        <v>0.3</v>
      </c>
      <c r="M12" s="322">
        <f>M11+L12</f>
        <v/>
      </c>
      <c r="N12" s="1005" t="inlineStr">
        <is>
          <t>kg</t>
        </is>
      </c>
      <c r="O12" s="316">
        <f>L12*$O$5</f>
        <v/>
      </c>
      <c r="V12" s="291" t="inlineStr">
        <is>
          <t>POIVRE BLANC MOULU</t>
        </is>
      </c>
      <c r="W12" s="322" t="n">
        <v>0.3</v>
      </c>
      <c r="X12" s="322">
        <f>X11+W12</f>
        <v/>
      </c>
      <c r="Y12" s="1005" t="inlineStr">
        <is>
          <t>kg</t>
        </is>
      </c>
      <c r="Z12" s="316">
        <f>W12*$Z$5</f>
        <v/>
      </c>
    </row>
    <row r="13" ht="50.1" customHeight="1" s="1025">
      <c r="A13" s="29" t="inlineStr">
        <is>
          <t>AIL SEMOULE</t>
        </is>
      </c>
      <c r="B13" s="27" t="n">
        <v>0.08</v>
      </c>
      <c r="C13" s="19" t="inlineStr">
        <is>
          <t>Kg</t>
        </is>
      </c>
      <c r="D13" s="35">
        <f>B13*$D$5</f>
        <v/>
      </c>
      <c r="K13" s="282" t="inlineStr">
        <is>
          <t>AIL SEMOULE</t>
        </is>
      </c>
      <c r="L13" s="321" t="n">
        <v>0.08</v>
      </c>
      <c r="M13" s="321">
        <f>M12+L13</f>
        <v/>
      </c>
      <c r="N13" s="283" t="inlineStr">
        <is>
          <t>kg</t>
        </is>
      </c>
      <c r="O13" s="316">
        <f>L13*$O$5</f>
        <v/>
      </c>
      <c r="V13" s="282" t="inlineStr">
        <is>
          <t>AIL SEMOULE</t>
        </is>
      </c>
      <c r="W13" s="321" t="n">
        <v>0.08</v>
      </c>
      <c r="X13" s="321">
        <f>X12+W13</f>
        <v/>
      </c>
      <c r="Y13" s="283" t="inlineStr">
        <is>
          <t>kg</t>
        </is>
      </c>
      <c r="Z13" s="316">
        <f>W13*$Z$5</f>
        <v/>
      </c>
    </row>
    <row r="14" ht="50.1" customHeight="1" s="1025">
      <c r="A14" s="30" t="inlineStr">
        <is>
          <t>PHOSPHATE bullin E450</t>
        </is>
      </c>
      <c r="B14" s="12" t="n">
        <v>0.75</v>
      </c>
      <c r="C14" s="18" t="inlineStr">
        <is>
          <t>Kg</t>
        </is>
      </c>
      <c r="D14" s="35">
        <f>B14*$D$5</f>
        <v/>
      </c>
      <c r="J14" s="16" t="n"/>
      <c r="K14" s="291" t="inlineStr">
        <is>
          <t>PHOSPHATE (E450+E451)</t>
        </is>
      </c>
      <c r="L14" s="322" t="n">
        <v>0.75</v>
      </c>
      <c r="M14" s="322">
        <f>M13+L14</f>
        <v/>
      </c>
      <c r="N14" s="1005" t="inlineStr">
        <is>
          <t>kg</t>
        </is>
      </c>
      <c r="O14" s="316">
        <f>L14*$O$5</f>
        <v/>
      </c>
      <c r="V14" s="291" t="inlineStr">
        <is>
          <t>PHOSPHATE (E450+E451)</t>
        </is>
      </c>
      <c r="W14" s="322" t="n">
        <v>0.75</v>
      </c>
      <c r="X14" s="322">
        <f>X13+W14</f>
        <v/>
      </c>
      <c r="Y14" s="1005" t="inlineStr">
        <is>
          <t>kg</t>
        </is>
      </c>
      <c r="Z14" s="316">
        <f>W14*$Z$5</f>
        <v/>
      </c>
    </row>
    <row r="15" ht="50.1" customHeight="1" s="1025" thickBot="1">
      <c r="A15" s="29" t="inlineStr">
        <is>
          <t>PIMENT FORT</t>
        </is>
      </c>
      <c r="B15" s="27" t="n">
        <v>0.75</v>
      </c>
      <c r="C15" s="19" t="inlineStr">
        <is>
          <t>Kg</t>
        </is>
      </c>
      <c r="D15" s="35">
        <f>B15*$D$5</f>
        <v/>
      </c>
      <c r="F15" s="104" t="n"/>
      <c r="G15" s="104" t="n"/>
      <c r="H15" s="104" t="n"/>
      <c r="I15" s="104" t="n"/>
      <c r="J15" s="16" t="n"/>
      <c r="K15" s="282" t="inlineStr">
        <is>
          <t>PIMENT FORT</t>
        </is>
      </c>
      <c r="L15" s="321" t="n">
        <v>0.75</v>
      </c>
      <c r="M15" s="321">
        <f>M14+L15</f>
        <v/>
      </c>
      <c r="N15" s="283" t="inlineStr">
        <is>
          <t>kg</t>
        </is>
      </c>
      <c r="O15" s="316">
        <f>L15*$O$5</f>
        <v/>
      </c>
      <c r="V15" s="282" t="inlineStr">
        <is>
          <t>PIMENT FORT</t>
        </is>
      </c>
      <c r="W15" s="321" t="n">
        <v>0.75</v>
      </c>
      <c r="X15" s="321">
        <f>X14+W15</f>
        <v/>
      </c>
      <c r="Y15" s="283" t="inlineStr">
        <is>
          <t>kg</t>
        </is>
      </c>
      <c r="Z15" s="316">
        <f>W15*$Z$5</f>
        <v/>
      </c>
    </row>
    <row r="16" ht="50.1" customHeight="1" s="1025" thickBot="1" thickTop="1">
      <c r="A16" s="30" t="inlineStr">
        <is>
          <t>PIMENT DOUX</t>
        </is>
      </c>
      <c r="B16" s="12" t="n">
        <v>6</v>
      </c>
      <c r="C16" s="18" t="inlineStr">
        <is>
          <t>Kg</t>
        </is>
      </c>
      <c r="D16" s="35">
        <f>B16*$D$5</f>
        <v/>
      </c>
      <c r="F16" s="983" t="inlineStr">
        <is>
          <t>HALAL 200 COMPLET VAN HESS</t>
        </is>
      </c>
      <c r="G16" s="902" t="n"/>
      <c r="H16" s="902" t="n"/>
      <c r="I16" s="902" t="n"/>
      <c r="J16" s="16" t="n"/>
      <c r="K16" s="291" t="inlineStr">
        <is>
          <t>PIMENT DOUX</t>
        </is>
      </c>
      <c r="L16" s="322" t="n">
        <v>6</v>
      </c>
      <c r="M16" s="322">
        <f>M15+L16</f>
        <v/>
      </c>
      <c r="N16" s="1005" t="inlineStr">
        <is>
          <t>kg</t>
        </is>
      </c>
      <c r="O16" s="316">
        <f>L16*$O$5</f>
        <v/>
      </c>
      <c r="V16" s="291" t="inlineStr">
        <is>
          <t>PIMENT DOUX</t>
        </is>
      </c>
      <c r="W16" s="322" t="n">
        <v>6</v>
      </c>
      <c r="X16" s="322">
        <f>X15+W16</f>
        <v/>
      </c>
      <c r="Y16" s="1005" t="inlineStr">
        <is>
          <t>kg</t>
        </is>
      </c>
      <c r="Z16" s="316">
        <f>W16*$Z$5</f>
        <v/>
      </c>
    </row>
    <row r="17" ht="50.1" customHeight="1" s="1025" thickBot="1" thickTop="1">
      <c r="A17" s="29" t="inlineStr">
        <is>
          <t>PIMENT DOUX FUME</t>
        </is>
      </c>
      <c r="B17" s="27" t="n">
        <v>0.2</v>
      </c>
      <c r="C17" s="19" t="inlineStr">
        <is>
          <t>Kg</t>
        </is>
      </c>
      <c r="D17" s="35">
        <f>B17*$D$5</f>
        <v/>
      </c>
      <c r="J17" s="16" t="n"/>
      <c r="K17" s="282" t="inlineStr">
        <is>
          <t>PIMENT DOUX FUME</t>
        </is>
      </c>
      <c r="L17" s="321" t="n">
        <v>0.2</v>
      </c>
      <c r="M17" s="321">
        <f>M16+L17</f>
        <v/>
      </c>
      <c r="N17" s="283" t="inlineStr">
        <is>
          <t>kg</t>
        </is>
      </c>
      <c r="O17" s="316">
        <f>L17*$O$5</f>
        <v/>
      </c>
      <c r="V17" s="282" t="inlineStr">
        <is>
          <t>PIMENT DOUX FUME</t>
        </is>
      </c>
      <c r="W17" s="321" t="n">
        <v>0.2</v>
      </c>
      <c r="X17" s="321">
        <f>X16+W17</f>
        <v/>
      </c>
      <c r="Y17" s="283" t="inlineStr">
        <is>
          <t>kg</t>
        </is>
      </c>
      <c r="Z17" s="316">
        <f>W17*$Z$5</f>
        <v/>
      </c>
    </row>
    <row r="18" ht="50.1" customHeight="1" s="1025" thickBot="1">
      <c r="A18" s="31" t="inlineStr">
        <is>
          <t>CUMIN</t>
        </is>
      </c>
      <c r="B18" s="12" t="n">
        <v>0.2</v>
      </c>
      <c r="C18" s="18" t="inlineStr">
        <is>
          <t>Kg</t>
        </is>
      </c>
      <c r="D18" s="35">
        <f>B18*$D$5</f>
        <v/>
      </c>
      <c r="F18" s="981" t="inlineStr">
        <is>
          <t>ASSAISONNEMENT</t>
        </is>
      </c>
      <c r="G18" s="986" t="inlineStr">
        <is>
          <t>Mêlée de 150 KGS</t>
        </is>
      </c>
      <c r="H18" s="992" t="inlineStr">
        <is>
          <t>Unités</t>
        </is>
      </c>
      <c r="I18" s="107" t="inlineStr">
        <is>
          <t>Nb Mêlées</t>
        </is>
      </c>
      <c r="J18" s="16" t="n"/>
      <c r="K18" s="278" t="inlineStr">
        <is>
          <t>CUMIN</t>
        </is>
      </c>
      <c r="L18" s="322" t="n">
        <v>0.2</v>
      </c>
      <c r="M18" s="322">
        <f>M17+L18</f>
        <v/>
      </c>
      <c r="N18" s="1005" t="inlineStr">
        <is>
          <t>kg</t>
        </is>
      </c>
      <c r="O18" s="316">
        <f>L18*$O$5</f>
        <v/>
      </c>
      <c r="V18" s="278" t="inlineStr">
        <is>
          <t>CUMIN</t>
        </is>
      </c>
      <c r="W18" s="322" t="n">
        <v>0.2</v>
      </c>
      <c r="X18" s="322">
        <f>X17+W18</f>
        <v/>
      </c>
      <c r="Y18" s="1005" t="inlineStr">
        <is>
          <t>kg</t>
        </is>
      </c>
      <c r="Z18" s="316">
        <f>W18*$Z$5</f>
        <v/>
      </c>
    </row>
    <row r="19" ht="50.1" customHeight="1" s="1025" thickBot="1" thickTop="1">
      <c r="A19" s="36" t="inlineStr">
        <is>
          <t>ORIGAN</t>
        </is>
      </c>
      <c r="B19" s="39" t="n">
        <v>0.15</v>
      </c>
      <c r="C19" s="40" t="inlineStr">
        <is>
          <t>Kg</t>
        </is>
      </c>
      <c r="D19" s="41">
        <f>B19*$D$5</f>
        <v/>
      </c>
      <c r="F19" s="982" t="n"/>
      <c r="G19" s="987" t="n"/>
      <c r="H19" s="987" t="n"/>
      <c r="I19" s="119" t="n"/>
      <c r="J19" s="16" t="n"/>
      <c r="K19" s="280" t="inlineStr">
        <is>
          <t>ORIGAN</t>
        </is>
      </c>
      <c r="L19" s="321" t="n">
        <v>0.15</v>
      </c>
      <c r="M19" s="321">
        <f>M18+L19</f>
        <v/>
      </c>
      <c r="N19" s="283" t="inlineStr">
        <is>
          <t>kg</t>
        </is>
      </c>
      <c r="O19" s="316">
        <f>L19*$O$5</f>
        <v/>
      </c>
      <c r="V19" s="280" t="inlineStr">
        <is>
          <t>ORIGAN</t>
        </is>
      </c>
      <c r="W19" s="321" t="n">
        <v>0.15</v>
      </c>
      <c r="X19" s="321">
        <f>X18+W19</f>
        <v/>
      </c>
      <c r="Y19" s="283" t="inlineStr">
        <is>
          <t>kg</t>
        </is>
      </c>
      <c r="Z19" s="316">
        <f>W19*$Z$5</f>
        <v/>
      </c>
    </row>
    <row r="20" ht="50.1" customHeight="1" s="1025" thickBot="1">
      <c r="A20" s="37" t="inlineStr">
        <is>
          <t>FERMENTS  42 R</t>
        </is>
      </c>
      <c r="B20" s="42" t="n">
        <v>1</v>
      </c>
      <c r="C20" s="43" t="inlineStr">
        <is>
          <t>Sachet</t>
        </is>
      </c>
      <c r="D20" s="44">
        <f>B20*$D$5</f>
        <v/>
      </c>
      <c r="F20" s="129" t="inlineStr">
        <is>
          <t>Complet</t>
        </is>
      </c>
      <c r="G20" s="47" t="n">
        <v>12</v>
      </c>
      <c r="H20" s="48" t="inlineStr">
        <is>
          <t>Kg</t>
        </is>
      </c>
      <c r="I20" s="105">
        <f>G20*$I$19</f>
        <v/>
      </c>
      <c r="J20" s="16" t="n"/>
      <c r="K20" s="325" t="inlineStr">
        <is>
          <t>ARÔME DE PAPRIKA</t>
        </is>
      </c>
      <c r="L20" s="324" t="n">
        <v>0.15</v>
      </c>
      <c r="M20" s="324">
        <f>M19+L20</f>
        <v/>
      </c>
      <c r="N20" s="275" t="inlineStr">
        <is>
          <t>kg</t>
        </is>
      </c>
      <c r="O20" s="319">
        <f>L20*$O$5</f>
        <v/>
      </c>
      <c r="V20" s="325" t="inlineStr">
        <is>
          <t>ARÔME DE PAPRIKA</t>
        </is>
      </c>
      <c r="W20" s="324" t="n">
        <v>0.075</v>
      </c>
      <c r="X20" s="324">
        <f>X19+W20</f>
        <v/>
      </c>
      <c r="Y20" s="275" t="inlineStr">
        <is>
          <t>kg</t>
        </is>
      </c>
      <c r="Z20" s="316">
        <f>W20*$Z$5</f>
        <v/>
      </c>
    </row>
    <row r="21" ht="50.1" customHeight="1" s="1025" thickBot="1">
      <c r="A21" s="4" t="n"/>
      <c r="F21" s="131" t="inlineStr">
        <is>
          <t>Ferment 42R</t>
        </is>
      </c>
      <c r="G21" s="108" t="n">
        <v>1</v>
      </c>
      <c r="H21" s="109" t="inlineStr">
        <is>
          <t>Sachet</t>
        </is>
      </c>
      <c r="I21" s="106">
        <f>G21*$I$19</f>
        <v/>
      </c>
      <c r="J21" s="16" t="n"/>
      <c r="K21" s="285" t="inlineStr">
        <is>
          <t>FERMENTS  42 R</t>
        </is>
      </c>
      <c r="L21" s="297" t="n">
        <v>2</v>
      </c>
      <c r="M21" s="297" t="n">
        <v>2</v>
      </c>
      <c r="N21" s="287" t="inlineStr">
        <is>
          <t>sachet</t>
        </is>
      </c>
      <c r="O21" s="320">
        <f>L21*$O$5</f>
        <v/>
      </c>
      <c r="V21" s="285" t="inlineStr">
        <is>
          <t>FERMENTS  42 R</t>
        </is>
      </c>
      <c r="W21" s="297" t="n">
        <v>2</v>
      </c>
      <c r="X21" s="297" t="n">
        <v>2</v>
      </c>
      <c r="Y21" s="287" t="inlineStr">
        <is>
          <t>sachet</t>
        </is>
      </c>
      <c r="Z21" s="316">
        <f>W21*$Z$5</f>
        <v/>
      </c>
    </row>
    <row r="22">
      <c r="A22" s="5" t="n"/>
      <c r="J22" s="16" t="n"/>
      <c r="O22" s="3" t="n"/>
    </row>
    <row r="23">
      <c r="O23" s="3" t="n"/>
    </row>
  </sheetData>
  <sheetProtection selectLockedCells="0" selectUnlockedCells="0" algorithmName="SHA-512" sheet="1" objects="1" insertRows="1" insertHyperlinks="1" autoFilter="1" scenarios="1" formatColumns="1" deleteColumns="1" insertColumns="1" pivotTables="1" deleteRows="1" formatCells="1" saltValue="lIHZ0K9TI2fspZKIUCXngg==" formatRows="1" sort="1" spinCount="100000" hashValue="qDa96vb2SDIBcg800+Eo8bXLZSFHBillQH8dKkK/69mb8ahFmkoychH2s3F3UZbvhLHVz671GXukE/sVGVE3bQ=="/>
  <mergeCells count="29">
    <mergeCell ref="R4:R5"/>
    <mergeCell ref="C4:C5"/>
    <mergeCell ref="V4:V5"/>
    <mergeCell ref="F18:F19"/>
    <mergeCell ref="F1:I1"/>
    <mergeCell ref="Q4:Q5"/>
    <mergeCell ref="L4:L5"/>
    <mergeCell ref="F16:I16"/>
    <mergeCell ref="G18:G19"/>
    <mergeCell ref="A1:D1"/>
    <mergeCell ref="A4:A5"/>
    <mergeCell ref="X4:X5"/>
    <mergeCell ref="G4:G5"/>
    <mergeCell ref="K4:K5"/>
    <mergeCell ref="S4:S5"/>
    <mergeCell ref="V1:Y1"/>
    <mergeCell ref="K1:N1"/>
    <mergeCell ref="H18:H19"/>
    <mergeCell ref="M4:M5"/>
    <mergeCell ref="F12:I14"/>
    <mergeCell ref="B4:B5"/>
    <mergeCell ref="W4:W5"/>
    <mergeCell ref="F4:F5"/>
    <mergeCell ref="F2:I2"/>
    <mergeCell ref="H4:H5"/>
    <mergeCell ref="Y4:Y5"/>
    <mergeCell ref="N4:N5"/>
    <mergeCell ref="Q1:T1"/>
    <mergeCell ref="F10:I11"/>
  </mergeCells>
  <printOptions horizontalCentered="1" verticalCentered="1"/>
  <pageMargins left="0.7086614173228347" right="0.7086614173228347" top="0.7480314960629921" bottom="0.7480314960629921" header="0.3149606299212598" footer="0.3149606299212598"/>
  <pageSetup orientation="portrait" paperSize="9" scale="76"/>
  <legacyDrawing xmlns:r="http://schemas.openxmlformats.org/officeDocument/2006/relationships" r:id="anysvml"/>
</worksheet>
</file>

<file path=xl/worksheets/sheet6.xml><?xml version="1.0" encoding="utf-8"?>
<worksheet xmlns="http://schemas.openxmlformats.org/spreadsheetml/2006/main">
  <sheetPr codeName="Sheet5">
    <tabColor rgb="FFFF0000"/>
    <outlinePr summaryBelow="1" summaryRight="1"/>
    <pageSetUpPr fitToPage="1"/>
  </sheetPr>
  <dimension ref="A1:J18"/>
  <sheetViews>
    <sheetView topLeftCell="A7" zoomScale="70" zoomScaleNormal="70" workbookViewId="0">
      <selection activeCell="K15" sqref="K15"/>
    </sheetView>
  </sheetViews>
  <sheetFormatPr baseColWidth="8" defaultColWidth="11.44140625" defaultRowHeight="33.75" customHeight="1"/>
  <cols>
    <col width="47.88671875" bestFit="1" customWidth="1" style="1007" min="1" max="1"/>
    <col width="14.109375" customWidth="1" style="1007" min="2" max="2"/>
    <col width="12.33203125" customWidth="1" style="1007" min="3" max="3"/>
    <col width="9.88671875" customWidth="1" style="1008" min="4" max="4"/>
    <col width="16.5546875" bestFit="1" customWidth="1" style="1007" min="5" max="5"/>
    <col width="11.44140625" customWidth="1" style="1007" min="6" max="6"/>
    <col width="11.44140625" customWidth="1" style="1007" min="7" max="16384"/>
  </cols>
  <sheetData>
    <row r="1" ht="33.75" customHeight="1" s="1025">
      <c r="A1" s="1006" t="inlineStr">
        <is>
          <t>HALAL  PIMENTE BN 350 g</t>
        </is>
      </c>
      <c r="E1" s="269" t="n"/>
    </row>
    <row r="2" ht="33.75" customHeight="1" s="1025">
      <c r="A2" s="20" t="n"/>
      <c r="B2" s="20" t="n"/>
      <c r="C2" s="20" t="n"/>
      <c r="D2" s="45" t="n"/>
    </row>
    <row r="3" ht="33.75" customHeight="1" s="1025" thickBot="1">
      <c r="A3" s="980" t="inlineStr">
        <is>
          <t>ASSAISONNEMENT</t>
        </is>
      </c>
      <c r="B3" s="1009" t="inlineStr">
        <is>
          <t>Mêlée de 
150 KG</t>
        </is>
      </c>
      <c r="C3" s="1009" t="inlineStr">
        <is>
          <t>Poids cumulés</t>
        </is>
      </c>
      <c r="D3" s="1005" t="inlineStr">
        <is>
          <t>Unités</t>
        </is>
      </c>
      <c r="E3" s="327" t="inlineStr">
        <is>
          <t>Nb Mêlées</t>
        </is>
      </c>
    </row>
    <row r="4" ht="44.25" customHeight="1" s="1025">
      <c r="A4" s="979" t="n"/>
      <c r="B4" s="1010" t="n"/>
      <c r="C4" s="1010" t="n"/>
      <c r="D4" s="979" t="n"/>
      <c r="E4" s="328">
        <f>'PLANNING DE FABRICATION'!E10</f>
        <v/>
      </c>
    </row>
    <row r="5" ht="50.1" customHeight="1" s="1025">
      <c r="A5" s="278" t="inlineStr">
        <is>
          <t xml:space="preserve">SEL NITRITE </t>
        </is>
      </c>
      <c r="B5" s="279" t="n">
        <v>3.75</v>
      </c>
      <c r="C5" s="279">
        <f>B5</f>
        <v/>
      </c>
      <c r="D5" s="298" t="inlineStr">
        <is>
          <t>kg</t>
        </is>
      </c>
      <c r="E5" s="329">
        <f>B5*$E$4</f>
        <v/>
      </c>
    </row>
    <row r="6" ht="50.1" customHeight="1" s="1025">
      <c r="A6" s="280" t="inlineStr">
        <is>
          <t xml:space="preserve">SEL </t>
        </is>
      </c>
      <c r="B6" s="277" t="n">
        <v>0.75</v>
      </c>
      <c r="C6" s="277">
        <f>C5+B6</f>
        <v/>
      </c>
      <c r="D6" s="281" t="inlineStr">
        <is>
          <t>kg</t>
        </is>
      </c>
      <c r="E6" s="329">
        <f>B6*$E$4</f>
        <v/>
      </c>
    </row>
    <row r="7" ht="50.1" customHeight="1" s="1025" thickBot="1">
      <c r="A7" s="325" t="inlineStr">
        <is>
          <t>NITRATE DE POTASSIUM</t>
        </is>
      </c>
      <c r="B7" s="323" t="n">
        <v>0.02</v>
      </c>
      <c r="C7" s="290">
        <f>C6+B7</f>
        <v/>
      </c>
      <c r="D7" s="334" t="inlineStr">
        <is>
          <t>kg</t>
        </is>
      </c>
      <c r="E7" s="330">
        <f>B7*$E$4</f>
        <v/>
      </c>
    </row>
    <row r="8" ht="50.1" customHeight="1" s="1025">
      <c r="A8" s="335" t="inlineStr">
        <is>
          <t>DEXTROSE</t>
        </is>
      </c>
      <c r="B8" s="276" t="n">
        <v>0.45</v>
      </c>
      <c r="C8" s="276">
        <f>B8</f>
        <v/>
      </c>
      <c r="D8" s="336" t="inlineStr">
        <is>
          <t>kg</t>
        </is>
      </c>
      <c r="E8" s="331">
        <f>B8*$E$4</f>
        <v/>
      </c>
    </row>
    <row r="9" ht="50.1" customHeight="1" s="1025">
      <c r="A9" s="278" t="inlineStr">
        <is>
          <t>SACCHAROSE</t>
        </is>
      </c>
      <c r="B9" s="292" t="n">
        <v>0.3</v>
      </c>
      <c r="C9" s="292">
        <f>C8+B9</f>
        <v/>
      </c>
      <c r="D9" s="298" t="inlineStr">
        <is>
          <t>kg</t>
        </is>
      </c>
      <c r="E9" s="332">
        <f>B9*$E$4</f>
        <v/>
      </c>
    </row>
    <row r="10" ht="50.1" customHeight="1" s="1025">
      <c r="A10" s="280" t="inlineStr">
        <is>
          <t>LACTOSE</t>
        </is>
      </c>
      <c r="B10" s="277" t="n">
        <v>3</v>
      </c>
      <c r="C10" s="277">
        <f>C9+B10</f>
        <v/>
      </c>
      <c r="D10" s="281" t="inlineStr">
        <is>
          <t>kg</t>
        </is>
      </c>
      <c r="E10" s="332">
        <f>B10*$E$4</f>
        <v/>
      </c>
    </row>
    <row r="11" ht="50.1" customHeight="1" s="1025">
      <c r="A11" s="278" t="inlineStr">
        <is>
          <t>POIVRE BLANC MOULU</t>
        </is>
      </c>
      <c r="B11" s="292" t="n">
        <v>0.45</v>
      </c>
      <c r="C11" s="292">
        <f>C10+B11</f>
        <v/>
      </c>
      <c r="D11" s="298" t="inlineStr">
        <is>
          <t>kg</t>
        </is>
      </c>
      <c r="E11" s="332">
        <f>B11*$E$4</f>
        <v/>
      </c>
    </row>
    <row r="12" ht="50.1" customHeight="1" s="1025">
      <c r="A12" s="280" t="inlineStr">
        <is>
          <t>POIVRE NOIR CONCASSE</t>
        </is>
      </c>
      <c r="B12" s="277" t="n">
        <v>0.15</v>
      </c>
      <c r="C12" s="277">
        <f>C11+B12</f>
        <v/>
      </c>
      <c r="D12" s="281" t="inlineStr">
        <is>
          <t>kg</t>
        </is>
      </c>
      <c r="E12" s="332">
        <f>B12*$E$4</f>
        <v/>
      </c>
    </row>
    <row r="13" ht="50.1" customHeight="1" s="1025">
      <c r="A13" s="278" t="inlineStr">
        <is>
          <t>AIL SEMOULE</t>
        </is>
      </c>
      <c r="B13" s="292" t="n">
        <v>0.08</v>
      </c>
      <c r="C13" s="292">
        <f>C12+B13</f>
        <v/>
      </c>
      <c r="D13" s="298" t="inlineStr">
        <is>
          <t>kg</t>
        </is>
      </c>
      <c r="E13" s="332">
        <f>B13*$E$4</f>
        <v/>
      </c>
    </row>
    <row r="14" ht="50.1" customHeight="1" s="1025">
      <c r="A14" s="280" t="inlineStr">
        <is>
          <t>PHOSPHATE (E450+E451)</t>
        </is>
      </c>
      <c r="B14" s="277" t="n">
        <v>0.75</v>
      </c>
      <c r="C14" s="277">
        <f>C13+B14</f>
        <v/>
      </c>
      <c r="D14" s="281" t="inlineStr">
        <is>
          <t>kg</t>
        </is>
      </c>
      <c r="E14" s="332">
        <f>B14*$E$4</f>
        <v/>
      </c>
    </row>
    <row r="15" ht="50.1" customHeight="1" s="1025">
      <c r="A15" s="278" t="inlineStr">
        <is>
          <t>PIMENT FORT</t>
        </is>
      </c>
      <c r="B15" s="292" t="n">
        <v>1.3</v>
      </c>
      <c r="C15" s="292">
        <f>C14+B15</f>
        <v/>
      </c>
      <c r="D15" s="298" t="inlineStr">
        <is>
          <t>kg</t>
        </is>
      </c>
      <c r="E15" s="332">
        <f>B15*$E$4</f>
        <v/>
      </c>
    </row>
    <row r="16" ht="50.1" customHeight="1" s="1025">
      <c r="A16" s="280" t="inlineStr">
        <is>
          <t>ORIGAN</t>
        </is>
      </c>
      <c r="B16" s="277" t="n">
        <v>0.15</v>
      </c>
      <c r="C16" s="277">
        <f>C15+B16</f>
        <v/>
      </c>
      <c r="D16" s="281" t="inlineStr">
        <is>
          <t>kg</t>
        </is>
      </c>
      <c r="E16" s="332">
        <f>B16*$E$4</f>
        <v/>
      </c>
    </row>
    <row r="17" ht="50.1" customHeight="1" s="1025" thickBot="1">
      <c r="A17" s="278" t="inlineStr">
        <is>
          <t>CUMIN</t>
        </is>
      </c>
      <c r="B17" s="292" t="n">
        <v>0.4</v>
      </c>
      <c r="C17" s="292">
        <f>C16+B17</f>
        <v/>
      </c>
      <c r="D17" s="298" t="inlineStr">
        <is>
          <t>kg</t>
        </is>
      </c>
      <c r="E17" s="332">
        <f>B17*$E$4</f>
        <v/>
      </c>
      <c r="J17" s="840" t="n"/>
    </row>
    <row r="18" ht="50.1" customHeight="1" s="1025">
      <c r="A18" s="294" t="inlineStr">
        <is>
          <t>FERMENTS -42 R (150)</t>
        </is>
      </c>
      <c r="B18" s="299" t="n">
        <v>2</v>
      </c>
      <c r="C18" s="299" t="n">
        <v>2</v>
      </c>
      <c r="D18" s="300" t="inlineStr">
        <is>
          <t>sachet</t>
        </is>
      </c>
      <c r="E18" s="333">
        <f>B18*$E$4</f>
        <v/>
      </c>
    </row>
  </sheetData>
  <sheetProtection selectLockedCells="0" selectUnlockedCells="0" algorithmName="SHA-512" sheet="1" objects="1" insertRows="1" insertHyperlinks="1" autoFilter="1" scenarios="1" formatColumns="1" deleteColumns="1" insertColumns="1" pivotTables="1" deleteRows="1" formatCells="1" saltValue="lEvLZGuFD6vrH7fSvrWX0A==" formatRows="1" sort="1" spinCount="100000" hashValue="IegQpB1v2+jhNTbMgLAWOmiVfB+FgJ1nb1NbkBGs5HB30e+0JKZRkrbc/4OPNtPKGmVm0Q7fWi+xjnifwFc2qA=="/>
  <mergeCells count="5">
    <mergeCell ref="A1:D1"/>
    <mergeCell ref="C3:C4"/>
    <mergeCell ref="A3:A4"/>
    <mergeCell ref="B3:B4"/>
    <mergeCell ref="D3:D4"/>
  </mergeCells>
  <printOptions horizontalCentered="1" verticalCentered="1"/>
  <pageMargins left="0.7086614173228347" right="0.7086614173228347" top="0.7480314960629921" bottom="0.7480314960629921" header="0.3149606299212598" footer="0.3149606299212598"/>
  <pageSetup orientation="portrait" paperSize="9" scale="89"/>
  <legacyDrawing xmlns:r="http://schemas.openxmlformats.org/officeDocument/2006/relationships" r:id="anysvml"/>
</worksheet>
</file>

<file path=xl/worksheets/sheet7.xml><?xml version="1.0" encoding="utf-8"?>
<worksheet xmlns="http://schemas.openxmlformats.org/spreadsheetml/2006/main">
  <sheetPr codeName="Sheet6">
    <tabColor rgb="FFFF0000"/>
    <outlinePr summaryBelow="1" summaryRight="1"/>
    <pageSetUpPr fitToPage="1"/>
  </sheetPr>
  <dimension ref="A1:U21"/>
  <sheetViews>
    <sheetView topLeftCell="U1" zoomScale="55" zoomScaleNormal="55" workbookViewId="0">
      <selection activeCell="B20" sqref="B20"/>
    </sheetView>
  </sheetViews>
  <sheetFormatPr baseColWidth="8" defaultColWidth="11.44140625" defaultRowHeight="21"/>
  <cols>
    <col width="47.88671875" bestFit="1" customWidth="1" style="1013" min="1" max="1"/>
    <col width="14.109375" bestFit="1" customWidth="1" style="1012" min="2" max="2"/>
    <col width="16.5546875" customWidth="1" style="1012" min="3" max="3"/>
    <col width="10.33203125" bestFit="1" customWidth="1" style="1008" min="4" max="4"/>
    <col width="16.109375" customWidth="1" style="33" min="5" max="5"/>
    <col width="11.44140625" customWidth="1" style="1013" min="6" max="8"/>
    <col width="47.88671875" bestFit="1" customWidth="1" style="1013" min="9" max="9"/>
    <col width="17" customWidth="1" style="1013" min="10" max="11"/>
    <col width="10.5546875" bestFit="1" customWidth="1" style="1013" min="12" max="12"/>
    <col width="17" customWidth="1" style="1013" min="13" max="13"/>
    <col width="11.44140625" customWidth="1" style="1013" min="14" max="16"/>
    <col width="47.44140625" bestFit="1" customWidth="1" style="1013" min="17" max="17"/>
    <col width="18.33203125" customWidth="1" style="1013" min="18" max="18"/>
    <col width="21" bestFit="1" customWidth="1" style="1013" min="19" max="19"/>
    <col width="10.5546875" customWidth="1" style="1013" min="20" max="20"/>
    <col width="16.6640625" bestFit="1" customWidth="1" style="1013" min="21" max="21"/>
    <col width="11.44140625" customWidth="1" style="1013" min="22" max="22"/>
    <col width="11.44140625" customWidth="1" style="1013" min="23" max="16384"/>
  </cols>
  <sheetData>
    <row r="1" ht="25.5" customHeight="1" s="1025">
      <c r="A1" s="11" t="n"/>
      <c r="B1" s="3" t="n"/>
      <c r="C1" s="3" t="n"/>
    </row>
    <row r="2" ht="72" customHeight="1" s="1025">
      <c r="A2" s="1011" t="inlineStr">
        <is>
          <t>HALAL 
Grosses Pièces</t>
        </is>
      </c>
      <c r="E2" s="270" t="n"/>
      <c r="I2" s="1011" t="inlineStr">
        <is>
          <t>HALAL 
200g</t>
        </is>
      </c>
      <c r="M2" s="270" t="n"/>
      <c r="Q2" s="1011" t="inlineStr">
        <is>
          <t>HALAL 
BN nature 350g</t>
        </is>
      </c>
      <c r="U2" s="270" t="n"/>
    </row>
    <row r="3">
      <c r="F3" s="1007" t="n"/>
      <c r="J3" s="1012" t="n"/>
      <c r="K3" s="1012" t="n"/>
      <c r="L3" s="1008" t="n"/>
      <c r="M3" s="33" t="n"/>
      <c r="R3" s="1012" t="n"/>
      <c r="S3" s="1012" t="n"/>
      <c r="T3" s="1008" t="n"/>
      <c r="U3" s="33" t="n"/>
    </row>
    <row r="4" ht="51.75" customHeight="1" s="1025" thickBot="1">
      <c r="A4" s="980" t="inlineStr">
        <is>
          <t>ASSAISONNEMENT</t>
        </is>
      </c>
      <c r="B4" s="1009" t="inlineStr">
        <is>
          <t>Mêlée de 
150 KG</t>
        </is>
      </c>
      <c r="C4" s="1009" t="inlineStr">
        <is>
          <t>Poids cumulés</t>
        </is>
      </c>
      <c r="D4" s="985" t="inlineStr">
        <is>
          <t>Unités</t>
        </is>
      </c>
      <c r="E4" s="327" t="inlineStr">
        <is>
          <t>Nb Mêlées</t>
        </is>
      </c>
      <c r="F4" s="1007" t="n"/>
      <c r="I4" s="980" t="inlineStr">
        <is>
          <t>ASSAISONNEMENT</t>
        </is>
      </c>
      <c r="J4" s="1009" t="inlineStr">
        <is>
          <t>Mêlée de 
150 KG</t>
        </is>
      </c>
      <c r="K4" s="1009" t="inlineStr">
        <is>
          <t>Poids cumulés</t>
        </is>
      </c>
      <c r="L4" s="985" t="inlineStr">
        <is>
          <t>Unités</t>
        </is>
      </c>
      <c r="M4" s="327" t="inlineStr">
        <is>
          <t>Nb Mêlées</t>
        </is>
      </c>
      <c r="Q4" s="980" t="inlineStr">
        <is>
          <t>ASSAISONNEMENT</t>
        </is>
      </c>
      <c r="R4" s="1009" t="inlineStr">
        <is>
          <t>Mêlée de 
150 KG</t>
        </is>
      </c>
      <c r="S4" s="1009" t="inlineStr">
        <is>
          <t>Poids cumulés</t>
        </is>
      </c>
      <c r="T4" s="985" t="inlineStr">
        <is>
          <t>Unités</t>
        </is>
      </c>
      <c r="U4" s="327" t="inlineStr">
        <is>
          <t>Nb Mêlées</t>
        </is>
      </c>
    </row>
    <row r="5" ht="45" customHeight="1" s="1025" thickBot="1">
      <c r="A5" s="979" t="n"/>
      <c r="B5" s="1010" t="n"/>
      <c r="C5" s="1010" t="n"/>
      <c r="D5" s="979" t="n"/>
      <c r="E5" s="337">
        <f>'PLANNING DE FABRICATION'!E11</f>
        <v/>
      </c>
      <c r="F5" s="1007" t="n"/>
      <c r="I5" s="979" t="n"/>
      <c r="J5" s="1010" t="n"/>
      <c r="K5" s="1010" t="n"/>
      <c r="L5" s="979" t="n"/>
      <c r="M5" s="337">
        <f>'PLANNING DE FABRICATION'!E7</f>
        <v/>
      </c>
      <c r="Q5" s="979" t="n"/>
      <c r="R5" s="1010" t="n"/>
      <c r="S5" s="1010" t="n"/>
      <c r="T5" s="979" t="n"/>
      <c r="U5" s="337">
        <f>'PLANNING DE FABRICATION'!E9</f>
        <v/>
      </c>
    </row>
    <row r="6" ht="50.1" customHeight="1" s="1025">
      <c r="A6" s="278" t="inlineStr">
        <is>
          <t>SEL NITRITE</t>
        </is>
      </c>
      <c r="B6" s="279" t="n">
        <v>3.75</v>
      </c>
      <c r="C6" s="279">
        <f>B6</f>
        <v/>
      </c>
      <c r="D6" s="1005" t="inlineStr">
        <is>
          <t>kg</t>
        </is>
      </c>
      <c r="E6" s="440">
        <f>B6*$E$5</f>
        <v/>
      </c>
      <c r="F6" s="1007" t="n"/>
      <c r="I6" s="278" t="inlineStr">
        <is>
          <t>SEL NITRITE</t>
        </is>
      </c>
      <c r="J6" s="279" t="n">
        <v>3.75</v>
      </c>
      <c r="K6" s="279">
        <f>J6</f>
        <v/>
      </c>
      <c r="L6" s="1005" t="inlineStr">
        <is>
          <t>kg</t>
        </is>
      </c>
      <c r="M6" s="440">
        <f>J6*$M$5</f>
        <v/>
      </c>
      <c r="Q6" s="278" t="inlineStr">
        <is>
          <t>SEL NITRITE</t>
        </is>
      </c>
      <c r="R6" s="279" t="n">
        <v>3.75</v>
      </c>
      <c r="S6" s="279">
        <f>R6</f>
        <v/>
      </c>
      <c r="T6" s="1005" t="inlineStr">
        <is>
          <t>kg</t>
        </is>
      </c>
      <c r="U6" s="440">
        <f>R6*$U$5</f>
        <v/>
      </c>
    </row>
    <row r="7" ht="50.1" customHeight="1" s="1025">
      <c r="A7" s="282" t="inlineStr">
        <is>
          <t xml:space="preserve">SEL </t>
        </is>
      </c>
      <c r="B7" s="277" t="n">
        <v>0.75</v>
      </c>
      <c r="C7" s="277">
        <f>C6+B7</f>
        <v/>
      </c>
      <c r="D7" s="283" t="inlineStr">
        <is>
          <t>kg</t>
        </is>
      </c>
      <c r="E7" s="329">
        <f>B7*$E$5</f>
        <v/>
      </c>
      <c r="F7" s="1007" t="n"/>
      <c r="I7" s="282" t="inlineStr">
        <is>
          <t xml:space="preserve">SEL </t>
        </is>
      </c>
      <c r="J7" s="277" t="n">
        <v>0.75</v>
      </c>
      <c r="K7" s="277">
        <f>K6+J7</f>
        <v/>
      </c>
      <c r="L7" s="283" t="inlineStr">
        <is>
          <t>kg</t>
        </is>
      </c>
      <c r="M7" s="440">
        <f>J7*$M$5</f>
        <v/>
      </c>
      <c r="Q7" s="282" t="inlineStr">
        <is>
          <t xml:space="preserve">SEL </t>
        </is>
      </c>
      <c r="R7" s="277" t="n">
        <v>0.75</v>
      </c>
      <c r="S7" s="277">
        <f>S6+R7</f>
        <v/>
      </c>
      <c r="T7" s="283" t="inlineStr">
        <is>
          <t>kg</t>
        </is>
      </c>
      <c r="U7" s="440">
        <f>R7*$U$5</f>
        <v/>
      </c>
    </row>
    <row r="8" ht="50.1" customHeight="1" s="1025" thickBot="1">
      <c r="A8" s="288" t="inlineStr">
        <is>
          <t>NITRATE DE POTASSIUM</t>
        </is>
      </c>
      <c r="B8" s="289" t="n">
        <v>0.02</v>
      </c>
      <c r="C8" s="290">
        <f>C7+B8</f>
        <v/>
      </c>
      <c r="D8" s="275" t="inlineStr">
        <is>
          <t>kg</t>
        </is>
      </c>
      <c r="E8" s="441">
        <f>B8*$E$5</f>
        <v/>
      </c>
      <c r="F8" s="1007" t="n"/>
      <c r="I8" s="288" t="inlineStr">
        <is>
          <t>NITRATE DE POTASSIUM</t>
        </is>
      </c>
      <c r="J8" s="289" t="n">
        <v>0.02</v>
      </c>
      <c r="K8" s="290">
        <f>K7+J8</f>
        <v/>
      </c>
      <c r="L8" s="275" t="inlineStr">
        <is>
          <t>kg</t>
        </is>
      </c>
      <c r="M8" s="440">
        <f>J8*$M$5</f>
        <v/>
      </c>
      <c r="Q8" s="288" t="inlineStr">
        <is>
          <t>NITRATE DE POTASSIUM</t>
        </is>
      </c>
      <c r="R8" s="289" t="n">
        <v>0.02</v>
      </c>
      <c r="S8" s="290">
        <f>S7+R8</f>
        <v/>
      </c>
      <c r="T8" s="275" t="inlineStr">
        <is>
          <t>kg</t>
        </is>
      </c>
      <c r="U8" s="440">
        <f>R8*$U$5</f>
        <v/>
      </c>
    </row>
    <row r="9" ht="50.1" customHeight="1" s="1025">
      <c r="A9" s="295" t="inlineStr">
        <is>
          <t>DEXTROSE</t>
        </is>
      </c>
      <c r="B9" s="276" t="n">
        <v>0.45</v>
      </c>
      <c r="C9" s="276">
        <f>B9</f>
        <v/>
      </c>
      <c r="D9" s="287" t="inlineStr">
        <is>
          <t>kg</t>
        </is>
      </c>
      <c r="E9" s="333">
        <f>B9*$E$5</f>
        <v/>
      </c>
      <c r="F9" s="1007" t="n"/>
      <c r="I9" s="295" t="inlineStr">
        <is>
          <t>DEXTROSE</t>
        </is>
      </c>
      <c r="J9" s="276" t="n">
        <v>0.45</v>
      </c>
      <c r="K9" s="276">
        <f>J9</f>
        <v/>
      </c>
      <c r="L9" s="287" t="inlineStr">
        <is>
          <t>kg</t>
        </is>
      </c>
      <c r="M9" s="440">
        <f>J9*$M$5</f>
        <v/>
      </c>
      <c r="Q9" s="295" t="inlineStr">
        <is>
          <t>DEXTROSE</t>
        </is>
      </c>
      <c r="R9" s="276" t="n">
        <v>0.45</v>
      </c>
      <c r="S9" s="276">
        <f>R9</f>
        <v/>
      </c>
      <c r="T9" s="287" t="inlineStr">
        <is>
          <t>kg</t>
        </is>
      </c>
      <c r="U9" s="440">
        <f>R9*$U$5</f>
        <v/>
      </c>
    </row>
    <row r="10" ht="50.1" customHeight="1" s="1025">
      <c r="A10" s="291" t="inlineStr">
        <is>
          <t>SACCHAROSE</t>
        </is>
      </c>
      <c r="B10" s="292" t="n">
        <v>0.3</v>
      </c>
      <c r="C10" s="292">
        <f>C9+B10</f>
        <v/>
      </c>
      <c r="D10" s="1005" t="inlineStr">
        <is>
          <t>kg</t>
        </is>
      </c>
      <c r="E10" s="329">
        <f>B10*$E$5</f>
        <v/>
      </c>
      <c r="F10" s="1007" t="n"/>
      <c r="I10" s="291" t="inlineStr">
        <is>
          <t>SACCHAROSE</t>
        </is>
      </c>
      <c r="J10" s="292" t="n">
        <v>0.3</v>
      </c>
      <c r="K10" s="292">
        <f>K9+J10</f>
        <v/>
      </c>
      <c r="L10" s="1005" t="inlineStr">
        <is>
          <t>kg</t>
        </is>
      </c>
      <c r="M10" s="440">
        <f>J10*$M$5</f>
        <v/>
      </c>
      <c r="Q10" s="291" t="inlineStr">
        <is>
          <t>SACCHAROSE</t>
        </is>
      </c>
      <c r="R10" s="292" t="n">
        <v>0.3</v>
      </c>
      <c r="S10" s="292">
        <f>S9+R10</f>
        <v/>
      </c>
      <c r="T10" s="1005" t="inlineStr">
        <is>
          <t>kg</t>
        </is>
      </c>
      <c r="U10" s="440">
        <f>R10*$U$5</f>
        <v/>
      </c>
    </row>
    <row r="11" ht="50.1" customHeight="1" s="1025">
      <c r="A11" s="282" t="inlineStr">
        <is>
          <t>LACTOSE</t>
        </is>
      </c>
      <c r="B11" s="277" t="n">
        <v>3.51</v>
      </c>
      <c r="C11" s="277">
        <f>C10+B11</f>
        <v/>
      </c>
      <c r="D11" s="283" t="inlineStr">
        <is>
          <t>kg</t>
        </is>
      </c>
      <c r="E11" s="329">
        <f>B11*$E$5</f>
        <v/>
      </c>
      <c r="F11" s="1007" t="n"/>
      <c r="I11" s="282" t="inlineStr">
        <is>
          <t>LACTOSE</t>
        </is>
      </c>
      <c r="J11" s="277" t="n">
        <v>3.51</v>
      </c>
      <c r="K11" s="277">
        <f>K10+J11</f>
        <v/>
      </c>
      <c r="L11" s="283" t="inlineStr">
        <is>
          <t>kg</t>
        </is>
      </c>
      <c r="M11" s="440">
        <f>J11*$M$5</f>
        <v/>
      </c>
      <c r="Q11" s="282" t="inlineStr">
        <is>
          <t>LACTOSE</t>
        </is>
      </c>
      <c r="R11" s="277" t="n">
        <v>3.51</v>
      </c>
      <c r="S11" s="277">
        <f>S10+R11</f>
        <v/>
      </c>
      <c r="T11" s="283" t="inlineStr">
        <is>
          <t>kg</t>
        </is>
      </c>
      <c r="U11" s="440">
        <f>R11*$U$5</f>
        <v/>
      </c>
    </row>
    <row r="12" ht="50.1" customHeight="1" s="1025">
      <c r="A12" s="291" t="inlineStr">
        <is>
          <t>POIVRE BLANC MOULU</t>
        </is>
      </c>
      <c r="B12" s="292" t="n">
        <v>0.45</v>
      </c>
      <c r="C12" s="292">
        <f>C11+B12</f>
        <v/>
      </c>
      <c r="D12" s="1005" t="inlineStr">
        <is>
          <t>kg</t>
        </is>
      </c>
      <c r="E12" s="329">
        <f>B12*$E$5</f>
        <v/>
      </c>
      <c r="F12" s="1007" t="n"/>
      <c r="I12" s="291" t="inlineStr">
        <is>
          <t>POIVRE BLANC MOULU</t>
        </is>
      </c>
      <c r="J12" s="292" t="n">
        <v>0.45</v>
      </c>
      <c r="K12" s="292">
        <f>K11+J12</f>
        <v/>
      </c>
      <c r="L12" s="1005" t="inlineStr">
        <is>
          <t>kg</t>
        </is>
      </c>
      <c r="M12" s="440">
        <f>J12*$M$5</f>
        <v/>
      </c>
      <c r="Q12" s="291" t="inlineStr">
        <is>
          <t>POIVRE BLANC MOULU</t>
        </is>
      </c>
      <c r="R12" s="292" t="n">
        <v>0.45</v>
      </c>
      <c r="S12" s="292">
        <f>S11+R12</f>
        <v/>
      </c>
      <c r="T12" s="1005" t="inlineStr">
        <is>
          <t>kg</t>
        </is>
      </c>
      <c r="U12" s="440">
        <f>R12*$U$5</f>
        <v/>
      </c>
    </row>
    <row r="13" ht="50.1" customHeight="1" s="1025">
      <c r="A13" s="282" t="inlineStr">
        <is>
          <t>POIVRE NOIR CONCASSE</t>
        </is>
      </c>
      <c r="B13" s="277" t="n">
        <v>0.15</v>
      </c>
      <c r="C13" s="277">
        <f>C12+B13</f>
        <v/>
      </c>
      <c r="D13" s="283" t="inlineStr">
        <is>
          <t>kg</t>
        </is>
      </c>
      <c r="E13" s="329">
        <f>B13*$E$5</f>
        <v/>
      </c>
      <c r="F13" s="1007" t="n"/>
      <c r="I13" s="282" t="inlineStr">
        <is>
          <t>POIVRE NOIR CONCASSE</t>
        </is>
      </c>
      <c r="J13" s="277" t="n">
        <v>0.15</v>
      </c>
      <c r="K13" s="277">
        <f>K12+J13</f>
        <v/>
      </c>
      <c r="L13" s="283" t="inlineStr">
        <is>
          <t>kg</t>
        </is>
      </c>
      <c r="M13" s="440">
        <f>J13*$M$5</f>
        <v/>
      </c>
      <c r="Q13" s="282" t="inlineStr">
        <is>
          <t>POIVRE NOIR CONCASSE</t>
        </is>
      </c>
      <c r="R13" s="277" t="n">
        <v>0.15</v>
      </c>
      <c r="S13" s="277">
        <f>S12+R13</f>
        <v/>
      </c>
      <c r="T13" s="283" t="inlineStr">
        <is>
          <t>kg</t>
        </is>
      </c>
      <c r="U13" s="440">
        <f>R13*$U$5</f>
        <v/>
      </c>
    </row>
    <row r="14" ht="50.1" customHeight="1" s="1025">
      <c r="A14" s="291" t="inlineStr">
        <is>
          <t>AIL SEMOULE</t>
        </is>
      </c>
      <c r="B14" s="292" t="n">
        <v>0.12</v>
      </c>
      <c r="C14" s="292">
        <f>C13+B14</f>
        <v/>
      </c>
      <c r="D14" s="1005" t="inlineStr">
        <is>
          <t>kg</t>
        </is>
      </c>
      <c r="E14" s="329">
        <f>B14*$E$5</f>
        <v/>
      </c>
      <c r="F14" s="1007" t="n"/>
      <c r="I14" s="291" t="inlineStr">
        <is>
          <t>AIL SEMOULE</t>
        </is>
      </c>
      <c r="J14" s="292" t="n">
        <v>0.12</v>
      </c>
      <c r="K14" s="292">
        <f>K13+J14</f>
        <v/>
      </c>
      <c r="L14" s="1005" t="inlineStr">
        <is>
          <t>kg</t>
        </is>
      </c>
      <c r="M14" s="440">
        <f>J14*$M$5</f>
        <v/>
      </c>
      <c r="Q14" s="291" t="inlineStr">
        <is>
          <t>AIL SEMOULE</t>
        </is>
      </c>
      <c r="R14" s="292" t="n">
        <v>0.12</v>
      </c>
      <c r="S14" s="292">
        <f>S13+R14</f>
        <v/>
      </c>
      <c r="T14" s="1005" t="inlineStr">
        <is>
          <t>kg</t>
        </is>
      </c>
      <c r="U14" s="440">
        <f>R14*$U$5</f>
        <v/>
      </c>
    </row>
    <row r="15" ht="50.1" customHeight="1" s="1025">
      <c r="A15" s="282" t="inlineStr">
        <is>
          <t>PHOSPHATE (E450+E451)</t>
        </is>
      </c>
      <c r="B15" s="277" t="n">
        <v>0.75</v>
      </c>
      <c r="C15" s="277">
        <f>C14+B15</f>
        <v/>
      </c>
      <c r="D15" s="283" t="inlineStr">
        <is>
          <t>kg</t>
        </is>
      </c>
      <c r="E15" s="329">
        <f>B15*$E$5</f>
        <v/>
      </c>
      <c r="F15" s="1007" t="n"/>
      <c r="I15" s="282" t="inlineStr">
        <is>
          <t>PHOSPHATE (E450+E451)</t>
        </is>
      </c>
      <c r="J15" s="277" t="n">
        <v>0.75</v>
      </c>
      <c r="K15" s="277">
        <f>K14+J15</f>
        <v/>
      </c>
      <c r="L15" s="283" t="inlineStr">
        <is>
          <t>kg</t>
        </is>
      </c>
      <c r="M15" s="440">
        <f>J15*$M$5</f>
        <v/>
      </c>
      <c r="Q15" s="282" t="inlineStr">
        <is>
          <t>PHOSPHATE (E450+E451)</t>
        </is>
      </c>
      <c r="R15" s="277" t="n">
        <v>0.75</v>
      </c>
      <c r="S15" s="277">
        <f>S14+R15</f>
        <v/>
      </c>
      <c r="T15" s="283" t="inlineStr">
        <is>
          <t>kg</t>
        </is>
      </c>
      <c r="U15" s="440">
        <f>R15*$U$5</f>
        <v/>
      </c>
    </row>
    <row r="16" ht="50.1" customHeight="1" s="1025">
      <c r="A16" s="291" t="inlineStr">
        <is>
          <t>ORIGAN</t>
        </is>
      </c>
      <c r="B16" s="293" t="n">
        <v>0.075</v>
      </c>
      <c r="C16" s="292">
        <f>C15+B16</f>
        <v/>
      </c>
      <c r="D16" s="1005" t="inlineStr">
        <is>
          <t>kg</t>
        </is>
      </c>
      <c r="E16" s="329">
        <f>B16*$E$5</f>
        <v/>
      </c>
      <c r="F16" s="1007" t="n"/>
      <c r="I16" s="291" t="inlineStr">
        <is>
          <t>ORIGAN</t>
        </is>
      </c>
      <c r="J16" s="293" t="n">
        <v>0.075</v>
      </c>
      <c r="K16" s="292">
        <f>K15+J16</f>
        <v/>
      </c>
      <c r="L16" s="1005" t="inlineStr">
        <is>
          <t>kg</t>
        </is>
      </c>
      <c r="M16" s="440">
        <f>J16*$M$5</f>
        <v/>
      </c>
      <c r="Q16" s="291" t="inlineStr">
        <is>
          <t>ORIGAN</t>
        </is>
      </c>
      <c r="R16" s="293" t="n">
        <v>0.075</v>
      </c>
      <c r="S16" s="292">
        <f>S15+R16</f>
        <v/>
      </c>
      <c r="T16" s="1005" t="inlineStr">
        <is>
          <t>kg</t>
        </is>
      </c>
      <c r="U16" s="440">
        <f>R16*$U$5</f>
        <v/>
      </c>
    </row>
    <row r="17" ht="50.1" customHeight="1" s="1025">
      <c r="A17" s="282" t="inlineStr">
        <is>
          <t>CUMIN</t>
        </is>
      </c>
      <c r="B17" s="284" t="n">
        <v>0.225</v>
      </c>
      <c r="C17" s="277">
        <f>C16+B17</f>
        <v/>
      </c>
      <c r="D17" s="283" t="inlineStr">
        <is>
          <t>kg</t>
        </is>
      </c>
      <c r="E17" s="329">
        <f>B17*$E$5</f>
        <v/>
      </c>
      <c r="F17" s="1007" t="n"/>
      <c r="G17" s="32" t="n"/>
      <c r="I17" s="282" t="inlineStr">
        <is>
          <t>CUMIN</t>
        </is>
      </c>
      <c r="J17" s="284" t="n">
        <v>0.225</v>
      </c>
      <c r="K17" s="277">
        <f>K16+J17</f>
        <v/>
      </c>
      <c r="L17" s="283" t="inlineStr">
        <is>
          <t>kg</t>
        </is>
      </c>
      <c r="M17" s="440">
        <f>J17*$M$5</f>
        <v/>
      </c>
      <c r="Q17" s="282" t="inlineStr">
        <is>
          <t>CUMIN</t>
        </is>
      </c>
      <c r="R17" s="284" t="n">
        <v>0.225</v>
      </c>
      <c r="S17" s="277">
        <f>S16+R17</f>
        <v/>
      </c>
      <c r="T17" s="283" t="inlineStr">
        <is>
          <t>kg</t>
        </is>
      </c>
      <c r="U17" s="440">
        <f>R17*$U$5</f>
        <v/>
      </c>
    </row>
    <row r="18" ht="50.1" customHeight="1" s="1025" thickBot="1">
      <c r="A18" s="288" t="inlineStr">
        <is>
          <t>PIMENT FORT</t>
        </is>
      </c>
      <c r="B18" s="290" t="n">
        <v>0.15</v>
      </c>
      <c r="C18" s="290">
        <f>C17+B18</f>
        <v/>
      </c>
      <c r="D18" s="275" t="inlineStr">
        <is>
          <t>kg</t>
        </is>
      </c>
      <c r="E18" s="441">
        <f>B18*$E$5</f>
        <v/>
      </c>
      <c r="F18" s="1007" t="n"/>
      <c r="G18" s="32" t="n"/>
      <c r="I18" s="288" t="inlineStr">
        <is>
          <t>PIMENT FORT</t>
        </is>
      </c>
      <c r="J18" s="290" t="n">
        <v>0.15</v>
      </c>
      <c r="K18" s="290">
        <f>K17+J18</f>
        <v/>
      </c>
      <c r="L18" s="275" t="inlineStr">
        <is>
          <t>kg</t>
        </is>
      </c>
      <c r="M18" s="440">
        <f>J18*$M$5</f>
        <v/>
      </c>
      <c r="Q18" s="288" t="inlineStr">
        <is>
          <t>PIMENT FORT</t>
        </is>
      </c>
      <c r="R18" s="290" t="n">
        <v>0.15</v>
      </c>
      <c r="S18" s="290">
        <f>S17+R18</f>
        <v/>
      </c>
      <c r="T18" s="275" t="inlineStr">
        <is>
          <t>kg</t>
        </is>
      </c>
      <c r="U18" s="440">
        <f>R18*$U$5</f>
        <v/>
      </c>
    </row>
    <row r="19" ht="50.1" customHeight="1" s="1025">
      <c r="A19" s="285" t="inlineStr">
        <is>
          <t>FERMENTS 42R</t>
        </is>
      </c>
      <c r="B19" s="286" t="n">
        <v>2</v>
      </c>
      <c r="C19" s="286">
        <f>B19</f>
        <v/>
      </c>
      <c r="D19" s="287" t="inlineStr">
        <is>
          <t>sachet</t>
        </is>
      </c>
      <c r="E19" s="333">
        <f>B19*$E$5</f>
        <v/>
      </c>
      <c r="F19" s="1007" t="n"/>
      <c r="I19" s="285" t="inlineStr">
        <is>
          <t>FERMENTS 42R</t>
        </is>
      </c>
      <c r="J19" s="286" t="n">
        <v>2</v>
      </c>
      <c r="K19" s="286">
        <f>J19</f>
        <v/>
      </c>
      <c r="L19" s="287" t="inlineStr">
        <is>
          <t>sachet</t>
        </is>
      </c>
      <c r="M19" s="440">
        <f>J19*$M$5</f>
        <v/>
      </c>
      <c r="Q19" s="285" t="inlineStr">
        <is>
          <t>FERMENTS 42R</t>
        </is>
      </c>
      <c r="R19" s="286" t="n">
        <v>2</v>
      </c>
      <c r="S19" s="286">
        <f>R19</f>
        <v/>
      </c>
      <c r="T19" s="287" t="inlineStr">
        <is>
          <t>sachet</t>
        </is>
      </c>
      <c r="U19" s="440">
        <f>R19*$U$5</f>
        <v/>
      </c>
    </row>
    <row r="20" ht="50.1" customHeight="1" s="1025">
      <c r="A20" s="291" t="inlineStr">
        <is>
          <t>BETTERAVE ROUGE</t>
        </is>
      </c>
      <c r="B20" s="292" t="n">
        <v>0.3</v>
      </c>
      <c r="C20" s="292">
        <f>B20</f>
        <v/>
      </c>
      <c r="D20" s="1005" t="inlineStr">
        <is>
          <t>kg</t>
        </is>
      </c>
      <c r="E20" s="329">
        <f>B20*$E$5</f>
        <v/>
      </c>
      <c r="F20" s="1007" t="n"/>
      <c r="I20" s="291" t="inlineStr">
        <is>
          <t>BETTERAVE ROUGE</t>
        </is>
      </c>
      <c r="J20" s="292" t="n">
        <v>0.3</v>
      </c>
      <c r="K20" s="292">
        <f>J20</f>
        <v/>
      </c>
      <c r="L20" s="1005" t="inlineStr">
        <is>
          <t>kg</t>
        </is>
      </c>
      <c r="M20" s="440">
        <f>J20*$M$5</f>
        <v/>
      </c>
      <c r="Q20" s="291" t="inlineStr">
        <is>
          <t>BETTERAVE ROUGE</t>
        </is>
      </c>
      <c r="R20" s="292" t="n">
        <v>0.3</v>
      </c>
      <c r="S20" s="292">
        <f>R20</f>
        <v/>
      </c>
      <c r="T20" s="1005" t="inlineStr">
        <is>
          <t>kg</t>
        </is>
      </c>
      <c r="U20" s="440">
        <f>R20*$U$5</f>
        <v/>
      </c>
    </row>
    <row r="21">
      <c r="F21" s="1007" t="n"/>
    </row>
  </sheetData>
  <sheetProtection selectLockedCells="0" selectUnlockedCells="0" algorithmName="SHA-512" sheet="1" objects="1" insertRows="1" insertHyperlinks="1" autoFilter="1" scenarios="1" formatColumns="1" deleteColumns="1" insertColumns="1" pivotTables="1" deleteRows="1" formatCells="1" saltValue="RFVl/jEB92wuf4jWj3nedg==" formatRows="1" sort="1" spinCount="100000" hashValue="xl34I7P6ahyeMnxjouW80HS+bA07OsdGQqVEzt/ODHZExw+WSsFFPC/luNZCP5oH1XCg3W/oERS81BbVpZGMfg=="/>
  <mergeCells count="15">
    <mergeCell ref="R4:R5"/>
    <mergeCell ref="B4:B5"/>
    <mergeCell ref="Q4:Q5"/>
    <mergeCell ref="T4:T5"/>
    <mergeCell ref="A4:A5"/>
    <mergeCell ref="C4:C5"/>
    <mergeCell ref="D4:D5"/>
    <mergeCell ref="J4:J5"/>
    <mergeCell ref="I4:I5"/>
    <mergeCell ref="K4:K5"/>
    <mergeCell ref="L4:L5"/>
    <mergeCell ref="S4:S5"/>
    <mergeCell ref="A2:D2"/>
    <mergeCell ref="I2:L2"/>
    <mergeCell ref="Q2:T2"/>
  </mergeCells>
  <printOptions horizontalCentered="1" verticalCentered="1"/>
  <pageMargins left="0.7086614173228347" right="0.7086614173228347" top="0.7480314960629921" bottom="0.7480314960629921" header="0.3149606299212598" footer="0.3149606299212598"/>
  <pageSetup orientation="portrait" paperSize="9" scale="81"/>
  <legacyDrawing xmlns:r="http://schemas.openxmlformats.org/officeDocument/2006/relationships" r:id="anysvml"/>
</worksheet>
</file>

<file path=xl/worksheets/sheet8.xml><?xml version="1.0" encoding="utf-8"?>
<worksheet xmlns="http://schemas.openxmlformats.org/spreadsheetml/2006/main">
  <sheetPr codeName="Sheet7">
    <tabColor rgb="FF00B050"/>
    <outlinePr summaryBelow="1" summaryRight="1"/>
    <pageSetUpPr fitToPage="1"/>
  </sheetPr>
  <dimension ref="A1:O29"/>
  <sheetViews>
    <sheetView topLeftCell="C13" zoomScaleNormal="100" workbookViewId="0">
      <selection activeCell="A14" sqref="A14:D26"/>
    </sheetView>
  </sheetViews>
  <sheetFormatPr baseColWidth="8" defaultColWidth="11.5546875" defaultRowHeight="19.2"/>
  <cols>
    <col width="37.44140625" customWidth="1" style="1013" min="1" max="1"/>
    <col width="12.33203125" customWidth="1" style="1025" min="2" max="2"/>
    <col width="9.88671875" bestFit="1" customWidth="1" style="1025" min="3" max="3"/>
    <col width="8.6640625" customWidth="1" style="1025" min="4" max="4"/>
    <col width="13.44140625" bestFit="1" customWidth="1" style="1025" min="5" max="5"/>
    <col width="5" customWidth="1" style="1025" min="6" max="6"/>
    <col width="38.33203125" customWidth="1" style="1025" min="7" max="7"/>
    <col width="10.109375" bestFit="1" customWidth="1" style="1025" min="8" max="8"/>
    <col width="9.44140625" bestFit="1" customWidth="1" style="1025" min="9" max="9"/>
    <col width="7.33203125" bestFit="1" customWidth="1" style="1025" min="10" max="10"/>
    <col width="6.33203125" customWidth="1" style="1025" min="12" max="12"/>
  </cols>
  <sheetData>
    <row r="1" ht="10.5" customHeight="1" s="1025" thickBot="1">
      <c r="A1" s="443" t="n"/>
      <c r="B1" s="444" t="n"/>
      <c r="C1" s="9" t="n"/>
    </row>
    <row r="2" ht="39.75" customHeight="1" s="1025" thickBot="1" thickTop="1">
      <c r="A2" s="1018" t="inlineStr">
        <is>
          <t>- SAUCISSON PUR PORC A CUIRE -</t>
        </is>
      </c>
      <c r="B2" s="902" t="n"/>
      <c r="C2" s="902" t="n"/>
      <c r="D2" s="902" t="n"/>
      <c r="E2" s="264" t="n"/>
      <c r="G2" s="1018" t="inlineStr">
        <is>
          <t>- SAUCISSON A CUIRE PISTACHE -</t>
        </is>
      </c>
      <c r="H2" s="902" t="n"/>
      <c r="I2" s="902" t="n"/>
      <c r="J2" s="902" t="n"/>
      <c r="K2" s="264" t="n"/>
    </row>
    <row r="3" ht="15.75" customHeight="1" s="1025" thickTop="1">
      <c r="A3" s="10" t="n"/>
      <c r="B3" s="9" t="n"/>
      <c r="C3" s="9" t="n"/>
    </row>
    <row r="4" ht="44.25" customHeight="1" s="1025" thickBot="1">
      <c r="A4" s="1019" t="inlineStr">
        <is>
          <t>ASSAISONNEMENT</t>
        </is>
      </c>
      <c r="B4" s="1014" t="inlineStr">
        <is>
          <t>Mêlée de 150 kg</t>
        </is>
      </c>
      <c r="C4" s="1014" t="inlineStr">
        <is>
          <t>Poids cumulés</t>
        </is>
      </c>
      <c r="D4" s="1016" t="inlineStr">
        <is>
          <t>Unités</t>
        </is>
      </c>
      <c r="E4" s="338" t="inlineStr">
        <is>
          <t>Nb Mêlées</t>
        </is>
      </c>
      <c r="G4" s="1019" t="inlineStr">
        <is>
          <t>ASSAISONNEMENT</t>
        </is>
      </c>
      <c r="H4" s="1014" t="inlineStr">
        <is>
          <t>Mêlée de 150 kg</t>
        </is>
      </c>
      <c r="I4" s="1014" t="inlineStr">
        <is>
          <t>Poids cumulés</t>
        </is>
      </c>
      <c r="J4" s="1016" t="inlineStr">
        <is>
          <t>Unités</t>
        </is>
      </c>
      <c r="K4" s="338" t="inlineStr">
        <is>
          <t>Nb Mêlées</t>
        </is>
      </c>
    </row>
    <row r="5" ht="36" customHeight="1" s="1025">
      <c r="A5" s="979" t="n"/>
      <c r="B5" s="979" t="n"/>
      <c r="C5" s="979" t="n"/>
      <c r="D5" s="979" t="n"/>
      <c r="E5" s="339">
        <f>'PLANNING DE FABRICATION'!E26</f>
        <v/>
      </c>
      <c r="G5" s="979" t="n"/>
      <c r="H5" s="979" t="n"/>
      <c r="I5" s="979" t="n"/>
      <c r="J5" s="979" t="n"/>
      <c r="K5" s="339">
        <f>'PLANNING DE FABRICATION'!E27</f>
        <v/>
      </c>
    </row>
    <row r="6" ht="36" customHeight="1" s="1025">
      <c r="A6" s="346" t="inlineStr">
        <is>
          <t>SEL NITRITE</t>
        </is>
      </c>
      <c r="B6" s="80" t="n">
        <v>3</v>
      </c>
      <c r="C6" s="80">
        <f>B6</f>
        <v/>
      </c>
      <c r="D6" s="1031" t="inlineStr">
        <is>
          <t>kg</t>
        </is>
      </c>
      <c r="E6" s="79">
        <f>B6*$E$5</f>
        <v/>
      </c>
      <c r="G6" s="346" t="inlineStr">
        <is>
          <t>SEL NITRITE</t>
        </is>
      </c>
      <c r="H6" s="80" t="n">
        <v>3</v>
      </c>
      <c r="I6" s="80">
        <f>H6</f>
        <v/>
      </c>
      <c r="J6" s="1031" t="inlineStr">
        <is>
          <t>kg</t>
        </is>
      </c>
      <c r="K6" s="79">
        <f>H6*$K$5</f>
        <v/>
      </c>
    </row>
    <row r="7" ht="36" customHeight="1" s="1025">
      <c r="A7" s="346" t="inlineStr">
        <is>
          <t>ERYTHORBATE DE SODIUM</t>
        </is>
      </c>
      <c r="B7" s="80" t="n">
        <v>0.045</v>
      </c>
      <c r="C7" s="80">
        <f>C6+B7</f>
        <v/>
      </c>
      <c r="D7" s="1031" t="inlineStr">
        <is>
          <t>kg</t>
        </is>
      </c>
      <c r="E7" s="345">
        <f>B7*$E$5</f>
        <v/>
      </c>
      <c r="G7" s="346" t="inlineStr">
        <is>
          <t>ERYTHORBATE DE SODIUM</t>
        </is>
      </c>
      <c r="H7" s="80" t="n">
        <v>0.045</v>
      </c>
      <c r="I7" s="80">
        <f>I6+H7</f>
        <v/>
      </c>
      <c r="J7" s="1031" t="inlineStr">
        <is>
          <t>kg</t>
        </is>
      </c>
      <c r="K7" s="79">
        <f>H7*$K$5</f>
        <v/>
      </c>
    </row>
    <row r="8" ht="36" customHeight="1" s="1025">
      <c r="A8" s="348" t="inlineStr">
        <is>
          <t>LACTOSE</t>
        </is>
      </c>
      <c r="B8" s="78" t="n">
        <v>0.9</v>
      </c>
      <c r="C8" s="78">
        <f>C7+B8</f>
        <v/>
      </c>
      <c r="D8" s="349" t="inlineStr">
        <is>
          <t>kg</t>
        </is>
      </c>
      <c r="E8" s="340">
        <f>B8*$E$5</f>
        <v/>
      </c>
      <c r="G8" s="348" t="inlineStr">
        <is>
          <t>LACTOSE</t>
        </is>
      </c>
      <c r="H8" s="78" t="n">
        <v>0.9</v>
      </c>
      <c r="I8" s="78">
        <f>I7+H8</f>
        <v/>
      </c>
      <c r="J8" s="349" t="inlineStr">
        <is>
          <t>kg</t>
        </is>
      </c>
      <c r="K8" s="79">
        <f>H8*$K$5</f>
        <v/>
      </c>
    </row>
    <row r="9" ht="36" customHeight="1" s="1025">
      <c r="A9" s="350" t="inlineStr">
        <is>
          <t>DEXTROSE</t>
        </is>
      </c>
      <c r="B9" s="80" t="n">
        <v>0.45</v>
      </c>
      <c r="C9" s="80">
        <f>C8+B9</f>
        <v/>
      </c>
      <c r="D9" s="1031" t="inlineStr">
        <is>
          <t>kg</t>
        </is>
      </c>
      <c r="E9" s="340">
        <f>B9*$E$5</f>
        <v/>
      </c>
      <c r="G9" s="350" t="inlineStr">
        <is>
          <t>DEXTROSE</t>
        </is>
      </c>
      <c r="H9" s="80" t="n">
        <v>0.45</v>
      </c>
      <c r="I9" s="80">
        <f>I8+H9</f>
        <v/>
      </c>
      <c r="J9" s="1031" t="inlineStr">
        <is>
          <t>kg</t>
        </is>
      </c>
      <c r="K9" s="79">
        <f>H9*$K$5</f>
        <v/>
      </c>
      <c r="O9" s="445" t="n"/>
    </row>
    <row r="10" ht="36" customHeight="1" s="1025">
      <c r="A10" s="348" t="inlineStr">
        <is>
          <t>POIVRE BLANC MOULU</t>
        </is>
      </c>
      <c r="B10" s="78" t="n">
        <v>0.25</v>
      </c>
      <c r="C10" s="78">
        <f>C9+B10</f>
        <v/>
      </c>
      <c r="D10" s="349" t="inlineStr">
        <is>
          <t>kg</t>
        </is>
      </c>
      <c r="E10" s="340">
        <f>B10*$E$5</f>
        <v/>
      </c>
      <c r="G10" s="348" t="inlineStr">
        <is>
          <t>POIVRE BLANC MOULU</t>
        </is>
      </c>
      <c r="H10" s="78" t="n">
        <v>0.25</v>
      </c>
      <c r="I10" s="78">
        <f>I9+H10</f>
        <v/>
      </c>
      <c r="J10" s="349" t="inlineStr">
        <is>
          <t>kg</t>
        </is>
      </c>
      <c r="K10" s="79">
        <f>H10*$K$5</f>
        <v/>
      </c>
      <c r="N10" s="445" t="n"/>
    </row>
    <row r="11" ht="36" customHeight="1" s="1025" thickBot="1">
      <c r="A11" s="353" t="inlineStr">
        <is>
          <t>AIL SEMOULE</t>
        </is>
      </c>
      <c r="B11" s="354" t="n">
        <v>0.08</v>
      </c>
      <c r="C11" s="354">
        <f>C10+B11</f>
        <v/>
      </c>
      <c r="D11" s="355" t="inlineStr">
        <is>
          <t>kg</t>
        </is>
      </c>
      <c r="E11" s="341">
        <f>B11*$E$5</f>
        <v/>
      </c>
      <c r="G11" s="353" t="inlineStr">
        <is>
          <t>AIL SEMOULE</t>
        </is>
      </c>
      <c r="H11" s="354" t="n">
        <v>0.08</v>
      </c>
      <c r="I11" s="354">
        <f>I10+H11</f>
        <v/>
      </c>
      <c r="J11" s="355" t="inlineStr">
        <is>
          <t>kg</t>
        </is>
      </c>
      <c r="K11" s="82">
        <f>H11*$K$5</f>
        <v/>
      </c>
    </row>
    <row r="12" ht="28.5" customHeight="1" s="1025" thickBot="1">
      <c r="A12" s="356" t="inlineStr">
        <is>
          <t>FERMENT BC 40</t>
        </is>
      </c>
      <c r="B12" s="357" t="n">
        <v>1</v>
      </c>
      <c r="C12" s="357">
        <f>B12</f>
        <v/>
      </c>
      <c r="D12" s="358" t="inlineStr">
        <is>
          <t>Sachet</t>
        </is>
      </c>
      <c r="E12" s="342">
        <f>B12*$E$5</f>
        <v/>
      </c>
      <c r="G12" s="356" t="inlineStr">
        <is>
          <t>FERMENT BC 40</t>
        </is>
      </c>
      <c r="H12" s="357" t="n">
        <v>1</v>
      </c>
      <c r="I12" s="357">
        <f>H12</f>
        <v/>
      </c>
      <c r="J12" s="358" t="inlineStr">
        <is>
          <t>Sachet</t>
        </is>
      </c>
      <c r="K12" s="38">
        <f>H12*$K$5</f>
        <v/>
      </c>
    </row>
    <row r="13" ht="28.5" customHeight="1" s="1025">
      <c r="A13" s="10" t="n"/>
      <c r="B13" s="9" t="n"/>
      <c r="C13" s="9" t="n"/>
      <c r="E13" s="33" t="n"/>
      <c r="G13" s="366" t="inlineStr">
        <is>
          <t>Ingrédients : Pistaches</t>
        </is>
      </c>
      <c r="H13" s="77" t="n">
        <v>4.5</v>
      </c>
      <c r="I13" s="77">
        <f>H13</f>
        <v/>
      </c>
      <c r="J13" s="367" t="inlineStr">
        <is>
          <t>kg</t>
        </is>
      </c>
      <c r="K13" s="38">
        <f>H13*$K$5</f>
        <v/>
      </c>
    </row>
    <row r="14" ht="27.75" customHeight="1" s="1025" thickBot="1">
      <c r="A14" s="10" t="n"/>
      <c r="B14" s="9" t="n"/>
      <c r="C14" s="9" t="n"/>
      <c r="E14" s="33" t="n"/>
      <c r="G14" s="10" t="n"/>
      <c r="H14" s="9" t="n"/>
      <c r="I14" s="9" t="n"/>
    </row>
    <row r="15" ht="54" customHeight="1" s="1025" thickBot="1" thickTop="1">
      <c r="A15" s="1017" t="inlineStr">
        <is>
          <t>- SABODET A CUIRE -</t>
        </is>
      </c>
      <c r="B15" s="902" t="n"/>
      <c r="C15" s="902" t="n"/>
      <c r="D15" s="902" t="n"/>
      <c r="E15" s="267" t="n"/>
      <c r="G15" s="1020" t="inlineStr">
        <is>
          <t xml:space="preserve">- SAUCSISSON A CUIRE A LA TRUFFE NOIRE FRANCAISE &amp; AUX CEPES DE FRANCE - </t>
        </is>
      </c>
      <c r="H15" s="902" t="n"/>
      <c r="I15" s="902" t="n"/>
      <c r="J15" s="902" t="n"/>
      <c r="K15" s="264" t="n"/>
    </row>
    <row r="16" ht="15.75" customHeight="1" s="1025" thickTop="1">
      <c r="A16" s="442" t="n"/>
      <c r="B16" s="9" t="n"/>
      <c r="C16" s="9" t="n"/>
      <c r="J16" s="1047" t="n"/>
    </row>
    <row r="17" ht="39" customHeight="1" s="1025" thickBot="1">
      <c r="A17" s="1019" t="inlineStr">
        <is>
          <t>ASSAISONNEMENT</t>
        </is>
      </c>
      <c r="B17" s="1014" t="inlineStr">
        <is>
          <t>Mêlée de 150 kg</t>
        </is>
      </c>
      <c r="C17" s="1014" t="inlineStr">
        <is>
          <t>Poids cumulés</t>
        </is>
      </c>
      <c r="D17" s="1015" t="inlineStr">
        <is>
          <t>Unités</t>
        </is>
      </c>
      <c r="E17" s="338" t="inlineStr">
        <is>
          <t>Nb Mêlées</t>
        </is>
      </c>
      <c r="G17" s="1019" t="inlineStr">
        <is>
          <t>ASSAISONNEMENT</t>
        </is>
      </c>
      <c r="H17" s="1014" t="inlineStr">
        <is>
          <t>Mêlée de 150 kg</t>
        </is>
      </c>
      <c r="I17" s="1014" t="inlineStr">
        <is>
          <t>Poids cumulés</t>
        </is>
      </c>
      <c r="J17" s="1016" t="inlineStr">
        <is>
          <t>Unités</t>
        </is>
      </c>
      <c r="K17" s="338" t="inlineStr">
        <is>
          <t>Nb Mêlées</t>
        </is>
      </c>
    </row>
    <row r="18" ht="32.25" customHeight="1" s="1025" thickBot="1">
      <c r="A18" s="979" t="n"/>
      <c r="B18" s="979" t="n"/>
      <c r="C18" s="979" t="n"/>
      <c r="D18" s="979" t="n"/>
      <c r="E18" s="343">
        <f>'PLANNING DE FABRICATION'!E29</f>
        <v/>
      </c>
      <c r="G18" s="979" t="n"/>
      <c r="H18" s="979" t="n"/>
      <c r="I18" s="979" t="n"/>
      <c r="J18" s="979" t="n"/>
      <c r="K18" s="343">
        <f>'PLANNING DE FABRICATION'!E28</f>
        <v/>
      </c>
    </row>
    <row r="19" ht="32.25" customHeight="1" s="1025">
      <c r="A19" s="346" t="inlineStr">
        <is>
          <t>SEL NITRITE</t>
        </is>
      </c>
      <c r="B19" s="351" t="n">
        <v>3</v>
      </c>
      <c r="C19" s="351">
        <f>B19</f>
        <v/>
      </c>
      <c r="D19" s="1031" t="inlineStr">
        <is>
          <t>kg</t>
        </is>
      </c>
      <c r="E19" s="344">
        <f>B19*$E$18</f>
        <v/>
      </c>
      <c r="G19" s="346" t="inlineStr">
        <is>
          <t xml:space="preserve">SEL NITRITE </t>
        </is>
      </c>
      <c r="H19" s="80" t="n">
        <v>3</v>
      </c>
      <c r="I19" s="80">
        <f>H19</f>
        <v/>
      </c>
      <c r="J19" s="1031" t="inlineStr">
        <is>
          <t>kg</t>
        </is>
      </c>
      <c r="K19" s="79">
        <f>H19*$K$18</f>
        <v/>
      </c>
    </row>
    <row r="20" ht="32.25" customHeight="1" s="1025">
      <c r="A20" s="348" t="inlineStr">
        <is>
          <t>ERYTHORBATE DE SODIUM</t>
        </is>
      </c>
      <c r="B20" s="78" t="n">
        <v>0.045</v>
      </c>
      <c r="C20" s="78">
        <f>C19+B20</f>
        <v/>
      </c>
      <c r="D20" s="349" t="inlineStr">
        <is>
          <t>kg</t>
        </is>
      </c>
      <c r="E20" s="340">
        <f>B20*$E$18</f>
        <v/>
      </c>
      <c r="G20" s="346" t="inlineStr">
        <is>
          <t>ERYTHORBATE DE SODIUM</t>
        </is>
      </c>
      <c r="H20" s="80" t="n">
        <v>0.045</v>
      </c>
      <c r="I20" s="80">
        <f>I19+H20</f>
        <v/>
      </c>
      <c r="J20" s="1031" t="inlineStr">
        <is>
          <t>kg</t>
        </is>
      </c>
      <c r="K20" s="79">
        <f>H20*$K$18</f>
        <v/>
      </c>
    </row>
    <row r="21" ht="32.25" customHeight="1" s="1025">
      <c r="A21" s="350" t="inlineStr">
        <is>
          <t>LACTOSE</t>
        </is>
      </c>
      <c r="B21" s="351" t="n">
        <v>0.9</v>
      </c>
      <c r="C21" s="80">
        <f>C20+B21</f>
        <v/>
      </c>
      <c r="D21" s="1031" t="inlineStr">
        <is>
          <t>kg</t>
        </is>
      </c>
      <c r="E21" s="340">
        <f>B21*$E$18</f>
        <v/>
      </c>
      <c r="G21" s="348" t="inlineStr">
        <is>
          <t>LACTOSE</t>
        </is>
      </c>
      <c r="H21" s="78" t="n">
        <v>0.9</v>
      </c>
      <c r="I21" s="78">
        <f>I20+H21</f>
        <v/>
      </c>
      <c r="J21" s="349" t="inlineStr">
        <is>
          <t>kg</t>
        </is>
      </c>
      <c r="K21" s="79">
        <f>H21*$K$18</f>
        <v/>
      </c>
    </row>
    <row r="22" ht="32.25" customHeight="1" s="1025">
      <c r="A22" s="348" t="inlineStr">
        <is>
          <t>DEXTROSE</t>
        </is>
      </c>
      <c r="B22" s="352" t="n">
        <v>0.45</v>
      </c>
      <c r="C22" s="78">
        <f>C21+B22</f>
        <v/>
      </c>
      <c r="D22" s="349" t="inlineStr">
        <is>
          <t>kg</t>
        </is>
      </c>
      <c r="E22" s="340">
        <f>B22*$E$18</f>
        <v/>
      </c>
      <c r="G22" s="350" t="inlineStr">
        <is>
          <t>DEXTROSE</t>
        </is>
      </c>
      <c r="H22" s="80" t="n">
        <v>0.45</v>
      </c>
      <c r="I22" s="80">
        <f>I21+H22</f>
        <v/>
      </c>
      <c r="J22" s="1031" t="inlineStr">
        <is>
          <t>kg</t>
        </is>
      </c>
      <c r="K22" s="79">
        <f>H22*$K$18</f>
        <v/>
      </c>
    </row>
    <row r="23" ht="32.25" customHeight="1" s="1025">
      <c r="A23" s="350" t="inlineStr">
        <is>
          <t>POIVRE BLANC MOULU</t>
        </is>
      </c>
      <c r="B23" s="351" t="n">
        <v>0.25</v>
      </c>
      <c r="C23" s="80">
        <f>C22+B23</f>
        <v/>
      </c>
      <c r="D23" s="1031" t="inlineStr">
        <is>
          <t>kg</t>
        </is>
      </c>
      <c r="E23" s="340">
        <f>B23*$E$18</f>
        <v/>
      </c>
      <c r="G23" s="348" t="inlineStr">
        <is>
          <t>POIVRE BLANC MOULU</t>
        </is>
      </c>
      <c r="H23" s="78" t="n">
        <v>0.25</v>
      </c>
      <c r="I23" s="78">
        <f>I22+H23</f>
        <v/>
      </c>
      <c r="J23" s="349" t="inlineStr">
        <is>
          <t>kg</t>
        </is>
      </c>
      <c r="K23" s="79">
        <f>H23*$K$18</f>
        <v/>
      </c>
    </row>
    <row r="24" ht="32.25" customHeight="1" s="1025" thickBot="1">
      <c r="A24" s="359" t="inlineStr">
        <is>
          <t>AIL SEMOULE</t>
        </is>
      </c>
      <c r="B24" s="360" t="n">
        <v>0.08</v>
      </c>
      <c r="C24" s="361">
        <f>C23+B24</f>
        <v/>
      </c>
      <c r="D24" s="362" t="inlineStr">
        <is>
          <t>kg</t>
        </is>
      </c>
      <c r="E24" s="365">
        <f>B24*$E$18</f>
        <v/>
      </c>
      <c r="G24" s="353" t="inlineStr">
        <is>
          <t>AIL SEMOULE</t>
        </is>
      </c>
      <c r="H24" s="354" t="n">
        <v>0.08</v>
      </c>
      <c r="I24" s="354">
        <f>I23+H24</f>
        <v/>
      </c>
      <c r="J24" s="355" t="inlineStr">
        <is>
          <t>kg</t>
        </is>
      </c>
      <c r="K24" s="82">
        <f>H24*$K$18</f>
        <v/>
      </c>
    </row>
    <row r="25" ht="21.6" customHeight="1" s="1025" thickBot="1">
      <c r="A25" s="363" t="inlineStr">
        <is>
          <t>Ingrédients : Vin</t>
        </is>
      </c>
      <c r="B25" s="364" t="n">
        <v>1</v>
      </c>
      <c r="C25" s="364">
        <f>B25</f>
        <v/>
      </c>
      <c r="D25" s="358" t="inlineStr">
        <is>
          <t>Litre</t>
        </is>
      </c>
      <c r="E25" s="38">
        <f>B25*$E$18</f>
        <v/>
      </c>
      <c r="G25" s="356" t="inlineStr">
        <is>
          <t>FERMENT BC 40</t>
        </is>
      </c>
      <c r="H25" s="357" t="n">
        <v>1</v>
      </c>
      <c r="I25" s="357">
        <f>H25</f>
        <v/>
      </c>
      <c r="J25" s="358" t="inlineStr">
        <is>
          <t>Sachet</t>
        </is>
      </c>
      <c r="K25" s="38">
        <f>H25*$K$18</f>
        <v/>
      </c>
    </row>
    <row r="26" ht="23.25" customHeight="1" s="1025" thickBot="1">
      <c r="E26" s="33" t="n"/>
      <c r="G26" s="366" t="inlineStr">
        <is>
          <t>Ingrédients : Truffes Françaises</t>
        </is>
      </c>
      <c r="H26" s="77" t="n">
        <v>4.5</v>
      </c>
      <c r="I26" s="77">
        <f>H26</f>
        <v/>
      </c>
      <c r="J26" s="367" t="inlineStr">
        <is>
          <t>kg</t>
        </is>
      </c>
      <c r="K26" s="38">
        <f>H26*$K$18</f>
        <v/>
      </c>
    </row>
    <row r="27" ht="23.25" customHeight="1" s="1025" thickBot="1">
      <c r="E27" s="33" t="n"/>
      <c r="G27" s="368" t="inlineStr">
        <is>
          <t>Ingrédients : Cèpes de France</t>
        </is>
      </c>
      <c r="H27" s="369" t="n">
        <v>2</v>
      </c>
      <c r="I27" s="369">
        <f>H27</f>
        <v/>
      </c>
      <c r="J27" s="358" t="inlineStr">
        <is>
          <t>kg</t>
        </is>
      </c>
      <c r="K27" s="38">
        <f>H27*$K$18</f>
        <v/>
      </c>
    </row>
    <row r="28" ht="21" customHeight="1" s="1025">
      <c r="E28" s="33" t="n"/>
      <c r="G28" s="366" t="inlineStr">
        <is>
          <t>Marc de Savoie</t>
        </is>
      </c>
      <c r="H28" s="77" t="n">
        <v>1</v>
      </c>
      <c r="I28" s="77">
        <f>H28</f>
        <v/>
      </c>
      <c r="J28" s="367" t="inlineStr">
        <is>
          <t>litre</t>
        </is>
      </c>
      <c r="K28" s="38">
        <f>H28*$K$18</f>
        <v/>
      </c>
    </row>
    <row r="29" ht="21" customHeight="1" s="1025">
      <c r="D29" s="125" t="n"/>
      <c r="G29" s="68" t="n"/>
      <c r="H29" s="69" t="n"/>
      <c r="I29" s="69" t="n"/>
      <c r="J29" s="67" t="n"/>
      <c r="K29" s="33" t="n"/>
    </row>
  </sheetData>
  <sheetProtection selectLockedCells="0" selectUnlockedCells="0" algorithmName="SHA-512" sheet="1" objects="1" insertRows="1" insertHyperlinks="1" autoFilter="1" scenarios="1" formatColumns="1" deleteColumns="1" insertColumns="1" pivotTables="1" deleteRows="1" formatCells="1" saltValue="6CMecHAmGcnkzHSEST2DDg==" formatRows="1" sort="1" spinCount="100000" hashValue="HzYm0ryl7bLXNFpjQdQLRUoKhaet4VaVWaAYIbjUHs6X8T9M0mlFHBzJhzAd3gf3UH3ZbS1f0KmibRXfHzTSuw=="/>
  <mergeCells count="20">
    <mergeCell ref="G17:G18"/>
    <mergeCell ref="C4:C5"/>
    <mergeCell ref="B17:B18"/>
    <mergeCell ref="D17:D18"/>
    <mergeCell ref="H17:H18"/>
    <mergeCell ref="D4:D5"/>
    <mergeCell ref="J4:J5"/>
    <mergeCell ref="A15:D15"/>
    <mergeCell ref="I17:I18"/>
    <mergeCell ref="G2:J2"/>
    <mergeCell ref="A17:A18"/>
    <mergeCell ref="A4:A5"/>
    <mergeCell ref="G4:G5"/>
    <mergeCell ref="C17:C18"/>
    <mergeCell ref="I4:I5"/>
    <mergeCell ref="B4:B5"/>
    <mergeCell ref="J17:J18"/>
    <mergeCell ref="H4:H5"/>
    <mergeCell ref="G15:J15"/>
    <mergeCell ref="A2:D2"/>
  </mergeCells>
  <printOptions horizontalCentered="1" verticalCentered="1"/>
  <pageMargins left="0.7086614173228347" right="0.7086614173228347" top="0.7480314960629921" bottom="0.7480314960629921" header="0.3149606299212598" footer="0.3149606299212598"/>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Sheet8">
    <tabColor rgb="FF00B050"/>
    <outlinePr summaryBelow="1" summaryRight="1"/>
    <pageSetUpPr fitToPage="1"/>
  </sheetPr>
  <dimension ref="A2:W31"/>
  <sheetViews>
    <sheetView zoomScale="70" zoomScaleNormal="70" workbookViewId="0">
      <selection activeCell="A19" sqref="A19:D29"/>
    </sheetView>
  </sheetViews>
  <sheetFormatPr baseColWidth="8" defaultColWidth="11.5546875" defaultRowHeight="14.4"/>
  <cols>
    <col width="37.33203125" customWidth="1" style="1025" min="1" max="1"/>
    <col width="17" customWidth="1" style="1025" min="2" max="2"/>
    <col width="13.44140625" customWidth="1" style="1025" min="3" max="3"/>
    <col width="11.44140625" bestFit="1" customWidth="1" style="1025" min="4" max="4"/>
    <col width="32.88671875" customWidth="1" style="1025" min="7" max="7"/>
    <col width="12.33203125" customWidth="1" style="1025" min="9" max="9"/>
    <col width="10" customWidth="1" style="1025" min="10" max="10"/>
    <col width="35" bestFit="1" customWidth="1" style="1025" min="14" max="14"/>
    <col width="12.5546875" bestFit="1" customWidth="1" style="1025" min="16" max="16"/>
    <col width="11.44140625" customWidth="1" style="1025" min="17" max="17"/>
    <col width="12.5546875" bestFit="1" customWidth="1" style="1025" min="19" max="19"/>
  </cols>
  <sheetData>
    <row r="1" ht="15.75" customHeight="1" s="1025" thickBot="1"/>
    <row r="2" ht="41.25" customHeight="1" s="1025" thickBot="1" thickTop="1">
      <c r="A2" s="1022" t="inlineStr">
        <is>
          <t xml:space="preserve">Spécialité Fromagère : Beaufort </t>
        </is>
      </c>
      <c r="B2" s="902" t="n"/>
      <c r="C2" s="902" t="n"/>
      <c r="D2" s="902" t="n"/>
      <c r="E2" s="381" t="n"/>
      <c r="G2" s="1022" t="inlineStr">
        <is>
          <t xml:space="preserve">Spécialité Fromagère :  Fromage de chèvre </t>
        </is>
      </c>
      <c r="H2" s="902" t="n"/>
      <c r="I2" s="902" t="n"/>
      <c r="J2" s="902" t="n"/>
      <c r="K2" s="381" t="n"/>
      <c r="N2" s="1023" t="inlineStr">
        <is>
          <t>Spécialités Fromagères : Pourcentages</t>
        </is>
      </c>
      <c r="O2" s="902" t="n"/>
      <c r="P2" s="902" t="n"/>
      <c r="Q2" s="902" t="n"/>
      <c r="R2" s="902" t="n"/>
      <c r="S2" s="903" t="n"/>
    </row>
    <row r="3" ht="22.5" customHeight="1" s="1025" thickTop="1">
      <c r="A3" s="10" t="n"/>
      <c r="B3" s="9" t="n"/>
      <c r="C3" s="9" t="n"/>
      <c r="G3" s="10" t="n"/>
      <c r="H3" s="9" t="n"/>
      <c r="I3" s="9" t="n"/>
    </row>
    <row r="4" ht="48.75" customHeight="1" s="1025" thickBot="1">
      <c r="A4" s="1019" t="inlineStr">
        <is>
          <t>ASSAISONNEMENT</t>
        </is>
      </c>
      <c r="B4" s="1014" t="inlineStr">
        <is>
          <t>Mêlée de 150 kg</t>
        </is>
      </c>
      <c r="C4" s="1014" t="inlineStr">
        <is>
          <t>Poids cumulés</t>
        </is>
      </c>
      <c r="D4" s="1021" t="inlineStr">
        <is>
          <t>Unités</t>
        </is>
      </c>
      <c r="E4" s="338" t="inlineStr">
        <is>
          <t>Nb Mêlées</t>
        </is>
      </c>
      <c r="G4" s="1019" t="inlineStr">
        <is>
          <t>ASSAISONNEMENT</t>
        </is>
      </c>
      <c r="H4" s="1014" t="inlineStr">
        <is>
          <t>Mêlée de 150 kg</t>
        </is>
      </c>
      <c r="I4" s="1014" t="inlineStr">
        <is>
          <t>Poids cumulés</t>
        </is>
      </c>
      <c r="J4" s="1021" t="inlineStr">
        <is>
          <t>Unités</t>
        </is>
      </c>
      <c r="K4" s="338" t="inlineStr">
        <is>
          <t>Nb Mêlées</t>
        </is>
      </c>
      <c r="N4" s="1019" t="inlineStr">
        <is>
          <t>ASSAISONNEMENT</t>
        </is>
      </c>
      <c r="O4" s="1014" t="inlineStr">
        <is>
          <t>Mêlée de 150 kg</t>
        </is>
      </c>
      <c r="P4" s="1014" t="inlineStr">
        <is>
          <t>% Beaufort</t>
        </is>
      </c>
      <c r="Q4" s="1014" t="inlineStr">
        <is>
          <t>% Fromage de Chèvre</t>
        </is>
      </c>
      <c r="R4" s="1014" t="inlineStr">
        <is>
          <t>% Roquefort</t>
        </is>
      </c>
      <c r="S4" s="1014" t="inlineStr">
        <is>
          <t>% Sauci'flette</t>
        </is>
      </c>
    </row>
    <row r="5" ht="30" customHeight="1" s="1025">
      <c r="A5" s="979" t="n"/>
      <c r="B5" s="979" t="n"/>
      <c r="C5" s="979" t="n"/>
      <c r="D5" s="979" t="n"/>
      <c r="E5" s="343">
        <f>'PLANNING DE FABRICATION'!E66</f>
        <v/>
      </c>
      <c r="G5" s="979" t="n"/>
      <c r="H5" s="979" t="n"/>
      <c r="I5" s="979" t="n"/>
      <c r="J5" s="979" t="n"/>
      <c r="K5" s="343">
        <f>'PLANNING DE FABRICATION'!E68</f>
        <v/>
      </c>
      <c r="N5" s="979" t="n"/>
      <c r="O5" s="979" t="n"/>
      <c r="P5" s="979" t="n"/>
      <c r="Q5" s="979" t="n"/>
      <c r="R5" s="979" t="n"/>
      <c r="S5" s="979" t="n"/>
    </row>
    <row r="6" ht="30" customHeight="1" s="1025">
      <c r="A6" s="371" t="inlineStr">
        <is>
          <t>SEL NITRITE</t>
        </is>
      </c>
      <c r="B6" s="78" t="n">
        <v>1.5</v>
      </c>
      <c r="C6" s="78">
        <f>B6</f>
        <v/>
      </c>
      <c r="D6" s="385" t="inlineStr">
        <is>
          <t>kg</t>
        </is>
      </c>
      <c r="E6" s="79">
        <f>B6*$E$5</f>
        <v/>
      </c>
      <c r="G6" s="371" t="inlineStr">
        <is>
          <t>SEL NITRITE</t>
        </is>
      </c>
      <c r="H6" s="78" t="n">
        <v>1.5</v>
      </c>
      <c r="I6" s="78">
        <f>H6</f>
        <v/>
      </c>
      <c r="J6" s="385" t="inlineStr">
        <is>
          <t>kg</t>
        </is>
      </c>
      <c r="K6" s="79">
        <f>H6*$K$5</f>
        <v/>
      </c>
      <c r="N6" s="371" t="inlineStr">
        <is>
          <t>SEL NITRITE</t>
        </is>
      </c>
      <c r="O6" s="451">
        <f>B6</f>
        <v/>
      </c>
      <c r="P6" s="446">
        <f>O6*100/(SUM($O$6:$O$13)+150)</f>
        <v/>
      </c>
      <c r="Q6" s="446">
        <f>O6*100/(SUM($O$6:$O$12,$O$14)+150)</f>
        <v/>
      </c>
      <c r="R6" s="446">
        <f>O6*100/(SUM($O$6:$O$12,$O$15)+150)</f>
        <v/>
      </c>
      <c r="S6" s="446">
        <f>O6*100/(SUM($O$6:$O$12,$O$16:$O$17)+150)</f>
        <v/>
      </c>
    </row>
    <row r="7" ht="30" customHeight="1" s="1025">
      <c r="A7" s="370" t="inlineStr">
        <is>
          <t xml:space="preserve">SEL </t>
        </is>
      </c>
      <c r="B7" s="80" t="n">
        <v>2.4</v>
      </c>
      <c r="C7" s="80">
        <f>C6+B7</f>
        <v/>
      </c>
      <c r="D7" s="1026" t="inlineStr">
        <is>
          <t>kg</t>
        </is>
      </c>
      <c r="E7" s="79">
        <f>B7*$E$5</f>
        <v/>
      </c>
      <c r="G7" s="370" t="inlineStr">
        <is>
          <t xml:space="preserve">SEL </t>
        </is>
      </c>
      <c r="H7" s="80" t="n">
        <v>2.4</v>
      </c>
      <c r="I7" s="80">
        <f>I6+H7</f>
        <v/>
      </c>
      <c r="J7" s="1026" t="inlineStr">
        <is>
          <t>kg</t>
        </is>
      </c>
      <c r="K7" s="79">
        <f>H7*$K$5</f>
        <v/>
      </c>
      <c r="N7" s="370" t="inlineStr">
        <is>
          <t xml:space="preserve">SEL </t>
        </is>
      </c>
      <c r="O7" s="452">
        <f>B7</f>
        <v/>
      </c>
      <c r="P7" s="408">
        <f>O7*100/(SUM($O$6:$O$13)+150)</f>
        <v/>
      </c>
      <c r="Q7" s="408">
        <f>O7*100/(SUM($O$6:$O$12,$O$14)+150)</f>
        <v/>
      </c>
      <c r="R7" s="408">
        <f>O7*100/(SUM($O$6:$O$12,$O$15)+150)</f>
        <v/>
      </c>
      <c r="S7" s="408">
        <f>O7*100/(SUM($O$6:$O$12,$O$16:$O$17)+150)</f>
        <v/>
      </c>
      <c r="W7" s="445" t="n"/>
    </row>
    <row r="8" ht="29.25" customHeight="1" s="1025">
      <c r="A8" s="371" t="inlineStr">
        <is>
          <t>NITRATE DE POTASSIUM</t>
        </is>
      </c>
      <c r="B8" s="352" t="n">
        <v>0.018</v>
      </c>
      <c r="C8" s="78">
        <f>C7+B8</f>
        <v/>
      </c>
      <c r="D8" s="385" t="inlineStr">
        <is>
          <t>kg</t>
        </is>
      </c>
      <c r="E8" s="79">
        <f>B8*$E$5</f>
        <v/>
      </c>
      <c r="G8" s="371" t="inlineStr">
        <is>
          <t>NITRATE DE POTASSIUM</t>
        </is>
      </c>
      <c r="H8" s="352" t="n">
        <v>0.018</v>
      </c>
      <c r="I8" s="78">
        <f>I7+H8</f>
        <v/>
      </c>
      <c r="J8" s="385" t="inlineStr">
        <is>
          <t>kg</t>
        </is>
      </c>
      <c r="K8" s="79">
        <f>H8*$K$5</f>
        <v/>
      </c>
      <c r="N8" s="371" t="inlineStr">
        <is>
          <t>NITRATE DE POTASSIUM</t>
        </is>
      </c>
      <c r="O8" s="453">
        <f>B8</f>
        <v/>
      </c>
      <c r="P8" s="446">
        <f>O8*100/(SUM($O$6:$O$13)+150)</f>
        <v/>
      </c>
      <c r="Q8" s="446">
        <f>O8*100/(SUM($O$6:$O$12,$O$14)+150)</f>
        <v/>
      </c>
      <c r="R8" s="446">
        <f>O8*100/(SUM($O$6:$O$12,$O$15)+150)</f>
        <v/>
      </c>
      <c r="S8" s="446">
        <f>O8*100/(SUM($O$6:$O$12,$O$16:$O$17)+150)</f>
        <v/>
      </c>
    </row>
    <row r="9" ht="29.25" customHeight="1" s="1025">
      <c r="A9" s="370" t="inlineStr">
        <is>
          <t>LACTOSE</t>
        </is>
      </c>
      <c r="B9" s="80" t="n">
        <v>1.5</v>
      </c>
      <c r="C9" s="80">
        <f>C8+B9</f>
        <v/>
      </c>
      <c r="D9" s="1026" t="inlineStr">
        <is>
          <t>kg</t>
        </is>
      </c>
      <c r="E9" s="79">
        <f>B9*$E$5</f>
        <v/>
      </c>
      <c r="G9" s="370" t="inlineStr">
        <is>
          <t>LACTOSE</t>
        </is>
      </c>
      <c r="H9" s="80" t="n">
        <v>1.5</v>
      </c>
      <c r="I9" s="80">
        <f>I8+H9</f>
        <v/>
      </c>
      <c r="J9" s="1026" t="inlineStr">
        <is>
          <t>kg</t>
        </is>
      </c>
      <c r="K9" s="79">
        <f>H9*$K$5</f>
        <v/>
      </c>
      <c r="N9" s="370" t="inlineStr">
        <is>
          <t>LACTOSE</t>
        </is>
      </c>
      <c r="O9" s="452">
        <f>B9</f>
        <v/>
      </c>
      <c r="P9" s="408">
        <f>O9*100/(SUM($O$6:$O$13)+150)</f>
        <v/>
      </c>
      <c r="Q9" s="408">
        <f>O9*100/(SUM($O$6:$O$12,$O$14)+150)</f>
        <v/>
      </c>
      <c r="R9" s="408">
        <f>O9*100/(SUM($O$6:$O$12,$O$15)+150)</f>
        <v/>
      </c>
      <c r="S9" s="408">
        <f>O9*100/(SUM($O$6:$O$12,$O$16:$O$17)+150)</f>
        <v/>
      </c>
    </row>
    <row r="10" ht="29.25" customHeight="1" s="1025">
      <c r="A10" s="371" t="inlineStr">
        <is>
          <t>DEXTROSE</t>
        </is>
      </c>
      <c r="B10" s="78" t="n">
        <v>0.45</v>
      </c>
      <c r="C10" s="78">
        <f>C9+B10</f>
        <v/>
      </c>
      <c r="D10" s="385" t="inlineStr">
        <is>
          <t>kg</t>
        </is>
      </c>
      <c r="E10" s="79">
        <f>B10*$E$5</f>
        <v/>
      </c>
      <c r="G10" s="371" t="inlineStr">
        <is>
          <t>DEXTROSE</t>
        </is>
      </c>
      <c r="H10" s="78" t="n">
        <v>0.45</v>
      </c>
      <c r="I10" s="78">
        <f>I9+H10</f>
        <v/>
      </c>
      <c r="J10" s="385" t="inlineStr">
        <is>
          <t>kg</t>
        </is>
      </c>
      <c r="K10" s="79">
        <f>H10*$K$5</f>
        <v/>
      </c>
      <c r="N10" s="371" t="inlineStr">
        <is>
          <t>DEXTROSE</t>
        </is>
      </c>
      <c r="O10" s="451">
        <f>B10</f>
        <v/>
      </c>
      <c r="P10" s="446">
        <f>O10*100/(SUM($O$6:$O$13)+150)</f>
        <v/>
      </c>
      <c r="Q10" s="446">
        <f>O10*100/(SUM($O$6:$O$12,$O$14)+150)</f>
        <v/>
      </c>
      <c r="R10" s="446">
        <f>O10*100/(SUM($O$6:$O$12,$O$15)+150)</f>
        <v/>
      </c>
      <c r="S10" s="446">
        <f>O10*100/(SUM($O$6:$O$12,$O$16:$O$17)+150)</f>
        <v/>
      </c>
    </row>
    <row r="11" ht="29.25" customHeight="1" s="1025">
      <c r="A11" s="370" t="inlineStr">
        <is>
          <t>POIVRE BLANC MOULU</t>
        </is>
      </c>
      <c r="B11" s="80" t="n">
        <v>0.25</v>
      </c>
      <c r="C11" s="80">
        <f>C10+B11</f>
        <v/>
      </c>
      <c r="D11" s="1026" t="inlineStr">
        <is>
          <t>kg</t>
        </is>
      </c>
      <c r="E11" s="79">
        <f>B11*$E$5</f>
        <v/>
      </c>
      <c r="G11" s="370" t="inlineStr">
        <is>
          <t>POIVRE BLANC MOULU</t>
        </is>
      </c>
      <c r="H11" s="80" t="n">
        <v>0.25</v>
      </c>
      <c r="I11" s="80">
        <f>I10+H11</f>
        <v/>
      </c>
      <c r="J11" s="1026" t="inlineStr">
        <is>
          <t>kg</t>
        </is>
      </c>
      <c r="K11" s="79">
        <f>H11*$K$5</f>
        <v/>
      </c>
      <c r="N11" s="370" t="inlineStr">
        <is>
          <t>POIVRE BLANC MOULU</t>
        </is>
      </c>
      <c r="O11" s="452">
        <f>B11</f>
        <v/>
      </c>
      <c r="P11" s="408">
        <f>O11*100/(SUM($O$6:$O$13)+150)</f>
        <v/>
      </c>
      <c r="Q11" s="408">
        <f>O11*100/(SUM($O$6:$O$12,$O$14)+150)</f>
        <v/>
      </c>
      <c r="R11" s="408">
        <f>O11*100/(SUM($O$6:$O$12,$O$15)+150)</f>
        <v/>
      </c>
      <c r="S11" s="408">
        <f>O11*100/(SUM($O$6:$O$12,$O$16:$O$17)+150)</f>
        <v/>
      </c>
    </row>
    <row r="12" ht="29.25" customHeight="1" s="1025" thickBot="1">
      <c r="A12" s="386" t="inlineStr">
        <is>
          <t>AIL SEMOULE</t>
        </is>
      </c>
      <c r="B12" s="361" t="n">
        <v>0.08</v>
      </c>
      <c r="C12" s="361">
        <f>C11+B12</f>
        <v/>
      </c>
      <c r="D12" s="387" t="inlineStr">
        <is>
          <t>kg</t>
        </is>
      </c>
      <c r="E12" s="82">
        <f>B12*$E$5</f>
        <v/>
      </c>
      <c r="G12" s="386" t="inlineStr">
        <is>
          <t>AIL SEMOULE</t>
        </is>
      </c>
      <c r="H12" s="361" t="n">
        <v>0.08</v>
      </c>
      <c r="I12" s="361">
        <f>I11+H12</f>
        <v/>
      </c>
      <c r="J12" s="387" t="inlineStr">
        <is>
          <t>kg</t>
        </is>
      </c>
      <c r="K12" s="82">
        <f>H12*$K$5</f>
        <v/>
      </c>
      <c r="N12" s="386" t="inlineStr">
        <is>
          <t>AIL SEMOULE</t>
        </is>
      </c>
      <c r="O12" s="454">
        <f>B12</f>
        <v/>
      </c>
      <c r="P12" s="446">
        <f>O12*100/(SUM($O$6:$O$13)+150)</f>
        <v/>
      </c>
      <c r="Q12" s="446">
        <f>O12*100/(SUM($O$6:$O$12,$O$14)+150)</f>
        <v/>
      </c>
      <c r="R12" s="446">
        <f>O12*100/(SUM($O$6:$O$12,$O$15)+150)</f>
        <v/>
      </c>
      <c r="S12" s="446">
        <f>O12*100/(SUM($O$6:$O$12,$O$16:$O$17)+150)</f>
        <v/>
      </c>
    </row>
    <row r="13" ht="29.25" customHeight="1" s="1025" thickBot="1">
      <c r="A13" s="375" t="inlineStr">
        <is>
          <t>FERMENT MF 244</t>
        </is>
      </c>
      <c r="B13" s="77" t="n">
        <v>1</v>
      </c>
      <c r="C13" s="77">
        <f>B13</f>
        <v/>
      </c>
      <c r="D13" s="380" t="inlineStr">
        <is>
          <t>Sachet</t>
        </is>
      </c>
      <c r="E13" s="38">
        <f>B13*$E$5</f>
        <v/>
      </c>
      <c r="G13" s="375" t="inlineStr">
        <is>
          <t>FERMENT MF 244</t>
        </is>
      </c>
      <c r="H13" s="77" t="n">
        <v>1</v>
      </c>
      <c r="I13" s="77">
        <f>H13</f>
        <v/>
      </c>
      <c r="J13" s="380" t="inlineStr">
        <is>
          <t>Sachet</t>
        </is>
      </c>
      <c r="K13" s="38">
        <f>H13*$K$5</f>
        <v/>
      </c>
      <c r="N13" s="382" t="inlineStr">
        <is>
          <t>Ingrédients : Beaufort</t>
        </is>
      </c>
      <c r="O13" s="38">
        <f>B14</f>
        <v/>
      </c>
      <c r="P13" s="447">
        <f>O13*100/(SUM($O$6:$O$13)+150)</f>
        <v/>
      </c>
      <c r="Q13" s="448" t="n"/>
      <c r="R13" s="449" t="n"/>
      <c r="S13" s="450" t="n"/>
    </row>
    <row r="14" ht="30" customHeight="1" s="1025" thickBot="1">
      <c r="A14" s="382" t="inlineStr">
        <is>
          <t>Ingrédients : Beaufort</t>
        </is>
      </c>
      <c r="B14" s="383" t="n">
        <v>5</v>
      </c>
      <c r="C14" s="383">
        <f>B14</f>
        <v/>
      </c>
      <c r="D14" s="383" t="inlineStr">
        <is>
          <t>kg</t>
        </is>
      </c>
      <c r="E14" s="38">
        <f>B14*$E$5</f>
        <v/>
      </c>
      <c r="G14" s="382" t="inlineStr">
        <is>
          <t>Ingrédients : F. de Chèvre</t>
        </is>
      </c>
      <c r="H14" s="383" t="n">
        <v>5</v>
      </c>
      <c r="I14" s="383">
        <f>H14</f>
        <v/>
      </c>
      <c r="J14" s="383" t="inlineStr">
        <is>
          <t>kg</t>
        </is>
      </c>
      <c r="K14" s="38">
        <f>H14*$K$5</f>
        <v/>
      </c>
      <c r="N14" s="382" t="inlineStr">
        <is>
          <t>Ingrédients : Fromage de Chèvre</t>
        </is>
      </c>
      <c r="O14" s="38">
        <f>H14</f>
        <v/>
      </c>
      <c r="P14" s="448" t="n"/>
      <c r="Q14" s="473">
        <f>O14*100/(SUM($O$6:$O$12,$O$14)+150)</f>
        <v/>
      </c>
      <c r="R14" s="449" t="n"/>
      <c r="S14" s="450" t="n"/>
    </row>
    <row r="15" ht="26.25" customHeight="1" s="1025" thickBot="1">
      <c r="E15" s="33" t="n"/>
      <c r="K15" s="33" t="n"/>
      <c r="N15" s="382" t="inlineStr">
        <is>
          <t>Ingrédients : Roquefort</t>
        </is>
      </c>
      <c r="O15" s="38">
        <f>B29</f>
        <v/>
      </c>
      <c r="P15" s="448" t="n"/>
      <c r="Q15" s="448" t="n"/>
      <c r="R15" s="447">
        <f>O15*100/(SUM($O$6:$O$12,$O$15)+150)</f>
        <v/>
      </c>
      <c r="S15" s="450" t="n"/>
    </row>
    <row r="16" ht="26.25" customHeight="1" s="1025" thickBot="1">
      <c r="E16" s="33" t="n"/>
      <c r="N16" s="382" t="inlineStr">
        <is>
          <t>Ingrédients : Oignon</t>
        </is>
      </c>
      <c r="O16" s="38">
        <f>H29</f>
        <v/>
      </c>
      <c r="P16" s="448" t="n"/>
      <c r="Q16" s="448" t="n"/>
      <c r="R16" s="449" t="n"/>
      <c r="S16" s="447">
        <f>O16*100/(SUM($O$6:$O$12,$O$16:$O$17)+150)</f>
        <v/>
      </c>
    </row>
    <row r="17" ht="36.75" customHeight="1" s="1025" thickBot="1" thickTop="1">
      <c r="A17" s="1022" t="inlineStr">
        <is>
          <t>Spécialité fromagère : Roquefort</t>
        </is>
      </c>
      <c r="B17" s="902" t="n"/>
      <c r="C17" s="902" t="n"/>
      <c r="D17" s="902" t="n"/>
      <c r="E17" s="381" t="n"/>
      <c r="G17" s="1022" t="inlineStr">
        <is>
          <t>Spécialité Fromagère :  Sauci'flette</t>
        </is>
      </c>
      <c r="H17" s="902" t="n"/>
      <c r="I17" s="902" t="n"/>
      <c r="J17" s="902" t="n"/>
      <c r="K17" s="381" t="n"/>
      <c r="N17" s="462" t="inlineStr">
        <is>
          <t>Ingrédients : Emmental</t>
        </is>
      </c>
      <c r="O17" s="82">
        <f>H30</f>
        <v/>
      </c>
      <c r="P17" s="463" t="n"/>
      <c r="Q17" s="463" t="n"/>
      <c r="R17" s="464" t="n"/>
      <c r="S17" s="465">
        <f>O17*100/(SUM($O$6:$O$12,$O$16:$O$17)+150)</f>
        <v/>
      </c>
    </row>
    <row r="18" ht="22.5" customHeight="1" s="1025" thickTop="1">
      <c r="G18" s="10" t="n"/>
      <c r="H18" s="9" t="n"/>
      <c r="I18" s="9" t="n"/>
      <c r="N18" s="466" t="inlineStr">
        <is>
          <t>EPAULES 3D</t>
        </is>
      </c>
      <c r="O18" s="467" t="n">
        <v>69</v>
      </c>
      <c r="P18" s="468">
        <f>O18*100/150</f>
        <v/>
      </c>
      <c r="Q18" s="469" t="n"/>
      <c r="R18" s="470" t="n"/>
      <c r="S18" s="470" t="n"/>
    </row>
    <row r="19" ht="38.25" customHeight="1" s="1025" thickBot="1">
      <c r="A19" s="1019" t="inlineStr">
        <is>
          <t>ASSAISONNEMENT</t>
        </is>
      </c>
      <c r="B19" s="1014" t="inlineStr">
        <is>
          <t>Mêlée de 150 kg</t>
        </is>
      </c>
      <c r="C19" s="1014" t="inlineStr">
        <is>
          <t>Poids cumulés</t>
        </is>
      </c>
      <c r="D19" s="1021" t="inlineStr">
        <is>
          <t>Unités</t>
        </is>
      </c>
      <c r="E19" s="338" t="inlineStr">
        <is>
          <t>Nb Mêlées</t>
        </is>
      </c>
      <c r="G19" s="1019" t="inlineStr">
        <is>
          <t>ASSAISONNEMENT</t>
        </is>
      </c>
      <c r="H19" s="1014" t="inlineStr">
        <is>
          <t>Mêlée de 150 kg</t>
        </is>
      </c>
      <c r="I19" s="1014" t="inlineStr">
        <is>
          <t>Poids cumulés</t>
        </is>
      </c>
      <c r="J19" s="1021" t="inlineStr">
        <is>
          <t>Unités</t>
        </is>
      </c>
      <c r="K19" s="338" t="inlineStr">
        <is>
          <t>Nb Mêlées</t>
        </is>
      </c>
      <c r="N19" s="458" t="inlineStr">
        <is>
          <t>HAMPES</t>
        </is>
      </c>
      <c r="O19" s="459" t="n">
        <v>47</v>
      </c>
      <c r="P19" s="460">
        <f>O19*100/150</f>
        <v/>
      </c>
      <c r="Q19" s="471" t="n"/>
      <c r="R19" s="472" t="n"/>
      <c r="S19" s="472" t="n"/>
    </row>
    <row r="20" ht="48.75" customHeight="1" s="1025">
      <c r="A20" s="979" t="n"/>
      <c r="B20" s="979" t="n"/>
      <c r="C20" s="979" t="n"/>
      <c r="D20" s="979" t="n"/>
      <c r="E20" s="343">
        <f>'PLANNING DE FABRICATION'!E67</f>
        <v/>
      </c>
      <c r="G20" s="979" t="n"/>
      <c r="H20" s="979" t="n"/>
      <c r="I20" s="979" t="n"/>
      <c r="J20" s="979" t="n"/>
      <c r="K20" s="343">
        <f>'PLANNING DE FABRICATION'!E69</f>
        <v/>
      </c>
      <c r="N20" s="458" t="inlineStr">
        <is>
          <t>GRAS</t>
        </is>
      </c>
      <c r="O20" s="459" t="n">
        <v>34</v>
      </c>
      <c r="P20" s="460">
        <f>O20*100/150</f>
        <v/>
      </c>
      <c r="Q20" s="471" t="n"/>
      <c r="R20" s="472" t="n"/>
      <c r="S20" s="472" t="n"/>
    </row>
    <row r="21" ht="30" customHeight="1" s="1025">
      <c r="A21" s="371" t="inlineStr">
        <is>
          <t>SEL NITRITE</t>
        </is>
      </c>
      <c r="B21" s="78" t="n">
        <v>1.5</v>
      </c>
      <c r="C21" s="78">
        <f>B21</f>
        <v/>
      </c>
      <c r="D21" s="385" t="inlineStr">
        <is>
          <t>kg</t>
        </is>
      </c>
      <c r="E21" s="79">
        <f>B21*$E$20</f>
        <v/>
      </c>
      <c r="G21" s="371" t="inlineStr">
        <is>
          <t>SEL NITRITE</t>
        </is>
      </c>
      <c r="H21" s="78" t="n">
        <v>1.5</v>
      </c>
      <c r="I21" s="78">
        <f>H21</f>
        <v/>
      </c>
      <c r="J21" s="385" t="inlineStr">
        <is>
          <t>kg</t>
        </is>
      </c>
      <c r="K21" s="79">
        <f>H21*$K$20</f>
        <v/>
      </c>
      <c r="P21" s="461" t="n"/>
    </row>
    <row r="22" ht="30" customHeight="1" s="1025">
      <c r="A22" s="370" t="inlineStr">
        <is>
          <t xml:space="preserve">SEL </t>
        </is>
      </c>
      <c r="B22" s="80" t="n">
        <v>2.4</v>
      </c>
      <c r="C22" s="80">
        <f>C21+B22</f>
        <v/>
      </c>
      <c r="D22" s="1026" t="inlineStr">
        <is>
          <t>kg</t>
        </is>
      </c>
      <c r="E22" s="79">
        <f>B22*$E$20</f>
        <v/>
      </c>
      <c r="G22" s="370" t="inlineStr">
        <is>
          <t xml:space="preserve">SEL </t>
        </is>
      </c>
      <c r="H22" s="80" t="n">
        <v>2.4</v>
      </c>
      <c r="I22" s="80">
        <f>I21+H22</f>
        <v/>
      </c>
      <c r="J22" s="1026" t="inlineStr">
        <is>
          <t>kg</t>
        </is>
      </c>
      <c r="K22" s="79">
        <f>H22*$K$20</f>
        <v/>
      </c>
      <c r="P22" s="461" t="n"/>
    </row>
    <row r="23" ht="30" customHeight="1" s="1025">
      <c r="A23" s="371" t="inlineStr">
        <is>
          <t>NITRATE DE POTASSIUM</t>
        </is>
      </c>
      <c r="B23" s="352" t="n">
        <v>0.018</v>
      </c>
      <c r="C23" s="78">
        <f>C22+B23</f>
        <v/>
      </c>
      <c r="D23" s="385" t="inlineStr">
        <is>
          <t>kg</t>
        </is>
      </c>
      <c r="E23" s="79">
        <f>B23*$E$20</f>
        <v/>
      </c>
      <c r="G23" s="371" t="inlineStr">
        <is>
          <t>NITRATE DE POTASSIUM</t>
        </is>
      </c>
      <c r="H23" s="352" t="n">
        <v>0.018</v>
      </c>
      <c r="I23" s="78">
        <f>I22+H23</f>
        <v/>
      </c>
      <c r="J23" s="385" t="inlineStr">
        <is>
          <t>kg</t>
        </is>
      </c>
      <c r="K23" s="79">
        <f>H23*$K$20</f>
        <v/>
      </c>
    </row>
    <row r="24" ht="29.25" customHeight="1" s="1025">
      <c r="A24" s="370" t="inlineStr">
        <is>
          <t>LACTOSE</t>
        </is>
      </c>
      <c r="B24" s="80" t="n">
        <v>3</v>
      </c>
      <c r="C24" s="80">
        <f>C23+B24</f>
        <v/>
      </c>
      <c r="D24" s="1026" t="inlineStr">
        <is>
          <t>kg</t>
        </is>
      </c>
      <c r="E24" s="79">
        <f>B24*$E$20</f>
        <v/>
      </c>
      <c r="G24" s="370" t="inlineStr">
        <is>
          <t>LACTOSE</t>
        </is>
      </c>
      <c r="H24" s="80" t="n">
        <v>1.5</v>
      </c>
      <c r="I24" s="80">
        <f>I23+H24</f>
        <v/>
      </c>
      <c r="J24" s="1026" t="inlineStr">
        <is>
          <t>kg</t>
        </is>
      </c>
      <c r="K24" s="79">
        <f>H24*$K$20</f>
        <v/>
      </c>
    </row>
    <row r="25" ht="29.25" customHeight="1" s="1025">
      <c r="A25" s="371" t="inlineStr">
        <is>
          <t>DEXTROSE</t>
        </is>
      </c>
      <c r="B25" s="78" t="n">
        <v>0.45</v>
      </c>
      <c r="C25" s="78">
        <f>C24+B25</f>
        <v/>
      </c>
      <c r="D25" s="385" t="inlineStr">
        <is>
          <t>kg</t>
        </is>
      </c>
      <c r="E25" s="79">
        <f>B25*$E$20</f>
        <v/>
      </c>
      <c r="G25" s="371" t="inlineStr">
        <is>
          <t>DEXTROSE</t>
        </is>
      </c>
      <c r="H25" s="78" t="n">
        <v>0.45</v>
      </c>
      <c r="I25" s="78">
        <f>I24+H25</f>
        <v/>
      </c>
      <c r="J25" s="385" t="inlineStr">
        <is>
          <t>kg</t>
        </is>
      </c>
      <c r="K25" s="79">
        <f>H25*$K$20</f>
        <v/>
      </c>
    </row>
    <row r="26" ht="29.25" customHeight="1" s="1025">
      <c r="A26" s="370" t="inlineStr">
        <is>
          <t>POIVRE BLANC MOULU</t>
        </is>
      </c>
      <c r="B26" s="80" t="n">
        <v>0.25</v>
      </c>
      <c r="C26" s="80">
        <f>C25+B26</f>
        <v/>
      </c>
      <c r="D26" s="1026" t="inlineStr">
        <is>
          <t>kg</t>
        </is>
      </c>
      <c r="E26" s="79">
        <f>B26*$E$20</f>
        <v/>
      </c>
      <c r="G26" s="370" t="inlineStr">
        <is>
          <t>POIVRE BLANC MOULU</t>
        </is>
      </c>
      <c r="H26" s="80" t="n">
        <v>0.25</v>
      </c>
      <c r="I26" s="80">
        <f>I25+H26</f>
        <v/>
      </c>
      <c r="J26" s="1026" t="inlineStr">
        <is>
          <t>kg</t>
        </is>
      </c>
      <c r="K26" s="79">
        <f>H26*$K$20</f>
        <v/>
      </c>
    </row>
    <row r="27" ht="29.25" customHeight="1" s="1025" thickBot="1">
      <c r="A27" s="386" t="inlineStr">
        <is>
          <t>AIL SEMOULE</t>
        </is>
      </c>
      <c r="B27" s="361" t="n">
        <v>0.08</v>
      </c>
      <c r="C27" s="361">
        <f>C26+B27</f>
        <v/>
      </c>
      <c r="D27" s="387" t="inlineStr">
        <is>
          <t>kg</t>
        </is>
      </c>
      <c r="E27" s="82">
        <f>B27*$E$20</f>
        <v/>
      </c>
      <c r="G27" s="386" t="inlineStr">
        <is>
          <t>AIL SEMOULE</t>
        </is>
      </c>
      <c r="H27" s="361" t="n">
        <v>0.08</v>
      </c>
      <c r="I27" s="361">
        <f>I26+H27</f>
        <v/>
      </c>
      <c r="J27" s="387" t="inlineStr">
        <is>
          <t>kg</t>
        </is>
      </c>
      <c r="K27" s="82">
        <f>H27*$K$20</f>
        <v/>
      </c>
    </row>
    <row r="28" ht="29.25" customHeight="1" s="1025" thickBot="1">
      <c r="A28" s="375" t="inlineStr">
        <is>
          <t>FERMENT MF 42R</t>
        </is>
      </c>
      <c r="B28" s="378" t="n">
        <v>1</v>
      </c>
      <c r="C28" s="378">
        <f>B28</f>
        <v/>
      </c>
      <c r="D28" s="380" t="inlineStr">
        <is>
          <t>Sachet</t>
        </is>
      </c>
      <c r="E28" s="38">
        <f>B28*$E$20</f>
        <v/>
      </c>
      <c r="G28" s="375" t="inlineStr">
        <is>
          <t>FERMENT MF 244</t>
        </is>
      </c>
      <c r="H28" s="77" t="n">
        <v>1</v>
      </c>
      <c r="I28" s="77">
        <f>H28</f>
        <v/>
      </c>
      <c r="J28" s="380" t="inlineStr">
        <is>
          <t>Sachet</t>
        </is>
      </c>
      <c r="K28" s="38">
        <f>H28*$K$20</f>
        <v/>
      </c>
    </row>
    <row r="29" ht="31.5" customHeight="1" s="1025" thickBot="1">
      <c r="A29" s="384" t="inlineStr">
        <is>
          <t>Ingrédient : Roquefort</t>
        </is>
      </c>
      <c r="B29" s="383" t="n">
        <v>4</v>
      </c>
      <c r="C29" s="383">
        <f>B29</f>
        <v/>
      </c>
      <c r="D29" s="383" t="inlineStr">
        <is>
          <t>kg</t>
        </is>
      </c>
      <c r="E29" s="38">
        <f>B29*$E$20</f>
        <v/>
      </c>
      <c r="G29" s="382" t="inlineStr">
        <is>
          <t>Ingrédient: Oignon</t>
        </is>
      </c>
      <c r="H29" s="383" t="n">
        <v>2</v>
      </c>
      <c r="I29" s="383">
        <f>H29</f>
        <v/>
      </c>
      <c r="J29" s="383" t="inlineStr">
        <is>
          <t>kg</t>
        </is>
      </c>
      <c r="K29" s="38">
        <f>H29*$K$20</f>
        <v/>
      </c>
    </row>
    <row r="30" ht="27.75" customHeight="1" s="1025">
      <c r="E30" s="33" t="n"/>
      <c r="G30" s="382" t="inlineStr">
        <is>
          <t>Ingrédients : Emmental</t>
        </is>
      </c>
      <c r="H30" s="383" t="n">
        <v>5</v>
      </c>
      <c r="I30" s="383">
        <f>H30</f>
        <v/>
      </c>
      <c r="J30" s="383" t="inlineStr">
        <is>
          <t>kg</t>
        </is>
      </c>
      <c r="K30" s="38">
        <f>H30*$K$20</f>
        <v/>
      </c>
    </row>
    <row r="31" ht="21.75" customHeight="1" s="1025">
      <c r="K31" s="33" t="n"/>
    </row>
  </sheetData>
  <sheetProtection selectLockedCells="0" selectUnlockedCells="0" algorithmName="SHA-512" sheet="1" objects="1" insertRows="1" insertHyperlinks="1" autoFilter="1" scenarios="1" formatColumns="1" deleteColumns="1" insertColumns="1" pivotTables="1" deleteRows="1" formatCells="1" saltValue="Ghq7uin58jpJ6yWzcORoew==" formatRows="1" sort="1" spinCount="100000" hashValue="YsQwEyzsoEIOLZfGZNcT1xGhlmQp1RflvT6mMgIY0temipCR1Ja1asTkc9vG51JL6x1ZDzyO4LfEh910686Txw=="/>
  <mergeCells count="27">
    <mergeCell ref="A17:D17"/>
    <mergeCell ref="N2:S2"/>
    <mergeCell ref="R4:R5"/>
    <mergeCell ref="C4:C5"/>
    <mergeCell ref="O4:O5"/>
    <mergeCell ref="G19:G20"/>
    <mergeCell ref="Q4:Q5"/>
    <mergeCell ref="D4:D5"/>
    <mergeCell ref="J4:J5"/>
    <mergeCell ref="G2:J2"/>
    <mergeCell ref="B19:B20"/>
    <mergeCell ref="H19:H20"/>
    <mergeCell ref="G17:J17"/>
    <mergeCell ref="A4:A5"/>
    <mergeCell ref="G4:G5"/>
    <mergeCell ref="I4:I5"/>
    <mergeCell ref="S4:S5"/>
    <mergeCell ref="I19:I20"/>
    <mergeCell ref="A19:A20"/>
    <mergeCell ref="C19:C20"/>
    <mergeCell ref="D19:D20"/>
    <mergeCell ref="B4:B5"/>
    <mergeCell ref="H4:H5"/>
    <mergeCell ref="N4:N5"/>
    <mergeCell ref="P4:P5"/>
    <mergeCell ref="A2:D2"/>
    <mergeCell ref="J19:J20"/>
  </mergeCells>
  <printOptions horizontalCentered="1" verticalCentered="1"/>
  <pageMargins left="0.2362204724409449" right="0.2362204724409449" top="0.7480314960629921" bottom="0.7480314960629921" header="0.3149606299212598" footer="0.3149606299212598"/>
  <pageSetup orientation="portrait" paperSize="9" scale="82"/>
  <legacyDrawing xmlns:r="http://schemas.openxmlformats.org/officeDocument/2006/relationships" r:id="anysvml"/>
</worksheet>
</file>

<file path=xl/worksheets/sheet10.xml><?xml version="1.0" encoding="utf-8"?>
<worksheet xmlns="http://schemas.openxmlformats.org/spreadsheetml/2006/main">
  <sheetPr codeName="Sheet9">
    <tabColor rgb="FFFFC000"/>
    <outlinePr summaryBelow="1" summaryRight="1"/>
    <pageSetUpPr fitToPage="1"/>
  </sheetPr>
  <dimension ref="A2:R30"/>
  <sheetViews>
    <sheetView zoomScale="70" zoomScaleNormal="70" workbookViewId="0">
      <selection activeCell="M25" sqref="M25"/>
    </sheetView>
  </sheetViews>
  <sheetFormatPr baseColWidth="8" defaultColWidth="31.88671875" defaultRowHeight="34.5" customHeight="1"/>
  <cols>
    <col width="15.88671875" customWidth="1" style="1025" min="2" max="2"/>
    <col width="14.109375" customWidth="1" style="1025" min="3" max="3"/>
    <col width="8.33203125" customWidth="1" style="1047" min="4" max="4"/>
    <col width="15.5546875" customWidth="1" style="1025" min="5" max="5"/>
    <col width="11.33203125" customWidth="1" style="1025" min="6" max="6"/>
    <col width="16.5546875" customWidth="1" style="1025" min="8" max="8"/>
    <col width="13.6640625" customWidth="1" style="1025" min="9" max="9"/>
    <col width="6.5546875" customWidth="1" style="1047" min="10" max="10"/>
    <col width="16.88671875" customWidth="1" style="1025" min="11" max="11"/>
    <col width="37.88671875" bestFit="1" customWidth="1" style="1025" min="14" max="14"/>
    <col width="37.88671875" customWidth="1" style="1025" min="15" max="15"/>
    <col width="11.88671875" bestFit="1" customWidth="1" style="1025" min="16" max="16"/>
    <col width="6.88671875" customWidth="1" style="1025" min="17" max="24"/>
    <col width="31.88671875" customWidth="1" style="1025" min="25" max="25"/>
  </cols>
  <sheetData>
    <row r="1" ht="14.25" customHeight="1" s="1025" thickBot="1"/>
    <row r="2" ht="34.5" customHeight="1" s="1025" thickBot="1" thickTop="1">
      <c r="A2" s="1027" t="inlineStr">
        <is>
          <t xml:space="preserve">Spécialité Carnée : Canard </t>
        </is>
      </c>
      <c r="B2" s="902" t="n"/>
      <c r="C2" s="902" t="n"/>
      <c r="D2" s="902" t="n"/>
      <c r="E2" s="393" t="n"/>
      <c r="G2" s="1027" t="inlineStr">
        <is>
          <t xml:space="preserve">Spécialité Carnée :  Cerf </t>
        </is>
      </c>
      <c r="H2" s="902" t="n"/>
      <c r="I2" s="902" t="n"/>
      <c r="J2" s="902" t="n"/>
      <c r="K2" s="393" t="n"/>
      <c r="N2" s="1024" t="inlineStr">
        <is>
          <t>Spécialités Carnées : Pourcentages</t>
        </is>
      </c>
      <c r="O2" s="902" t="n"/>
      <c r="P2" s="903" t="n"/>
      <c r="Q2" s="68" t="n"/>
      <c r="R2" s="68" t="n"/>
    </row>
    <row r="3" ht="14.25" customHeight="1" s="1025" thickTop="1">
      <c r="A3" s="10" t="n"/>
      <c r="B3" s="9" t="n"/>
      <c r="C3" s="9" t="n"/>
      <c r="G3" s="10" t="n"/>
      <c r="H3" s="9" t="n"/>
      <c r="I3" s="9" t="n"/>
      <c r="N3" s="10" t="n"/>
      <c r="O3" s="10" t="n"/>
      <c r="P3" s="9" t="n"/>
    </row>
    <row r="4" ht="34.5" customHeight="1" s="1025" thickBot="1">
      <c r="A4" s="1019" t="inlineStr">
        <is>
          <t>ASSAISONNEMENT</t>
        </is>
      </c>
      <c r="B4" s="1014" t="inlineStr">
        <is>
          <t>Mêlée de 150 kg</t>
        </is>
      </c>
      <c r="C4" s="1014" t="inlineStr">
        <is>
          <t>Poids cumulés</t>
        </is>
      </c>
      <c r="D4" s="1016" t="inlineStr">
        <is>
          <t>Unités</t>
        </is>
      </c>
      <c r="E4" s="338" t="inlineStr">
        <is>
          <t>Nb Mêlées</t>
        </is>
      </c>
      <c r="G4" s="1019" t="inlineStr">
        <is>
          <t>ASSAISONNEMENT</t>
        </is>
      </c>
      <c r="H4" s="1014" t="inlineStr">
        <is>
          <t>Mêlée de 150 kg</t>
        </is>
      </c>
      <c r="I4" s="1014" t="inlineStr">
        <is>
          <t>Poids cumulés</t>
        </is>
      </c>
      <c r="J4" s="1016" t="inlineStr">
        <is>
          <t>Unités</t>
        </is>
      </c>
      <c r="K4" s="338" t="inlineStr">
        <is>
          <t>Nb Mêlées</t>
        </is>
      </c>
      <c r="N4" s="1026" t="inlineStr">
        <is>
          <t>ASSAISONNEMENT</t>
        </is>
      </c>
      <c r="O4" s="1026" t="inlineStr">
        <is>
          <t>Mêlée de 150Kg</t>
        </is>
      </c>
      <c r="P4" s="1032" t="inlineStr">
        <is>
          <t xml:space="preserve">% </t>
        </is>
      </c>
    </row>
    <row r="5" ht="34.5" customHeight="1" s="1025">
      <c r="A5" s="979" t="n"/>
      <c r="B5" s="979" t="n"/>
      <c r="C5" s="979" t="n"/>
      <c r="D5" s="979" t="n"/>
      <c r="E5" s="343">
        <f>'PLANNING DE FABRICATION'!E90</f>
        <v/>
      </c>
      <c r="G5" s="979" t="n"/>
      <c r="H5" s="979" t="n"/>
      <c r="I5" s="979" t="n"/>
      <c r="J5" s="979" t="n"/>
      <c r="K5" s="343">
        <f>'PLANNING DE FABRICATION'!E88</f>
        <v/>
      </c>
      <c r="N5" s="979" t="n"/>
      <c r="O5" s="979" t="n"/>
      <c r="P5" s="979" t="n"/>
    </row>
    <row r="6" ht="34.5" customHeight="1" s="1025">
      <c r="A6" s="371" t="inlineStr">
        <is>
          <t>SEL NITRITE</t>
        </is>
      </c>
      <c r="B6" s="78" t="n">
        <v>1.5</v>
      </c>
      <c r="C6" s="78">
        <f>B6</f>
        <v/>
      </c>
      <c r="D6" s="349" t="inlineStr">
        <is>
          <t>kg</t>
        </is>
      </c>
      <c r="E6" s="79">
        <f>B6*$E$5</f>
        <v/>
      </c>
      <c r="G6" s="371" t="inlineStr">
        <is>
          <t>SEL NITRITE</t>
        </is>
      </c>
      <c r="H6" s="78" t="n">
        <v>1.5</v>
      </c>
      <c r="I6" s="78">
        <f>H6</f>
        <v/>
      </c>
      <c r="J6" s="349" t="inlineStr">
        <is>
          <t>kg</t>
        </is>
      </c>
      <c r="K6" s="79">
        <f>H6*$K$5</f>
        <v/>
      </c>
      <c r="N6" s="455" t="inlineStr">
        <is>
          <t>SEL NITRITE</t>
        </is>
      </c>
      <c r="O6" s="78">
        <f>B6</f>
        <v/>
      </c>
      <c r="P6" s="446">
        <f>O6*100/(SUM($O$6:$O$13)+150)</f>
        <v/>
      </c>
    </row>
    <row r="7" ht="34.5" customHeight="1" s="1025">
      <c r="A7" s="370" t="inlineStr">
        <is>
          <t xml:space="preserve">SEL </t>
        </is>
      </c>
      <c r="B7" s="80" t="n">
        <v>2.55</v>
      </c>
      <c r="C7" s="80">
        <f>C6+B7</f>
        <v/>
      </c>
      <c r="D7" s="1031" t="inlineStr">
        <is>
          <t>kg</t>
        </is>
      </c>
      <c r="E7" s="79">
        <f>B7*$E$5</f>
        <v/>
      </c>
      <c r="G7" s="370" t="inlineStr">
        <is>
          <t xml:space="preserve">SEL </t>
        </is>
      </c>
      <c r="H7" s="80" t="n">
        <v>2.55</v>
      </c>
      <c r="I7" s="80">
        <f>I6+H7</f>
        <v/>
      </c>
      <c r="J7" s="1031" t="inlineStr">
        <is>
          <t>kg</t>
        </is>
      </c>
      <c r="K7" s="79">
        <f>H7*$K$5</f>
        <v/>
      </c>
      <c r="N7" s="456" t="inlineStr">
        <is>
          <t xml:space="preserve">SEL </t>
        </is>
      </c>
      <c r="O7" s="80">
        <f>B7</f>
        <v/>
      </c>
      <c r="P7" s="408">
        <f>O7*100/(SUM($O$6:$O$13)+150)</f>
        <v/>
      </c>
    </row>
    <row r="8" ht="34.5" customHeight="1" s="1025">
      <c r="A8" s="371" t="inlineStr">
        <is>
          <t>NITRATE DE POTASSIUM</t>
        </is>
      </c>
      <c r="B8" s="352" t="n">
        <v>0.018</v>
      </c>
      <c r="C8" s="78">
        <f>C7+B8</f>
        <v/>
      </c>
      <c r="D8" s="349" t="inlineStr">
        <is>
          <t>kg</t>
        </is>
      </c>
      <c r="E8" s="79">
        <f>B8*$E$5</f>
        <v/>
      </c>
      <c r="G8" s="371" t="inlineStr">
        <is>
          <t>NITRATE DE POTASSIUM</t>
        </is>
      </c>
      <c r="H8" s="352" t="n">
        <v>0.018</v>
      </c>
      <c r="I8" s="78">
        <f>I7+H8</f>
        <v/>
      </c>
      <c r="J8" s="349" t="inlineStr">
        <is>
          <t>kg</t>
        </is>
      </c>
      <c r="K8" s="79">
        <f>H8*$K$5</f>
        <v/>
      </c>
      <c r="N8" s="455" t="inlineStr">
        <is>
          <t>NITRATE DE POTASSIUM</t>
        </is>
      </c>
      <c r="O8" s="352">
        <f>B8</f>
        <v/>
      </c>
      <c r="P8" s="78">
        <f>O8*100/(SUM($O$6:$O$13)+150)</f>
        <v/>
      </c>
    </row>
    <row r="9" ht="34.5" customHeight="1" s="1025">
      <c r="A9" s="370" t="inlineStr">
        <is>
          <t>LACTOSE</t>
        </is>
      </c>
      <c r="B9" s="80" t="n">
        <v>1.5</v>
      </c>
      <c r="C9" s="80">
        <f>C8+B9</f>
        <v/>
      </c>
      <c r="D9" s="1031" t="inlineStr">
        <is>
          <t>kg</t>
        </is>
      </c>
      <c r="E9" s="79">
        <f>B9*$E$5</f>
        <v/>
      </c>
      <c r="G9" s="370" t="inlineStr">
        <is>
          <t>LACTOSE</t>
        </is>
      </c>
      <c r="H9" s="80" t="n">
        <v>1.5</v>
      </c>
      <c r="I9" s="80">
        <f>I8+H9</f>
        <v/>
      </c>
      <c r="J9" s="1031" t="inlineStr">
        <is>
          <t>kg</t>
        </is>
      </c>
      <c r="K9" s="79">
        <f>H9*$K$5</f>
        <v/>
      </c>
      <c r="N9" s="456" t="inlineStr">
        <is>
          <t>LACTOSE</t>
        </is>
      </c>
      <c r="O9" s="80">
        <f>B9</f>
        <v/>
      </c>
      <c r="P9" s="408">
        <f>O9*100/(SUM($O$6:$O$13)+150)</f>
        <v/>
      </c>
    </row>
    <row r="10" ht="34.5" customHeight="1" s="1025">
      <c r="A10" s="371" t="inlineStr">
        <is>
          <t>DEXTROSE</t>
        </is>
      </c>
      <c r="B10" s="78" t="n">
        <v>0.45</v>
      </c>
      <c r="C10" s="78">
        <f>C9+B10</f>
        <v/>
      </c>
      <c r="D10" s="349" t="inlineStr">
        <is>
          <t>kg</t>
        </is>
      </c>
      <c r="E10" s="79">
        <f>B10*$E$5</f>
        <v/>
      </c>
      <c r="G10" s="371" t="inlineStr">
        <is>
          <t>DEXTROSE</t>
        </is>
      </c>
      <c r="H10" s="78" t="n">
        <v>0.45</v>
      </c>
      <c r="I10" s="78">
        <f>I9+H10</f>
        <v/>
      </c>
      <c r="J10" s="349" t="inlineStr">
        <is>
          <t>kg</t>
        </is>
      </c>
      <c r="K10" s="79">
        <f>H10*$K$5</f>
        <v/>
      </c>
      <c r="N10" s="455" t="inlineStr">
        <is>
          <t>DEXTROSE</t>
        </is>
      </c>
      <c r="O10" s="78">
        <f>B10</f>
        <v/>
      </c>
      <c r="P10" s="78">
        <f>O10*100/(SUM($O$6:$O$13)+150)</f>
        <v/>
      </c>
    </row>
    <row r="11" ht="34.5" customHeight="1" s="1025">
      <c r="A11" s="370" t="inlineStr">
        <is>
          <t>POIVRE BLANC MOULU</t>
        </is>
      </c>
      <c r="B11" s="80" t="n">
        <v>0.25</v>
      </c>
      <c r="C11" s="80">
        <f>C10+B11</f>
        <v/>
      </c>
      <c r="D11" s="1031" t="inlineStr">
        <is>
          <t>kg</t>
        </is>
      </c>
      <c r="E11" s="79">
        <f>B11*$E$5</f>
        <v/>
      </c>
      <c r="G11" s="370" t="inlineStr">
        <is>
          <t>POIVRE BLANC MOULU</t>
        </is>
      </c>
      <c r="H11" s="80" t="n">
        <v>0.25</v>
      </c>
      <c r="I11" s="80">
        <f>I10+H11</f>
        <v/>
      </c>
      <c r="J11" s="1031" t="inlineStr">
        <is>
          <t>kg</t>
        </is>
      </c>
      <c r="K11" s="79">
        <f>H11*$K$5</f>
        <v/>
      </c>
      <c r="N11" s="456" t="inlineStr">
        <is>
          <t>POIVRE BLANC MOULU</t>
        </is>
      </c>
      <c r="O11" s="80">
        <f>B11</f>
        <v/>
      </c>
      <c r="P11" s="80">
        <f>O11*100/(SUM($O$6:$O$13)+150)</f>
        <v/>
      </c>
    </row>
    <row r="12" ht="34.5" customHeight="1" s="1025" thickBot="1">
      <c r="A12" s="386" t="inlineStr">
        <is>
          <t>AIL SEMOULE</t>
        </is>
      </c>
      <c r="B12" s="361" t="n">
        <v>0.08</v>
      </c>
      <c r="C12" s="361">
        <f>C11+B12</f>
        <v/>
      </c>
      <c r="D12" s="362" t="inlineStr">
        <is>
          <t>kg</t>
        </is>
      </c>
      <c r="E12" s="82">
        <f>B12*$E$5</f>
        <v/>
      </c>
      <c r="G12" s="386" t="inlineStr">
        <is>
          <t>AIL SEMOULE</t>
        </is>
      </c>
      <c r="H12" s="361" t="n">
        <v>0.08</v>
      </c>
      <c r="I12" s="361">
        <f>I11+H12</f>
        <v/>
      </c>
      <c r="J12" s="362" t="inlineStr">
        <is>
          <t>kg</t>
        </is>
      </c>
      <c r="K12" s="82">
        <f>H12*$K$5</f>
        <v/>
      </c>
      <c r="N12" s="457" t="inlineStr">
        <is>
          <t>AIL SEMOULE</t>
        </is>
      </c>
      <c r="O12" s="361">
        <f>B12</f>
        <v/>
      </c>
      <c r="P12" s="78">
        <f>O12*100/(SUM($O$6:$O$13)+150)</f>
        <v/>
      </c>
    </row>
    <row r="13" ht="27.75" customHeight="1" s="1025" thickBot="1">
      <c r="A13" s="375" t="inlineStr">
        <is>
          <t>FERMENT MF 244</t>
        </is>
      </c>
      <c r="B13" s="390" t="n">
        <v>1</v>
      </c>
      <c r="C13" s="390">
        <f>B13</f>
        <v/>
      </c>
      <c r="D13" s="43" t="inlineStr">
        <is>
          <t>Sachet</t>
        </is>
      </c>
      <c r="E13" s="38">
        <f>B13*$E$5</f>
        <v/>
      </c>
      <c r="G13" s="375" t="inlineStr">
        <is>
          <t>FERMENT MF 244</t>
        </is>
      </c>
      <c r="H13" s="390" t="n">
        <v>1</v>
      </c>
      <c r="I13" s="390">
        <f>H13</f>
        <v/>
      </c>
      <c r="J13" s="43" t="inlineStr">
        <is>
          <t>Sachet</t>
        </is>
      </c>
      <c r="K13" s="38">
        <f>H13*$K$5</f>
        <v/>
      </c>
      <c r="N13" s="377" t="inlineStr">
        <is>
          <t>Ingrédients carné</t>
        </is>
      </c>
      <c r="O13" s="377">
        <f>B14</f>
        <v/>
      </c>
      <c r="P13" s="439">
        <f>O13*100/(SUM($O$6:$O$12)+150)</f>
        <v/>
      </c>
    </row>
    <row r="14" ht="29.25" customHeight="1" s="1025">
      <c r="A14" s="391" t="inlineStr">
        <is>
          <t>Ingrédients : Canard</t>
        </is>
      </c>
      <c r="B14" s="377" t="n">
        <v>23</v>
      </c>
      <c r="C14" s="377">
        <f>B14</f>
        <v/>
      </c>
      <c r="D14" s="392" t="inlineStr">
        <is>
          <t>kg</t>
        </is>
      </c>
      <c r="E14" s="38">
        <f>B14*$E$5</f>
        <v/>
      </c>
      <c r="G14" s="391" t="inlineStr">
        <is>
          <t>Ingrédients : Cerf</t>
        </is>
      </c>
      <c r="H14" s="377" t="n">
        <v>23</v>
      </c>
      <c r="I14" s="377">
        <f>H14</f>
        <v/>
      </c>
      <c r="J14" s="392" t="inlineStr">
        <is>
          <t>kg</t>
        </is>
      </c>
      <c r="K14" s="38">
        <f>H14*$K$5</f>
        <v/>
      </c>
    </row>
    <row r="15" ht="29.25" customHeight="1" s="1025">
      <c r="E15" s="33" t="n"/>
      <c r="K15" s="33" t="n"/>
    </row>
    <row r="16" ht="34.5" customHeight="1" s="1025" thickBot="1">
      <c r="E16" s="33" t="n"/>
    </row>
    <row r="17" ht="34.5" customHeight="1" s="1025" thickBot="1" thickTop="1">
      <c r="A17" s="1027" t="inlineStr">
        <is>
          <t>Spécialité Carnée : Taureau</t>
        </is>
      </c>
      <c r="B17" s="902" t="n"/>
      <c r="C17" s="902" t="n"/>
      <c r="D17" s="902" t="n"/>
      <c r="E17" s="393" t="n"/>
      <c r="G17" s="1027" t="inlineStr">
        <is>
          <t>Spécialité Carnée :  Sanglier</t>
        </is>
      </c>
      <c r="H17" s="902" t="n"/>
      <c r="I17" s="902" t="n"/>
      <c r="J17" s="902" t="n"/>
      <c r="K17" s="393" t="n"/>
      <c r="N17" s="953" t="n"/>
      <c r="O17" s="953" t="n"/>
      <c r="P17" s="953" t="n"/>
    </row>
    <row r="18" ht="15" customHeight="1" s="1025" thickBot="1" thickTop="1">
      <c r="G18" s="10" t="n"/>
      <c r="H18" s="9" t="n"/>
      <c r="I18" s="9" t="n"/>
      <c r="N18" s="1012" t="n"/>
      <c r="O18" s="1012" t="n"/>
      <c r="P18" s="1012" t="n"/>
      <c r="Q18" s="1028" t="n"/>
      <c r="R18" s="1029" t="n"/>
    </row>
    <row r="19" ht="34.5" customHeight="1" s="1025" thickBot="1">
      <c r="A19" s="1019" t="inlineStr">
        <is>
          <t>ASSAISONNEMENT</t>
        </is>
      </c>
      <c r="B19" s="1014" t="inlineStr">
        <is>
          <t>Mêlée de 150 kg</t>
        </is>
      </c>
      <c r="C19" s="1014" t="inlineStr">
        <is>
          <t>Poids cumulés</t>
        </is>
      </c>
      <c r="D19" s="1031" t="inlineStr">
        <is>
          <t>Unités</t>
        </is>
      </c>
      <c r="E19" s="388" t="inlineStr">
        <is>
          <t>Nb Mêlées</t>
        </is>
      </c>
      <c r="G19" s="1019" t="inlineStr">
        <is>
          <t>ASSAISONNEMENT</t>
        </is>
      </c>
      <c r="H19" s="1014" t="inlineStr">
        <is>
          <t>Mêlée de 150 kg</t>
        </is>
      </c>
      <c r="I19" s="1014" t="inlineStr">
        <is>
          <t>Poids cumulés</t>
        </is>
      </c>
      <c r="J19" s="1016" t="inlineStr">
        <is>
          <t>Unités</t>
        </is>
      </c>
      <c r="K19" s="338" t="inlineStr">
        <is>
          <t>Nb Mêlées</t>
        </is>
      </c>
      <c r="N19" s="970" t="inlineStr">
        <is>
          <t>Viandes</t>
        </is>
      </c>
      <c r="O19" s="919" t="n"/>
      <c r="P19" s="932" t="n"/>
      <c r="Q19" s="481" t="inlineStr">
        <is>
          <t>Qté</t>
        </is>
      </c>
      <c r="R19" s="481" t="inlineStr">
        <is>
          <t>%</t>
        </is>
      </c>
    </row>
    <row r="20" ht="34.5" customHeight="1" s="1025">
      <c r="A20" s="979" t="n"/>
      <c r="B20" s="979" t="n"/>
      <c r="C20" s="979" t="n"/>
      <c r="D20" s="979" t="n"/>
      <c r="E20" s="343">
        <f>'PLANNING DE FABRICATION'!E89</f>
        <v/>
      </c>
      <c r="G20" s="979" t="n"/>
      <c r="H20" s="979" t="n"/>
      <c r="I20" s="979" t="n"/>
      <c r="J20" s="979" t="n"/>
      <c r="K20" s="343">
        <f>'PLANNING DE FABRICATION'!E87</f>
        <v/>
      </c>
      <c r="N20" s="1030" t="inlineStr">
        <is>
          <t>Epaule 3D</t>
        </is>
      </c>
      <c r="P20" s="954" t="n"/>
      <c r="Q20" s="484" t="n">
        <v>45</v>
      </c>
      <c r="R20" s="485">
        <f>Q20*100/SUM($Q$20:$Q$23)</f>
        <v/>
      </c>
    </row>
    <row r="21" ht="34.5" customHeight="1" s="1025">
      <c r="A21" s="371" t="inlineStr">
        <is>
          <t>SEL NITRITE</t>
        </is>
      </c>
      <c r="B21" s="78" t="n">
        <v>1.5</v>
      </c>
      <c r="C21" s="78" t="n">
        <v>1.5</v>
      </c>
      <c r="D21" s="349" t="inlineStr">
        <is>
          <t>kg</t>
        </is>
      </c>
      <c r="E21" s="79">
        <f>B21*$E$20</f>
        <v/>
      </c>
      <c r="G21" s="371" t="inlineStr">
        <is>
          <t>SEL NITRITE</t>
        </is>
      </c>
      <c r="H21" s="78" t="n">
        <v>1.5</v>
      </c>
      <c r="I21" s="78">
        <f>H21</f>
        <v/>
      </c>
      <c r="J21" s="349" t="inlineStr">
        <is>
          <t>kg</t>
        </is>
      </c>
      <c r="K21" s="389">
        <f>H21*$K$20</f>
        <v/>
      </c>
      <c r="N21" s="955" t="inlineStr">
        <is>
          <t>Hampes</t>
        </is>
      </c>
      <c r="P21" s="954" t="n"/>
      <c r="Q21" s="155" t="n">
        <v>47</v>
      </c>
      <c r="R21" s="482">
        <f>Q21*100/SUM($Q$20:$Q$23)</f>
        <v/>
      </c>
    </row>
    <row r="22" ht="34.5" customHeight="1" s="1025">
      <c r="A22" s="370" t="inlineStr">
        <is>
          <t xml:space="preserve">SEL </t>
        </is>
      </c>
      <c r="B22" s="80" t="n">
        <v>2.55</v>
      </c>
      <c r="C22" s="80" t="n">
        <v>4.05</v>
      </c>
      <c r="D22" s="1031" t="inlineStr">
        <is>
          <t>kg</t>
        </is>
      </c>
      <c r="E22" s="79">
        <f>B22*$E$20</f>
        <v/>
      </c>
      <c r="G22" s="370" t="inlineStr">
        <is>
          <t xml:space="preserve">SEL </t>
        </is>
      </c>
      <c r="H22" s="80" t="n">
        <v>2.55</v>
      </c>
      <c r="I22" s="80">
        <f>I21+H22</f>
        <v/>
      </c>
      <c r="J22" s="1031" t="inlineStr">
        <is>
          <t>kg</t>
        </is>
      </c>
      <c r="K22" s="79">
        <f>H22*$K$20</f>
        <v/>
      </c>
      <c r="N22" s="1030" t="inlineStr">
        <is>
          <t xml:space="preserve">Gras </t>
        </is>
      </c>
      <c r="P22" s="954" t="n"/>
      <c r="Q22" s="486" t="n">
        <v>35</v>
      </c>
      <c r="R22" s="485">
        <f>Q22*100/SUM($Q$20:$Q$23)</f>
        <v/>
      </c>
    </row>
    <row r="23" ht="34.5" customHeight="1" s="1025" thickBot="1">
      <c r="A23" s="371" t="inlineStr">
        <is>
          <t>NITRATE DE POTASSIUM</t>
        </is>
      </c>
      <c r="B23" s="352" t="n">
        <v>0.018</v>
      </c>
      <c r="C23" s="78" t="n">
        <v>4.068</v>
      </c>
      <c r="D23" s="349" t="inlineStr">
        <is>
          <t>kg</t>
        </is>
      </c>
      <c r="E23" s="79">
        <f>B23*$E$20</f>
        <v/>
      </c>
      <c r="G23" s="371" t="inlineStr">
        <is>
          <t>NITRATE DE POTASSIUM</t>
        </is>
      </c>
      <c r="H23" s="352" t="n">
        <v>0.018</v>
      </c>
      <c r="I23" s="78">
        <f>I22+H23</f>
        <v/>
      </c>
      <c r="J23" s="349" t="inlineStr">
        <is>
          <t>kg</t>
        </is>
      </c>
      <c r="K23" s="79">
        <f>H23*$K$20</f>
        <v/>
      </c>
      <c r="N23" s="955" t="inlineStr">
        <is>
          <t>Ingrédient Carné</t>
        </is>
      </c>
      <c r="P23" s="954" t="n"/>
      <c r="Q23" s="155" t="n">
        <v>23</v>
      </c>
      <c r="R23" s="482">
        <f>Q23*100/SUM($Q$20:$Q$23)</f>
        <v/>
      </c>
    </row>
    <row r="24" ht="34.5" customHeight="1" s="1025" thickBot="1">
      <c r="A24" s="370" t="inlineStr">
        <is>
          <t>LACTOSE</t>
        </is>
      </c>
      <c r="B24" s="80" t="n">
        <v>1.5</v>
      </c>
      <c r="C24" s="80" t="n">
        <v>5.568</v>
      </c>
      <c r="D24" s="1031" t="inlineStr">
        <is>
          <t>kg</t>
        </is>
      </c>
      <c r="E24" s="79">
        <f>B24*$E$20</f>
        <v/>
      </c>
      <c r="G24" s="370" t="inlineStr">
        <is>
          <t>LACTOSE</t>
        </is>
      </c>
      <c r="H24" s="80" t="n">
        <v>1.5</v>
      </c>
      <c r="I24" s="80">
        <f>I23+H24</f>
        <v/>
      </c>
      <c r="J24" s="1031" t="inlineStr">
        <is>
          <t>kg</t>
        </is>
      </c>
      <c r="K24" s="79">
        <f>H24*$K$20</f>
        <v/>
      </c>
      <c r="N24" s="973" t="inlineStr">
        <is>
          <t>TOTAL</t>
        </is>
      </c>
      <c r="O24" s="919" t="n"/>
      <c r="P24" s="932" t="n"/>
      <c r="Q24" s="157">
        <f>SUM(Q20:Q23)</f>
        <v/>
      </c>
      <c r="R24" s="483">
        <f>SUM(R20:R23)</f>
        <v/>
      </c>
    </row>
    <row r="25" ht="34.5" customHeight="1" s="1025">
      <c r="A25" s="371" t="inlineStr">
        <is>
          <t>DEXTROSE</t>
        </is>
      </c>
      <c r="B25" s="78" t="n">
        <v>0.45</v>
      </c>
      <c r="C25" s="78" t="n">
        <v>6.018</v>
      </c>
      <c r="D25" s="349" t="inlineStr">
        <is>
          <t>kg</t>
        </is>
      </c>
      <c r="E25" s="79">
        <f>B25*$E$20</f>
        <v/>
      </c>
      <c r="G25" s="371" t="inlineStr">
        <is>
          <t>DEXTROSE</t>
        </is>
      </c>
      <c r="H25" s="78" t="n">
        <v>0.45</v>
      </c>
      <c r="I25" s="78">
        <f>I24+H25</f>
        <v/>
      </c>
      <c r="J25" s="349" t="inlineStr">
        <is>
          <t>kg</t>
        </is>
      </c>
      <c r="K25" s="79">
        <f>H25*$K$20</f>
        <v/>
      </c>
      <c r="R25" s="953" t="n"/>
    </row>
    <row r="26" ht="34.5" customHeight="1" s="1025">
      <c r="A26" s="370" t="inlineStr">
        <is>
          <t>POIVRE BLANC MOULU</t>
        </is>
      </c>
      <c r="B26" s="80" t="n">
        <v>0.25</v>
      </c>
      <c r="C26" s="80" t="n">
        <v>6.268</v>
      </c>
      <c r="D26" s="1031" t="inlineStr">
        <is>
          <t>kg</t>
        </is>
      </c>
      <c r="E26" s="79">
        <f>B26*$E$20</f>
        <v/>
      </c>
      <c r="G26" s="370" t="inlineStr">
        <is>
          <t>POIVRE BLANC MOULU</t>
        </is>
      </c>
      <c r="H26" s="80" t="n">
        <v>0.25</v>
      </c>
      <c r="I26" s="80">
        <f>I25+H26</f>
        <v/>
      </c>
      <c r="J26" s="1031" t="inlineStr">
        <is>
          <t>kg</t>
        </is>
      </c>
      <c r="K26" s="79">
        <f>H26*$K$20</f>
        <v/>
      </c>
    </row>
    <row r="27" ht="34.5" customHeight="1" s="1025" thickBot="1">
      <c r="A27" s="386" t="inlineStr">
        <is>
          <t>AIL SEMOULE</t>
        </is>
      </c>
      <c r="B27" s="361" t="n">
        <v>0.08</v>
      </c>
      <c r="C27" s="361" t="n">
        <v>6.348</v>
      </c>
      <c r="D27" s="362" t="inlineStr">
        <is>
          <t>kg</t>
        </is>
      </c>
      <c r="E27" s="82">
        <f>B27*$E$20</f>
        <v/>
      </c>
      <c r="G27" s="386" t="inlineStr">
        <is>
          <t>AIL SEMOULE</t>
        </is>
      </c>
      <c r="H27" s="361" t="n">
        <v>0.08</v>
      </c>
      <c r="I27" s="361">
        <f>I26+H27</f>
        <v/>
      </c>
      <c r="J27" s="362" t="inlineStr">
        <is>
          <t>kg</t>
        </is>
      </c>
      <c r="K27" s="82">
        <f>H27*$K$20</f>
        <v/>
      </c>
    </row>
    <row r="28" ht="30" customHeight="1" s="1025" thickBot="1">
      <c r="A28" s="375" t="inlineStr">
        <is>
          <t>FERMENT MF 244</t>
        </is>
      </c>
      <c r="B28" s="390" t="n">
        <v>1</v>
      </c>
      <c r="C28" s="390">
        <f>B28</f>
        <v/>
      </c>
      <c r="D28" s="43" t="inlineStr">
        <is>
          <t>Sachet</t>
        </is>
      </c>
      <c r="E28" s="38">
        <f>B28*$E$20</f>
        <v/>
      </c>
      <c r="G28" s="375" t="inlineStr">
        <is>
          <t>FERMENT MF 244</t>
        </is>
      </c>
      <c r="H28" s="390" t="n">
        <v>1</v>
      </c>
      <c r="I28" s="390">
        <f>H28</f>
        <v/>
      </c>
      <c r="J28" s="43" t="inlineStr">
        <is>
          <t>Sachet</t>
        </is>
      </c>
      <c r="K28" s="38">
        <f>H28*$K$20</f>
        <v/>
      </c>
    </row>
    <row r="29" ht="34.5" customHeight="1" s="1025">
      <c r="A29" s="391" t="inlineStr">
        <is>
          <t>Ingrédient : Taureau</t>
        </is>
      </c>
      <c r="B29" s="377" t="n">
        <v>23</v>
      </c>
      <c r="C29" s="377">
        <f>B29</f>
        <v/>
      </c>
      <c r="D29" s="392" t="inlineStr">
        <is>
          <t>kg</t>
        </is>
      </c>
      <c r="E29" s="38">
        <f>B29*$E$20</f>
        <v/>
      </c>
      <c r="G29" s="391" t="inlineStr">
        <is>
          <t>Ingrédients : Sanglier</t>
        </is>
      </c>
      <c r="H29" s="377" t="n">
        <v>23</v>
      </c>
      <c r="I29" s="377">
        <f>H29</f>
        <v/>
      </c>
      <c r="J29" s="392" t="inlineStr">
        <is>
          <t>kg</t>
        </is>
      </c>
      <c r="K29" s="38">
        <f>H29*$K$20</f>
        <v/>
      </c>
    </row>
    <row r="30" ht="34.5" customHeight="1" s="1025">
      <c r="K30" s="33" t="n"/>
    </row>
  </sheetData>
  <sheetProtection selectLockedCells="0" selectUnlockedCells="0" algorithmName="SHA-512" sheet="1" objects="1" insertRows="1" insertHyperlinks="1" autoFilter="1" scenarios="1" formatColumns="1" deleteColumns="1" insertColumns="1" pivotTables="1" deleteRows="1" formatCells="1" saltValue="+jurplIdOxHNGfEt5xABjw==" formatRows="1" sort="1" spinCount="100000" hashValue="ACOcuyQ9qlMOqUtnFBh74dQ5KnNqZ0ve0WjTGJXF3fIhU7bsShwQd1x0mpNsRld4JcaFOH92ZMrmAMmAi18L7g=="/>
  <mergeCells count="31">
    <mergeCell ref="A17:D17"/>
    <mergeCell ref="N2:P2"/>
    <mergeCell ref="C4:C5"/>
    <mergeCell ref="N23:P23"/>
    <mergeCell ref="O4:O5"/>
    <mergeCell ref="Q18:R18"/>
    <mergeCell ref="G19:G20"/>
    <mergeCell ref="N19:P19"/>
    <mergeCell ref="D4:D5"/>
    <mergeCell ref="J4:J5"/>
    <mergeCell ref="G2:J2"/>
    <mergeCell ref="B19:B20"/>
    <mergeCell ref="H19:H20"/>
    <mergeCell ref="N24:P24"/>
    <mergeCell ref="G17:J17"/>
    <mergeCell ref="A4:A5"/>
    <mergeCell ref="G4:G5"/>
    <mergeCell ref="I4:I5"/>
    <mergeCell ref="N20:P20"/>
    <mergeCell ref="I19:I20"/>
    <mergeCell ref="A19:A20"/>
    <mergeCell ref="C19:C20"/>
    <mergeCell ref="D19:D20"/>
    <mergeCell ref="B4:B5"/>
    <mergeCell ref="N22:P22"/>
    <mergeCell ref="H4:H5"/>
    <mergeCell ref="N4:N5"/>
    <mergeCell ref="P4:P5"/>
    <mergeCell ref="A2:D2"/>
    <mergeCell ref="J19:J20"/>
    <mergeCell ref="N21:P21"/>
  </mergeCells>
  <printOptions horizontalCentered="1" verticalCentered="1"/>
  <pageMargins left="0.2362204724409449" right="0.2362204724409449" top="0.7480314960629921" bottom="0.7480314960629921" header="0.3149606299212598" footer="0.3149606299212598"/>
  <pageSetup orientation="portrait" paperSize="9" scale="82"/>
  <legacyDrawing xmlns:r="http://schemas.openxmlformats.org/officeDocument/2006/relationships" r:id="anysvml"/>
</worksheet>
</file>

<file path=xl/worksheets/sheet11.xml><?xml version="1.0" encoding="utf-8"?>
<worksheet xmlns="http://schemas.openxmlformats.org/spreadsheetml/2006/main">
  <sheetPr codeName="Sheet10">
    <tabColor rgb="FF00B050"/>
    <outlinePr summaryBelow="1" summaryRight="1"/>
    <pageSetUpPr fitToPage="1"/>
  </sheetPr>
  <dimension ref="A2:AA78"/>
  <sheetViews>
    <sheetView topLeftCell="C30" zoomScale="85" zoomScaleNormal="85" workbookViewId="0">
      <selection activeCell="N44" sqref="N44"/>
    </sheetView>
  </sheetViews>
  <sheetFormatPr baseColWidth="8" defaultColWidth="11.5546875" defaultRowHeight="14.4"/>
  <cols>
    <col width="34.6640625" bestFit="1" customWidth="1" style="1025" min="1" max="1"/>
    <col width="13.109375" customWidth="1" style="1025" min="2" max="3"/>
    <col width="6.33203125" customWidth="1" style="1047" min="4" max="4"/>
    <col width="5.6640625" customWidth="1" style="1025" min="6" max="6"/>
    <col width="37.88671875" customWidth="1" style="1025" min="7" max="7"/>
    <col width="11.5546875" customWidth="1" style="1025" min="8" max="8"/>
    <col width="13.5546875" customWidth="1" style="1025" min="9" max="9"/>
    <col width="5.44140625" customWidth="1" style="1025" min="10" max="10"/>
    <col width="5.44140625" customWidth="1" style="1025" min="12" max="12"/>
    <col width="31.109375" customWidth="1" style="1025" min="13" max="13"/>
    <col width="13.5546875" customWidth="1" style="1025" min="14" max="15"/>
    <col width="6.5546875" customWidth="1" style="1025" min="16" max="16"/>
    <col width="23.6640625" bestFit="1" customWidth="1" style="1025" min="23" max="23"/>
    <col width="19.5546875" bestFit="1" customWidth="1" style="1025" min="24" max="24"/>
    <col width="29.6640625" customWidth="1" style="1025" min="25" max="25"/>
    <col width="8.88671875" bestFit="1" customWidth="1" style="1025" min="26" max="26"/>
    <col width="15.88671875" customWidth="1" style="1025" min="27" max="27"/>
  </cols>
  <sheetData>
    <row r="1" ht="15.75" customHeight="1" s="1025" thickBot="1"/>
    <row r="2" ht="20.25" customHeight="1" s="1025" thickBot="1" thickTop="1">
      <c r="A2" s="1035" t="inlineStr">
        <is>
          <t>Spécialités diverses -  NOISETTES</t>
        </is>
      </c>
      <c r="B2" s="902" t="n"/>
      <c r="C2" s="902" t="n"/>
      <c r="D2" s="902" t="n"/>
      <c r="E2" s="407" t="n"/>
      <c r="G2" s="1035" t="inlineStr">
        <is>
          <t>Spécialités diverses - NOIX</t>
        </is>
      </c>
      <c r="H2" s="902" t="n"/>
      <c r="I2" s="902" t="n"/>
      <c r="J2" s="902" t="n"/>
      <c r="K2" s="407" t="n"/>
      <c r="M2" s="1035" t="inlineStr">
        <is>
          <t>Spécialités diverses - GENEPI</t>
        </is>
      </c>
      <c r="N2" s="902" t="n"/>
      <c r="O2" s="902" t="n"/>
      <c r="P2" s="902" t="n"/>
      <c r="Q2" s="407" t="n"/>
    </row>
    <row r="3" ht="23.25" customHeight="1" s="1025" thickBot="1" thickTop="1">
      <c r="A3" s="10" t="n"/>
      <c r="B3" s="9" t="n"/>
      <c r="C3" s="9" t="n"/>
      <c r="G3" s="10" t="n"/>
      <c r="H3" s="9" t="n"/>
      <c r="I3" s="9" t="n"/>
      <c r="J3" s="1047" t="n"/>
      <c r="M3" s="10" t="n"/>
      <c r="N3" s="9" t="n"/>
      <c r="O3" s="9" t="n"/>
      <c r="P3" s="1047" t="n"/>
      <c r="W3" s="1035" t="inlineStr">
        <is>
          <t>Spécialités diverses</t>
        </is>
      </c>
      <c r="X3" s="902" t="n"/>
      <c r="Y3" s="902" t="n"/>
      <c r="Z3" s="902" t="n"/>
    </row>
    <row r="4" ht="23.25" customHeight="1" s="1025" thickBot="1" thickTop="1">
      <c r="A4" s="1019" t="inlineStr">
        <is>
          <t>ASSAISONNEMENT</t>
        </is>
      </c>
      <c r="B4" s="1014" t="inlineStr">
        <is>
          <t>Mêlée de 150 kg</t>
        </is>
      </c>
      <c r="C4" s="1014" t="inlineStr">
        <is>
          <t>Poids cumulés</t>
        </is>
      </c>
      <c r="D4" s="1016" t="inlineStr">
        <is>
          <t>Unités</t>
        </is>
      </c>
      <c r="E4" s="388" t="inlineStr">
        <is>
          <t>Nb Mêlées</t>
        </is>
      </c>
      <c r="G4" s="1019" t="inlineStr">
        <is>
          <t>ASSAISONNEMENT</t>
        </is>
      </c>
      <c r="H4" s="1014" t="inlineStr">
        <is>
          <t>Mêlée de 150 kg</t>
        </is>
      </c>
      <c r="I4" s="1014" t="inlineStr">
        <is>
          <t>Poids cumulés</t>
        </is>
      </c>
      <c r="J4" s="1016" t="inlineStr">
        <is>
          <t>Unités</t>
        </is>
      </c>
      <c r="K4" s="388" t="inlineStr">
        <is>
          <t>Nb Mêlées</t>
        </is>
      </c>
      <c r="M4" s="1019" t="inlineStr">
        <is>
          <t>ASSAISONNEMENT</t>
        </is>
      </c>
      <c r="N4" s="1014" t="inlineStr">
        <is>
          <t>Mêlée de 150 kg</t>
        </is>
      </c>
      <c r="O4" s="1014" t="inlineStr">
        <is>
          <t>Poids cumulés</t>
        </is>
      </c>
      <c r="P4" s="1016" t="inlineStr">
        <is>
          <t>Unités</t>
        </is>
      </c>
      <c r="Q4" s="388" t="inlineStr">
        <is>
          <t>Nb Mêlées</t>
        </is>
      </c>
    </row>
    <row r="5" ht="18.75" customHeight="1" s="1025">
      <c r="A5" s="979" t="n"/>
      <c r="B5" s="979" t="n"/>
      <c r="C5" s="979" t="n"/>
      <c r="D5" s="979" t="n"/>
      <c r="E5" s="343">
        <f>'PLANNING DE FABRICATION'!E70</f>
        <v/>
      </c>
      <c r="G5" s="979" t="n"/>
      <c r="H5" s="979" t="n"/>
      <c r="I5" s="979" t="n"/>
      <c r="J5" s="979" t="n"/>
      <c r="K5" s="343">
        <f>'PLANNING DE FABRICATION'!E71</f>
        <v/>
      </c>
      <c r="M5" s="979" t="n"/>
      <c r="N5" s="979" t="n"/>
      <c r="O5" s="979" t="n"/>
      <c r="P5" s="979" t="n"/>
      <c r="Q5" s="343">
        <f>'PLANNING DE FABRICATION'!E72</f>
        <v/>
      </c>
      <c r="W5" s="1019" t="inlineStr">
        <is>
          <t>ASSAISONNEMENT</t>
        </is>
      </c>
      <c r="X5" s="1014" t="inlineStr">
        <is>
          <t>Mêlée de 150 kg</t>
        </is>
      </c>
      <c r="Y5" s="1014" t="inlineStr">
        <is>
          <t>Poids cumulés</t>
        </is>
      </c>
      <c r="Z5" s="1016" t="inlineStr">
        <is>
          <t>Unités</t>
        </is>
      </c>
    </row>
    <row r="6" ht="21.75" customHeight="1" s="1025">
      <c r="A6" s="371" t="inlineStr">
        <is>
          <t>SEL NITRITE</t>
        </is>
      </c>
      <c r="B6" s="385" t="n">
        <v>1.5</v>
      </c>
      <c r="C6" s="385">
        <f>B6</f>
        <v/>
      </c>
      <c r="D6" s="349" t="inlineStr">
        <is>
          <t>kg</t>
        </is>
      </c>
      <c r="E6" s="79">
        <f>B6*$E$5</f>
        <v/>
      </c>
      <c r="G6" s="371" t="inlineStr">
        <is>
          <t>SEL NITRITE</t>
        </is>
      </c>
      <c r="H6" s="385" t="n">
        <v>1.5</v>
      </c>
      <c r="I6" s="385">
        <f>H6</f>
        <v/>
      </c>
      <c r="J6" s="349" t="inlineStr">
        <is>
          <t>kg</t>
        </is>
      </c>
      <c r="K6" s="79">
        <f>H6*$K$5</f>
        <v/>
      </c>
      <c r="M6" s="371" t="inlineStr">
        <is>
          <t>SEL NITRITE</t>
        </is>
      </c>
      <c r="N6" s="385" t="n">
        <v>1.5</v>
      </c>
      <c r="O6" s="385">
        <f>N6</f>
        <v/>
      </c>
      <c r="P6" s="349" t="inlineStr">
        <is>
          <t>kg</t>
        </is>
      </c>
      <c r="Q6" s="79">
        <f>N6*$Q$5</f>
        <v/>
      </c>
      <c r="W6" s="979" t="n"/>
      <c r="X6" s="979" t="n"/>
      <c r="Y6" s="979" t="n"/>
      <c r="Z6" s="979" t="n"/>
    </row>
    <row r="7" ht="21.75" customHeight="1" s="1025">
      <c r="A7" s="370" t="inlineStr">
        <is>
          <t xml:space="preserve">SEL </t>
        </is>
      </c>
      <c r="B7" s="1026" t="n">
        <v>2.4</v>
      </c>
      <c r="C7" s="1026">
        <f>C6+B7</f>
        <v/>
      </c>
      <c r="D7" s="1031" t="inlineStr">
        <is>
          <t>kg</t>
        </is>
      </c>
      <c r="E7" s="79">
        <f>B7*$E$5</f>
        <v/>
      </c>
      <c r="G7" s="370" t="inlineStr">
        <is>
          <t xml:space="preserve">SEL </t>
        </is>
      </c>
      <c r="H7" s="1026" t="n">
        <v>2.4</v>
      </c>
      <c r="I7" s="1026">
        <f>I6+H7</f>
        <v/>
      </c>
      <c r="J7" s="1031" t="inlineStr">
        <is>
          <t>kg</t>
        </is>
      </c>
      <c r="K7" s="79">
        <f>H7*$K$5</f>
        <v/>
      </c>
      <c r="M7" s="370" t="inlineStr">
        <is>
          <t xml:space="preserve">SEL </t>
        </is>
      </c>
      <c r="N7" s="1026" t="n">
        <v>2.4</v>
      </c>
      <c r="O7" s="1026">
        <f>O6+N7</f>
        <v/>
      </c>
      <c r="P7" s="1031" t="inlineStr">
        <is>
          <t>kg</t>
        </is>
      </c>
      <c r="Q7" s="79">
        <f>N7*$Q$5</f>
        <v/>
      </c>
      <c r="W7" s="371" t="inlineStr">
        <is>
          <t>SEL NITRITE</t>
        </is>
      </c>
      <c r="X7" s="385" t="n">
        <v>1.5</v>
      </c>
      <c r="Y7" s="385">
        <f>X7</f>
        <v/>
      </c>
      <c r="Z7" s="349" t="inlineStr">
        <is>
          <t>kg</t>
        </is>
      </c>
    </row>
    <row r="8" ht="21.75" customHeight="1" s="1025">
      <c r="A8" s="371" t="inlineStr">
        <is>
          <t>NITRATE DE POTASSIUM</t>
        </is>
      </c>
      <c r="B8" s="385" t="n">
        <v>0.018</v>
      </c>
      <c r="C8" s="385">
        <f>C7+B8</f>
        <v/>
      </c>
      <c r="D8" s="349" t="inlineStr">
        <is>
          <t>kg</t>
        </is>
      </c>
      <c r="E8" s="79">
        <f>B8*$E$5</f>
        <v/>
      </c>
      <c r="G8" s="371" t="inlineStr">
        <is>
          <t>NITRATE DE POTASSIUM</t>
        </is>
      </c>
      <c r="H8" s="385" t="n">
        <v>0.018</v>
      </c>
      <c r="I8" s="385">
        <f>I7+H8</f>
        <v/>
      </c>
      <c r="J8" s="349" t="inlineStr">
        <is>
          <t>kg</t>
        </is>
      </c>
      <c r="K8" s="79">
        <f>H8*$K$5</f>
        <v/>
      </c>
      <c r="M8" s="371" t="inlineStr">
        <is>
          <t>NITRATE DE POTASSIUM</t>
        </is>
      </c>
      <c r="N8" s="385" t="n">
        <v>0.018</v>
      </c>
      <c r="O8" s="385">
        <f>O7+N8</f>
        <v/>
      </c>
      <c r="P8" s="349" t="inlineStr">
        <is>
          <t>kg</t>
        </is>
      </c>
      <c r="Q8" s="79">
        <f>N8*$Q$5</f>
        <v/>
      </c>
      <c r="W8" s="370" t="inlineStr">
        <is>
          <t xml:space="preserve">SEL </t>
        </is>
      </c>
      <c r="X8" s="1026" t="n">
        <v>2.4</v>
      </c>
      <c r="Y8" s="1026">
        <f>Y7+X8</f>
        <v/>
      </c>
      <c r="Z8" s="1031" t="inlineStr">
        <is>
          <t>kg</t>
        </is>
      </c>
    </row>
    <row r="9" ht="37.5" customHeight="1" s="1025">
      <c r="A9" s="370" t="inlineStr">
        <is>
          <t>LACTOSE</t>
        </is>
      </c>
      <c r="B9" s="1026" t="n">
        <v>1.5</v>
      </c>
      <c r="C9" s="1026">
        <f>C8+B9</f>
        <v/>
      </c>
      <c r="D9" s="1031" t="inlineStr">
        <is>
          <t>kg</t>
        </is>
      </c>
      <c r="E9" s="79">
        <f>B9*$E$5</f>
        <v/>
      </c>
      <c r="G9" s="370" t="inlineStr">
        <is>
          <t>LACTOSE</t>
        </is>
      </c>
      <c r="H9" s="1026" t="n">
        <v>1.5</v>
      </c>
      <c r="I9" s="1026">
        <f>I8+H9</f>
        <v/>
      </c>
      <c r="J9" s="1031" t="inlineStr">
        <is>
          <t>kg</t>
        </is>
      </c>
      <c r="K9" s="79">
        <f>H9*$K$5</f>
        <v/>
      </c>
      <c r="M9" s="370" t="inlineStr">
        <is>
          <t>LACTOSE</t>
        </is>
      </c>
      <c r="N9" s="1026" t="n">
        <v>1.5</v>
      </c>
      <c r="O9" s="1026">
        <f>O8+N9</f>
        <v/>
      </c>
      <c r="P9" s="1031" t="inlineStr">
        <is>
          <t>kg</t>
        </is>
      </c>
      <c r="Q9" s="79">
        <f>N9*$Q$5</f>
        <v/>
      </c>
      <c r="W9" s="371" t="inlineStr">
        <is>
          <t>NITRATE DE POTASSIUM</t>
        </is>
      </c>
      <c r="X9" s="385" t="n">
        <v>0.018</v>
      </c>
      <c r="Y9" s="385">
        <f>Y8+X9</f>
        <v/>
      </c>
      <c r="Z9" s="349" t="inlineStr">
        <is>
          <t>kg</t>
        </is>
      </c>
    </row>
    <row r="10" ht="21.75" customHeight="1" s="1025">
      <c r="A10" s="371" t="inlineStr">
        <is>
          <t>DEXTROSE</t>
        </is>
      </c>
      <c r="B10" s="385" t="n">
        <v>0.45</v>
      </c>
      <c r="C10" s="385">
        <f>C9+B10</f>
        <v/>
      </c>
      <c r="D10" s="349" t="inlineStr">
        <is>
          <t>kg</t>
        </is>
      </c>
      <c r="E10" s="79">
        <f>B10*$E$5</f>
        <v/>
      </c>
      <c r="G10" s="371" t="inlineStr">
        <is>
          <t>DEXTROSE</t>
        </is>
      </c>
      <c r="H10" s="385" t="n">
        <v>0.45</v>
      </c>
      <c r="I10" s="385">
        <f>I9+H10</f>
        <v/>
      </c>
      <c r="J10" s="349" t="inlineStr">
        <is>
          <t>kg</t>
        </is>
      </c>
      <c r="K10" s="79">
        <f>H10*$K$5</f>
        <v/>
      </c>
      <c r="M10" s="371" t="inlineStr">
        <is>
          <t>DEXTROSE</t>
        </is>
      </c>
      <c r="N10" s="385" t="n">
        <v>0.45</v>
      </c>
      <c r="O10" s="385">
        <f>O9+N10</f>
        <v/>
      </c>
      <c r="P10" s="349" t="inlineStr">
        <is>
          <t>kg</t>
        </is>
      </c>
      <c r="Q10" s="79">
        <f>N10*$Q$5</f>
        <v/>
      </c>
      <c r="W10" s="370" t="inlineStr">
        <is>
          <t>LACTOSE</t>
        </is>
      </c>
      <c r="X10" s="1026" t="n">
        <v>1.5</v>
      </c>
      <c r="Y10" s="1026">
        <f>Y9+X10</f>
        <v/>
      </c>
      <c r="Z10" s="1031" t="inlineStr">
        <is>
          <t>kg</t>
        </is>
      </c>
    </row>
    <row r="11" ht="21.75" customHeight="1" s="1025">
      <c r="A11" s="370" t="inlineStr">
        <is>
          <t>POIVRE BLANC MOULU</t>
        </is>
      </c>
      <c r="B11" s="1026" t="n">
        <v>0.25</v>
      </c>
      <c r="C11" s="1026">
        <f>C10+B11</f>
        <v/>
      </c>
      <c r="D11" s="1031" t="inlineStr">
        <is>
          <t>kg</t>
        </is>
      </c>
      <c r="E11" s="79">
        <f>B11*$E$5</f>
        <v/>
      </c>
      <c r="G11" s="370" t="inlineStr">
        <is>
          <t>POIVRE BLANC MOULU</t>
        </is>
      </c>
      <c r="H11" s="1026" t="n">
        <v>0.25</v>
      </c>
      <c r="I11" s="1026">
        <f>I10+H11</f>
        <v/>
      </c>
      <c r="J11" s="1031" t="inlineStr">
        <is>
          <t>kg</t>
        </is>
      </c>
      <c r="K11" s="79">
        <f>H11*$K$5</f>
        <v/>
      </c>
      <c r="M11" s="370" t="inlineStr">
        <is>
          <t>POIVRE BLANC MOULU</t>
        </is>
      </c>
      <c r="N11" s="1026" t="n">
        <v>0.25</v>
      </c>
      <c r="O11" s="1026">
        <f>O10+N11</f>
        <v/>
      </c>
      <c r="P11" s="1031" t="inlineStr">
        <is>
          <t>kg</t>
        </is>
      </c>
      <c r="Q11" s="79">
        <f>N11*$Q$5</f>
        <v/>
      </c>
      <c r="W11" s="371" t="inlineStr">
        <is>
          <t>DEXTROSE</t>
        </is>
      </c>
      <c r="X11" s="385" t="n">
        <v>0.45</v>
      </c>
      <c r="Y11" s="385">
        <f>Y10+X11</f>
        <v/>
      </c>
      <c r="Z11" s="349" t="inlineStr">
        <is>
          <t>kg</t>
        </is>
      </c>
    </row>
    <row r="12" ht="38.25" customHeight="1" s="1025" thickBot="1">
      <c r="A12" s="386" t="inlineStr">
        <is>
          <t>AIL SEMOULE</t>
        </is>
      </c>
      <c r="B12" s="387" t="n">
        <v>0.08</v>
      </c>
      <c r="C12" s="387">
        <f>C11+B12</f>
        <v/>
      </c>
      <c r="D12" s="362" t="inlineStr">
        <is>
          <t>kg</t>
        </is>
      </c>
      <c r="E12" s="82">
        <f>B12*$E$5</f>
        <v/>
      </c>
      <c r="G12" s="386" t="inlineStr">
        <is>
          <t>AIL SEMOULE</t>
        </is>
      </c>
      <c r="H12" s="387" t="n">
        <v>0.08</v>
      </c>
      <c r="I12" s="387">
        <f>I11+H12</f>
        <v/>
      </c>
      <c r="J12" s="362" t="inlineStr">
        <is>
          <t>kg</t>
        </is>
      </c>
      <c r="K12" s="82">
        <f>H12*$K$5</f>
        <v/>
      </c>
      <c r="M12" s="386" t="inlineStr">
        <is>
          <t>AIL SEMOULE</t>
        </is>
      </c>
      <c r="N12" s="387" t="n">
        <v>0.08</v>
      </c>
      <c r="O12" s="387">
        <f>O11+N12</f>
        <v/>
      </c>
      <c r="P12" s="362" t="inlineStr">
        <is>
          <t>kg</t>
        </is>
      </c>
      <c r="Q12" s="82">
        <f>N12*$Q$5</f>
        <v/>
      </c>
      <c r="W12" s="370" t="inlineStr">
        <is>
          <t>POIVRE BLANC MOULU</t>
        </is>
      </c>
      <c r="X12" s="1026" t="n">
        <v>0.25</v>
      </c>
      <c r="Y12" s="1026">
        <f>Y11+X12</f>
        <v/>
      </c>
      <c r="Z12" s="1031" t="inlineStr">
        <is>
          <t>kg</t>
        </is>
      </c>
    </row>
    <row r="13" ht="22.5" customHeight="1" s="1025" thickBot="1">
      <c r="A13" s="396" t="inlineStr">
        <is>
          <t>FERMENT MF 244</t>
        </is>
      </c>
      <c r="B13" s="397" t="n">
        <v>1</v>
      </c>
      <c r="C13" s="397">
        <f>B13</f>
        <v/>
      </c>
      <c r="D13" s="398" t="inlineStr">
        <is>
          <t>Sachet</t>
        </is>
      </c>
      <c r="E13" s="70">
        <f>B13*$E$5</f>
        <v/>
      </c>
      <c r="G13" s="396" t="inlineStr">
        <is>
          <t>FERMENT MF 244</t>
        </is>
      </c>
      <c r="H13" s="397" t="n">
        <v>1</v>
      </c>
      <c r="I13" s="397">
        <f>H13</f>
        <v/>
      </c>
      <c r="J13" s="398" t="inlineStr">
        <is>
          <t>Sachet</t>
        </is>
      </c>
      <c r="K13" s="70">
        <f>H13*$K$5</f>
        <v/>
      </c>
      <c r="M13" s="396" t="inlineStr">
        <is>
          <t>FERMENT MF 244</t>
        </is>
      </c>
      <c r="N13" s="397" t="n">
        <v>1</v>
      </c>
      <c r="O13" s="397">
        <f>N13</f>
        <v/>
      </c>
      <c r="P13" s="398" t="inlineStr">
        <is>
          <t>Sachet</t>
        </is>
      </c>
      <c r="Q13" s="70">
        <f>N13*$Q$5</f>
        <v/>
      </c>
      <c r="W13" s="386" t="inlineStr">
        <is>
          <t>AIL SEMOULE</t>
        </is>
      </c>
      <c r="X13" s="361" t="n">
        <v>0.08</v>
      </c>
      <c r="Y13" s="387">
        <f>Y12+X13</f>
        <v/>
      </c>
      <c r="Z13" s="362" t="inlineStr">
        <is>
          <t>kg</t>
        </is>
      </c>
    </row>
    <row r="14" ht="21.75" customHeight="1" s="1025">
      <c r="A14" s="376" t="inlineStr">
        <is>
          <t>Ingrédients : Noisettes</t>
        </is>
      </c>
      <c r="B14" s="377" t="n">
        <v>5</v>
      </c>
      <c r="C14" s="377">
        <f>B14</f>
        <v/>
      </c>
      <c r="D14" s="392" t="inlineStr">
        <is>
          <t>kg</t>
        </is>
      </c>
      <c r="E14" s="38">
        <f>B14*$E$5</f>
        <v/>
      </c>
      <c r="G14" s="376" t="inlineStr">
        <is>
          <t>Ingrédients : Noix</t>
        </is>
      </c>
      <c r="H14" s="377" t="n">
        <v>5</v>
      </c>
      <c r="I14" s="377">
        <f>H14</f>
        <v/>
      </c>
      <c r="J14" s="392" t="inlineStr">
        <is>
          <t>kg</t>
        </is>
      </c>
      <c r="K14" s="38">
        <f>H14*$K$5</f>
        <v/>
      </c>
      <c r="M14" s="376" t="inlineStr">
        <is>
          <t>Ingrédients : Génépi</t>
        </is>
      </c>
      <c r="N14" s="377" t="n">
        <v>3</v>
      </c>
      <c r="O14" s="377">
        <f>N14</f>
        <v/>
      </c>
      <c r="P14" s="392" t="inlineStr">
        <is>
          <t>Litres</t>
        </is>
      </c>
      <c r="Q14" s="38">
        <f>N14*$Q$5</f>
        <v/>
      </c>
      <c r="W14" s="375" t="inlineStr">
        <is>
          <t>FERMENT MF 244</t>
        </is>
      </c>
      <c r="X14" s="390" t="n">
        <v>1</v>
      </c>
      <c r="Y14" s="390">
        <f>X14</f>
        <v/>
      </c>
      <c r="Z14" s="43" t="inlineStr">
        <is>
          <t>Sachet</t>
        </is>
      </c>
    </row>
    <row r="15" ht="21" customHeight="1" s="1025" thickBot="1">
      <c r="A15" s="273" t="n"/>
      <c r="B15" s="273" t="n"/>
      <c r="C15" s="273" t="n"/>
      <c r="D15" s="273" t="n"/>
      <c r="E15" s="273" t="n"/>
      <c r="G15" s="273" t="n"/>
      <c r="H15" s="273" t="n"/>
      <c r="I15" s="273" t="n"/>
      <c r="J15" s="273" t="n"/>
      <c r="K15" s="273" t="n"/>
      <c r="P15" s="67" t="n"/>
      <c r="Q15" s="83" t="n"/>
      <c r="AA15" s="478" t="inlineStr">
        <is>
          <t>%</t>
        </is>
      </c>
    </row>
    <row r="16" ht="17.25" customHeight="1" s="1025" thickBot="1" thickTop="1">
      <c r="A16" s="1035" t="inlineStr">
        <is>
          <t>Spécialités diverses - MYRTILLES</t>
        </is>
      </c>
      <c r="B16" s="902" t="n"/>
      <c r="C16" s="902" t="n"/>
      <c r="D16" s="902" t="n"/>
      <c r="E16" s="407" t="n"/>
      <c r="G16" s="1035" t="inlineStr">
        <is>
          <t>Spécialités diverses - HERBES INTERIEURES</t>
        </is>
      </c>
      <c r="H16" s="902" t="n"/>
      <c r="I16" s="902" t="n"/>
      <c r="J16" s="902" t="n"/>
      <c r="K16" s="407" t="n"/>
      <c r="M16" s="1035" t="inlineStr">
        <is>
          <t>Spécialités diverses - FENOUIL</t>
        </is>
      </c>
      <c r="N16" s="902" t="n"/>
      <c r="O16" s="902" t="n"/>
      <c r="P16" s="902" t="n"/>
      <c r="Q16" s="407" t="n"/>
      <c r="W16" s="1033" t="inlineStr">
        <is>
          <t>Ingrédients</t>
        </is>
      </c>
      <c r="X16" s="418" t="inlineStr">
        <is>
          <t>Noisettes</t>
        </is>
      </c>
      <c r="Y16" s="419" t="n">
        <v>5</v>
      </c>
      <c r="Z16" s="420" t="inlineStr">
        <is>
          <t>kg</t>
        </is>
      </c>
      <c r="AA16" s="477">
        <f>Y16*100/(SUM($X$7:$X$13,Y16)+150)</f>
        <v/>
      </c>
    </row>
    <row r="17" ht="17.25" customHeight="1" s="1025" thickBot="1" thickTop="1">
      <c r="A17" s="10" t="n"/>
      <c r="B17" s="9" t="n"/>
      <c r="C17" s="9" t="n"/>
      <c r="G17" s="10" t="n"/>
      <c r="H17" s="9" t="n"/>
      <c r="I17" s="9" t="n"/>
      <c r="J17" s="1047" t="n"/>
      <c r="M17" s="10" t="n"/>
      <c r="N17" s="9" t="n"/>
      <c r="O17" s="9" t="n"/>
      <c r="P17" s="1047" t="n"/>
      <c r="W17" s="1034" t="n"/>
      <c r="X17" s="415" t="inlineStr">
        <is>
          <t>Noix</t>
        </is>
      </c>
      <c r="Y17" s="372" t="n">
        <v>5</v>
      </c>
      <c r="Z17" s="416" t="inlineStr">
        <is>
          <t>kg</t>
        </is>
      </c>
      <c r="AA17" s="476">
        <f>Y17*100/(SUM($X$7:$X$13,Y17)+150)</f>
        <v/>
      </c>
    </row>
    <row r="18" ht="16.5" customHeight="1" s="1025" thickBot="1">
      <c r="A18" s="1019" t="inlineStr">
        <is>
          <t>ASSAISONNEMENT</t>
        </is>
      </c>
      <c r="B18" s="1014" t="inlineStr">
        <is>
          <t>Mêlée de 150 kg</t>
        </is>
      </c>
      <c r="C18" s="1014" t="inlineStr">
        <is>
          <t>Poids cumulés</t>
        </is>
      </c>
      <c r="D18" s="1016" t="inlineStr">
        <is>
          <t>Unités</t>
        </is>
      </c>
      <c r="E18" s="388" t="inlineStr">
        <is>
          <t>Nb Mêlées</t>
        </is>
      </c>
      <c r="G18" s="1019" t="inlineStr">
        <is>
          <t>ASSAISONNEMENT</t>
        </is>
      </c>
      <c r="H18" s="1014" t="inlineStr">
        <is>
          <t>Mêlée de 150 kg</t>
        </is>
      </c>
      <c r="I18" s="1014" t="inlineStr">
        <is>
          <t>Poids cumulés</t>
        </is>
      </c>
      <c r="J18" s="1016" t="inlineStr">
        <is>
          <t>Unités</t>
        </is>
      </c>
      <c r="K18" s="388" t="inlineStr">
        <is>
          <t>Nb Mêlées</t>
        </is>
      </c>
      <c r="M18" s="1019" t="inlineStr">
        <is>
          <t>ASSAISONNEMENT</t>
        </is>
      </c>
      <c r="N18" s="1014" t="inlineStr">
        <is>
          <t>Mêlée de 150 kg</t>
        </is>
      </c>
      <c r="O18" s="1014" t="inlineStr">
        <is>
          <t>Poids cumulés</t>
        </is>
      </c>
      <c r="P18" s="1016" t="inlineStr">
        <is>
          <t>Unités</t>
        </is>
      </c>
      <c r="Q18" s="388" t="inlineStr">
        <is>
          <t>Nb Mêlées</t>
        </is>
      </c>
      <c r="W18" s="1034" t="n"/>
      <c r="X18" s="418" t="inlineStr">
        <is>
          <t>Génépi</t>
        </is>
      </c>
      <c r="Y18" s="419" t="n">
        <v>3</v>
      </c>
      <c r="Z18" s="420" t="inlineStr">
        <is>
          <t>Litres</t>
        </is>
      </c>
      <c r="AA18" s="477">
        <f>Y18*100/(SUM($X$7:$X$13,Y18)+150)</f>
        <v/>
      </c>
    </row>
    <row r="19" ht="15.75" customHeight="1" s="1025">
      <c r="A19" s="979" t="n"/>
      <c r="B19" s="979" t="n"/>
      <c r="C19" s="979" t="n"/>
      <c r="D19" s="979" t="n"/>
      <c r="E19" s="343">
        <f>'PLANNING DE FABRICATION'!E74</f>
        <v/>
      </c>
      <c r="G19" s="979" t="n"/>
      <c r="H19" s="979" t="n"/>
      <c r="I19" s="979" t="n"/>
      <c r="J19" s="979" t="n"/>
      <c r="K19" s="343">
        <f>'PLANNING DE FABRICATION'!E75</f>
        <v/>
      </c>
      <c r="M19" s="979" t="n"/>
      <c r="N19" s="979" t="n"/>
      <c r="O19" s="979" t="n"/>
      <c r="P19" s="979" t="n"/>
      <c r="Q19" s="343">
        <f>'PLANNING DE FABRICATION'!E76</f>
        <v/>
      </c>
      <c r="W19" s="1034" t="n"/>
      <c r="X19" s="415" t="inlineStr">
        <is>
          <t>Myrtilles</t>
        </is>
      </c>
      <c r="Y19" s="372" t="n">
        <v>2</v>
      </c>
      <c r="Z19" s="416" t="inlineStr">
        <is>
          <t>kg</t>
        </is>
      </c>
      <c r="AA19" s="476">
        <f>Y19*100/(SUM($X$7:$X$13,Y19)+150)</f>
        <v/>
      </c>
    </row>
    <row r="20" ht="15.75" customHeight="1" s="1025">
      <c r="A20" s="371" t="inlineStr">
        <is>
          <t>SEL NITRITE</t>
        </is>
      </c>
      <c r="B20" s="385" t="n">
        <v>1.5</v>
      </c>
      <c r="C20" s="385">
        <f>B20</f>
        <v/>
      </c>
      <c r="D20" s="349" t="inlineStr">
        <is>
          <t>kg</t>
        </is>
      </c>
      <c r="E20" s="79">
        <f>B20*$E$19</f>
        <v/>
      </c>
      <c r="G20" s="371" t="inlineStr">
        <is>
          <t>SEL NITRITE</t>
        </is>
      </c>
      <c r="H20" s="385" t="n">
        <v>1.5</v>
      </c>
      <c r="I20" s="385">
        <f>H20</f>
        <v/>
      </c>
      <c r="J20" s="349" t="inlineStr">
        <is>
          <t>kg</t>
        </is>
      </c>
      <c r="K20" s="79">
        <f>H20*$K$19</f>
        <v/>
      </c>
      <c r="M20" s="371" t="inlineStr">
        <is>
          <t>SEL NITRITE</t>
        </is>
      </c>
      <c r="N20" s="385" t="n">
        <v>1.5</v>
      </c>
      <c r="O20" s="385">
        <f>N20</f>
        <v/>
      </c>
      <c r="P20" s="349" t="inlineStr">
        <is>
          <t>kg</t>
        </is>
      </c>
      <c r="Q20" s="79">
        <f>N20*$Q$19</f>
        <v/>
      </c>
      <c r="W20" s="1034" t="n"/>
      <c r="X20" s="418" t="inlineStr">
        <is>
          <t>Herbes Intérieures</t>
        </is>
      </c>
      <c r="Y20" s="421" t="n">
        <v>0.35</v>
      </c>
      <c r="Z20" s="420" t="inlineStr">
        <is>
          <t>kg</t>
        </is>
      </c>
      <c r="AA20" s="477">
        <f>Y20*100/(SUM($X$7:$X$13,Y20)+150)</f>
        <v/>
      </c>
    </row>
    <row r="21" ht="15.75" customHeight="1" s="1025">
      <c r="A21" s="370" t="inlineStr">
        <is>
          <t xml:space="preserve">SEL </t>
        </is>
      </c>
      <c r="B21" s="1026" t="n">
        <v>2.4</v>
      </c>
      <c r="C21" s="1026">
        <f>C20+B21</f>
        <v/>
      </c>
      <c r="D21" s="1031" t="inlineStr">
        <is>
          <t>kg</t>
        </is>
      </c>
      <c r="E21" s="79">
        <f>B21*$E$19</f>
        <v/>
      </c>
      <c r="G21" s="370" t="inlineStr">
        <is>
          <t xml:space="preserve">SEL </t>
        </is>
      </c>
      <c r="H21" s="1026" t="n">
        <v>2.4</v>
      </c>
      <c r="I21" s="1026">
        <f>I20+H21</f>
        <v/>
      </c>
      <c r="J21" s="1031" t="inlineStr">
        <is>
          <t>kg</t>
        </is>
      </c>
      <c r="K21" s="79">
        <f>H21*$K$19</f>
        <v/>
      </c>
      <c r="M21" s="370" t="inlineStr">
        <is>
          <t xml:space="preserve">SEL </t>
        </is>
      </c>
      <c r="N21" s="1026" t="n">
        <v>2.4</v>
      </c>
      <c r="O21" s="1026">
        <f>O20+N21</f>
        <v/>
      </c>
      <c r="P21" s="1031" t="inlineStr">
        <is>
          <t>kg</t>
        </is>
      </c>
      <c r="Q21" s="79">
        <f>N21*$Q$19</f>
        <v/>
      </c>
      <c r="W21" s="1034" t="n"/>
      <c r="X21" s="415" t="inlineStr">
        <is>
          <t>Fenouil</t>
        </is>
      </c>
      <c r="Y21" s="372" t="n">
        <v>0.375</v>
      </c>
      <c r="Z21" s="416" t="inlineStr">
        <is>
          <t>kg</t>
        </is>
      </c>
      <c r="AA21" s="476">
        <f>Y21*100/(SUM($X$7:$X$13,Y21)+150)</f>
        <v/>
      </c>
    </row>
    <row r="22" ht="21.75" customHeight="1" s="1025">
      <c r="A22" s="371" t="inlineStr">
        <is>
          <t>NITRATE DE POTASSIUM</t>
        </is>
      </c>
      <c r="B22" s="385" t="n">
        <v>0.018</v>
      </c>
      <c r="C22" s="385">
        <f>C21+B22</f>
        <v/>
      </c>
      <c r="D22" s="349" t="inlineStr">
        <is>
          <t>kg</t>
        </is>
      </c>
      <c r="E22" s="79">
        <f>B22*$E$19</f>
        <v/>
      </c>
      <c r="G22" s="371" t="inlineStr">
        <is>
          <t>NITRATE DE POTASSIUM</t>
        </is>
      </c>
      <c r="H22" s="385" t="n">
        <v>0.018</v>
      </c>
      <c r="I22" s="385">
        <f>I21+H22</f>
        <v/>
      </c>
      <c r="J22" s="349" t="inlineStr">
        <is>
          <t>kg</t>
        </is>
      </c>
      <c r="K22" s="79">
        <f>H22*$K$19</f>
        <v/>
      </c>
      <c r="M22" s="371" t="inlineStr">
        <is>
          <t>NITRATE DE POTASSIUM</t>
        </is>
      </c>
      <c r="N22" s="385" t="n">
        <v>0.018</v>
      </c>
      <c r="O22" s="385">
        <f>O21+N22</f>
        <v/>
      </c>
      <c r="P22" s="349" t="inlineStr">
        <is>
          <t>kg</t>
        </is>
      </c>
      <c r="Q22" s="79">
        <f>N22*$Q$19</f>
        <v/>
      </c>
      <c r="W22" s="1034" t="n"/>
      <c r="X22" s="418" t="inlineStr">
        <is>
          <t>Cèpes</t>
        </is>
      </c>
      <c r="Y22" s="419" t="n">
        <v>2</v>
      </c>
      <c r="Z22" s="420" t="inlineStr">
        <is>
          <t>kg</t>
        </is>
      </c>
      <c r="AA22" s="477">
        <f>Y22*100/(SUM($X$7:$X$13,Y22)+150)</f>
        <v/>
      </c>
    </row>
    <row r="23" ht="21.75" customHeight="1" s="1025">
      <c r="A23" s="370" t="inlineStr">
        <is>
          <t>LACTOSE</t>
        </is>
      </c>
      <c r="B23" s="1026" t="n">
        <v>1.5</v>
      </c>
      <c r="C23" s="1026">
        <f>C22+B23</f>
        <v/>
      </c>
      <c r="D23" s="1031" t="inlineStr">
        <is>
          <t>kg</t>
        </is>
      </c>
      <c r="E23" s="79">
        <f>B23*$E$19</f>
        <v/>
      </c>
      <c r="G23" s="370" t="inlineStr">
        <is>
          <t>LACTOSE</t>
        </is>
      </c>
      <c r="H23" s="1026" t="n">
        <v>1.5</v>
      </c>
      <c r="I23" s="1026">
        <f>I22+H23</f>
        <v/>
      </c>
      <c r="J23" s="1031" t="inlineStr">
        <is>
          <t>kg</t>
        </is>
      </c>
      <c r="K23" s="79">
        <f>H23*$K$19</f>
        <v/>
      </c>
      <c r="M23" s="370" t="inlineStr">
        <is>
          <t>LACTOSE</t>
        </is>
      </c>
      <c r="N23" s="1026" t="n">
        <v>1.5</v>
      </c>
      <c r="O23" s="1026">
        <f>O22+N23</f>
        <v/>
      </c>
      <c r="P23" s="1031" t="inlineStr">
        <is>
          <t>kg</t>
        </is>
      </c>
      <c r="Q23" s="79">
        <f>N23*$Q$19</f>
        <v/>
      </c>
      <c r="W23" s="1034" t="n"/>
      <c r="X23" s="1036" t="inlineStr">
        <is>
          <t>Olives
(Olives, Huile d'olives, Herbes de Provence)</t>
        </is>
      </c>
      <c r="Y23" s="372" t="n">
        <v>10</v>
      </c>
      <c r="Z23" s="416" t="inlineStr">
        <is>
          <t>kg</t>
        </is>
      </c>
      <c r="AA23" s="476">
        <f>Y23*100/(SUM($X$7:$X$13,Y23)+150)</f>
        <v/>
      </c>
    </row>
    <row r="24" ht="21.75" customHeight="1" s="1025">
      <c r="A24" s="371" t="inlineStr">
        <is>
          <t>DEXTROSE</t>
        </is>
      </c>
      <c r="B24" s="385" t="n">
        <v>0.45</v>
      </c>
      <c r="C24" s="385">
        <f>C23+B24</f>
        <v/>
      </c>
      <c r="D24" s="349" t="inlineStr">
        <is>
          <t>kg</t>
        </is>
      </c>
      <c r="E24" s="79">
        <f>B24*$E$19</f>
        <v/>
      </c>
      <c r="G24" s="371" t="inlineStr">
        <is>
          <t>DEXTROSE</t>
        </is>
      </c>
      <c r="H24" s="385" t="n">
        <v>0.45</v>
      </c>
      <c r="I24" s="385">
        <f>I23+H24</f>
        <v/>
      </c>
      <c r="J24" s="349" t="inlineStr">
        <is>
          <t>kg</t>
        </is>
      </c>
      <c r="K24" s="79">
        <f>H24*$K$19</f>
        <v/>
      </c>
      <c r="M24" s="371" t="inlineStr">
        <is>
          <t>DEXTROSE</t>
        </is>
      </c>
      <c r="N24" s="385" t="n">
        <v>0.45</v>
      </c>
      <c r="O24" s="385">
        <f>O23+N24</f>
        <v/>
      </c>
      <c r="P24" s="349" t="inlineStr">
        <is>
          <t>kg</t>
        </is>
      </c>
      <c r="Q24" s="79">
        <f>N24*$Q$19</f>
        <v/>
      </c>
      <c r="W24" s="1034" t="n"/>
      <c r="X24" s="1034" t="n"/>
      <c r="Y24" s="372" t="n">
        <v>1</v>
      </c>
      <c r="Z24" s="416" t="inlineStr">
        <is>
          <t>litre</t>
        </is>
      </c>
      <c r="AA24" s="476">
        <f>Y24*100/(SUM($X$7:$X$13,Y24)+150)</f>
        <v/>
      </c>
    </row>
    <row r="25" ht="21.75" customHeight="1" s="1025">
      <c r="A25" s="370" t="inlineStr">
        <is>
          <t>POIVRE BLANC MOULU</t>
        </is>
      </c>
      <c r="B25" s="1026" t="n">
        <v>0.25</v>
      </c>
      <c r="C25" s="1026">
        <f>C24+B25</f>
        <v/>
      </c>
      <c r="D25" s="1031" t="inlineStr">
        <is>
          <t>kg</t>
        </is>
      </c>
      <c r="E25" s="79">
        <f>B25*$E$19</f>
        <v/>
      </c>
      <c r="G25" s="370" t="inlineStr">
        <is>
          <t>POIVRE BLANC MOULU</t>
        </is>
      </c>
      <c r="H25" s="1026" t="n">
        <v>0.25</v>
      </c>
      <c r="I25" s="1026">
        <f>I24+H25</f>
        <v/>
      </c>
      <c r="J25" s="1031" t="inlineStr">
        <is>
          <t>kg</t>
        </is>
      </c>
      <c r="K25" s="79">
        <f>H25*$K$19</f>
        <v/>
      </c>
      <c r="M25" s="370" t="inlineStr">
        <is>
          <t>POIVRE BLANC MOULU</t>
        </is>
      </c>
      <c r="N25" s="1026" t="n">
        <v>0.25</v>
      </c>
      <c r="O25" s="1026">
        <f>O24+N25</f>
        <v/>
      </c>
      <c r="P25" s="1031" t="inlineStr">
        <is>
          <t>kg</t>
        </is>
      </c>
      <c r="Q25" s="79">
        <f>N25*$Q$19</f>
        <v/>
      </c>
      <c r="W25" s="1034" t="n"/>
      <c r="X25" s="979" t="n"/>
      <c r="Y25" s="475" t="n">
        <v>0.1</v>
      </c>
      <c r="Z25" s="474" t="inlineStr">
        <is>
          <t>kg</t>
        </is>
      </c>
      <c r="AA25" s="476">
        <f>Y25*100/(SUM($X$7:$X$13,Y25)+150)</f>
        <v/>
      </c>
    </row>
    <row r="26" ht="22.5" customHeight="1" s="1025" thickBot="1">
      <c r="A26" s="386" t="inlineStr">
        <is>
          <t>AIL SEMOULE</t>
        </is>
      </c>
      <c r="B26" s="387" t="n">
        <v>0.08</v>
      </c>
      <c r="C26" s="387">
        <f>C25+B26</f>
        <v/>
      </c>
      <c r="D26" s="362" t="inlineStr">
        <is>
          <t>kg</t>
        </is>
      </c>
      <c r="E26" s="82">
        <f>B26*$E$19</f>
        <v/>
      </c>
      <c r="G26" s="386" t="inlineStr">
        <is>
          <t>AIL SEMOULE</t>
        </is>
      </c>
      <c r="H26" s="387" t="n">
        <v>0.08</v>
      </c>
      <c r="I26" s="387">
        <f>I25+H26</f>
        <v/>
      </c>
      <c r="J26" s="362" t="inlineStr">
        <is>
          <t>kg</t>
        </is>
      </c>
      <c r="K26" s="82">
        <f>H26*$K$19</f>
        <v/>
      </c>
      <c r="M26" s="386" t="inlineStr">
        <is>
          <t>AIL SEMOULE</t>
        </is>
      </c>
      <c r="N26" s="387" t="n">
        <v>0.08</v>
      </c>
      <c r="O26" s="387">
        <f>O25+N26</f>
        <v/>
      </c>
      <c r="P26" s="362" t="inlineStr">
        <is>
          <t>kg</t>
        </is>
      </c>
      <c r="Q26" s="82">
        <f>N26*$Q$19</f>
        <v/>
      </c>
      <c r="W26" s="1034" t="n"/>
      <c r="X26" s="418" t="inlineStr">
        <is>
          <t>Ail</t>
        </is>
      </c>
      <c r="Y26" s="421" t="n">
        <v>0.52</v>
      </c>
      <c r="Z26" s="420" t="inlineStr">
        <is>
          <t>kg</t>
        </is>
      </c>
      <c r="AA26" s="477">
        <f>Y26*100/(SUM($X$7:$X$13,Y26)+150)</f>
        <v/>
      </c>
    </row>
    <row r="27" ht="22.5" customHeight="1" s="1025" thickBot="1">
      <c r="A27" s="396" t="inlineStr">
        <is>
          <t>FERMENT MF 244</t>
        </is>
      </c>
      <c r="B27" s="397" t="n">
        <v>1</v>
      </c>
      <c r="C27" s="397">
        <f>B27</f>
        <v/>
      </c>
      <c r="D27" s="398" t="inlineStr">
        <is>
          <t>Sachet</t>
        </is>
      </c>
      <c r="E27" s="70">
        <f>B27*$E$19</f>
        <v/>
      </c>
      <c r="G27" s="396" t="inlineStr">
        <is>
          <t>FERMENT MF 244</t>
        </is>
      </c>
      <c r="H27" s="397" t="n">
        <v>1</v>
      </c>
      <c r="I27" s="397">
        <f>H27</f>
        <v/>
      </c>
      <c r="J27" s="398" t="inlineStr">
        <is>
          <t>Sachet</t>
        </is>
      </c>
      <c r="K27" s="70">
        <f>H27*$K$19</f>
        <v/>
      </c>
      <c r="M27" s="396" t="inlineStr">
        <is>
          <t>FERMENT MF 244</t>
        </is>
      </c>
      <c r="N27" s="397" t="n">
        <v>1</v>
      </c>
      <c r="O27" s="397">
        <f>N27</f>
        <v/>
      </c>
      <c r="P27" s="398" t="inlineStr">
        <is>
          <t>Sachet</t>
        </is>
      </c>
      <c r="Q27" s="70">
        <f>N27*$Q$19</f>
        <v/>
      </c>
      <c r="W27" s="1034" t="n"/>
      <c r="X27" s="415" t="inlineStr">
        <is>
          <t>Ail des Ours</t>
        </is>
      </c>
      <c r="Y27" s="417" t="n">
        <v>1.6</v>
      </c>
      <c r="Z27" s="416" t="inlineStr">
        <is>
          <t>kg</t>
        </is>
      </c>
      <c r="AA27" s="476">
        <f>Y27*100/(SUM($X$7:$X$13,Y27)+150)</f>
        <v/>
      </c>
    </row>
    <row r="28" ht="21.75" customHeight="1" s="1025">
      <c r="A28" s="376" t="inlineStr">
        <is>
          <t>Ingrédients : Myrtilles</t>
        </is>
      </c>
      <c r="B28" s="377" t="n">
        <v>2</v>
      </c>
      <c r="C28" s="377">
        <f>B28</f>
        <v/>
      </c>
      <c r="D28" s="392" t="inlineStr">
        <is>
          <t>kg</t>
        </is>
      </c>
      <c r="E28" s="38">
        <f>B28*$E$19</f>
        <v/>
      </c>
      <c r="G28" s="399" t="inlineStr">
        <is>
          <t>Ingrédients : Herbe de Provence</t>
        </is>
      </c>
      <c r="H28" s="377" t="n">
        <v>0.35</v>
      </c>
      <c r="I28" s="377">
        <f>H28</f>
        <v/>
      </c>
      <c r="J28" s="392" t="inlineStr">
        <is>
          <t>kg</t>
        </is>
      </c>
      <c r="K28" s="38">
        <f>H28*$K$19</f>
        <v/>
      </c>
      <c r="M28" s="376" t="inlineStr">
        <is>
          <t>Ingrédients : Fenouil</t>
        </is>
      </c>
      <c r="N28" s="377" t="n">
        <v>0.375</v>
      </c>
      <c r="O28" s="377">
        <f>N28</f>
        <v/>
      </c>
      <c r="P28" s="392" t="inlineStr">
        <is>
          <t>kg</t>
        </is>
      </c>
      <c r="Q28" s="38">
        <f>N28*$Q$19</f>
        <v/>
      </c>
      <c r="W28" s="979" t="n"/>
      <c r="X28" s="418" t="inlineStr">
        <is>
          <t>Lavande</t>
        </is>
      </c>
      <c r="Y28" s="422" t="n">
        <v>0.3</v>
      </c>
      <c r="Z28" s="420" t="inlineStr">
        <is>
          <t>kg</t>
        </is>
      </c>
      <c r="AA28" s="477">
        <f>Y28*100/(SUM($X$7:$X$13,Y28)+150)</f>
        <v/>
      </c>
    </row>
    <row r="29" ht="33.75" customHeight="1" s="1025">
      <c r="J29" s="67" t="n"/>
      <c r="K29" s="83" t="n"/>
      <c r="P29" s="67" t="n"/>
      <c r="Q29" s="83" t="n"/>
      <c r="Y29" s="273" t="n"/>
    </row>
    <row r="30" ht="20.25" customHeight="1" s="1025" thickBot="1">
      <c r="J30" s="67" t="n"/>
      <c r="K30" s="83" t="n"/>
      <c r="P30" s="67" t="n"/>
      <c r="Q30" s="83" t="n"/>
      <c r="W30" s="480" t="inlineStr">
        <is>
          <t>Viandes</t>
        </is>
      </c>
      <c r="X30" s="479" t="inlineStr">
        <is>
          <t>Qté par mêlée</t>
        </is>
      </c>
      <c r="Y30" s="479" t="inlineStr">
        <is>
          <t>%</t>
        </is>
      </c>
    </row>
    <row r="31" ht="20.25" customHeight="1" s="1025" thickBot="1" thickTop="1">
      <c r="J31" s="67" t="n"/>
      <c r="K31" s="83" t="n"/>
      <c r="P31" s="67" t="n"/>
      <c r="Q31" s="83" t="n"/>
      <c r="W31" s="466" t="inlineStr">
        <is>
          <t>EPAULES 3D</t>
        </is>
      </c>
      <c r="X31" s="467" t="n">
        <v>69</v>
      </c>
      <c r="Y31" s="468">
        <f>X31*100/150</f>
        <v/>
      </c>
    </row>
    <row r="32" ht="23.25" customHeight="1" s="1025" thickBot="1" thickTop="1">
      <c r="A32" s="1035" t="inlineStr">
        <is>
          <t>Spécialités diverses - CEPES</t>
        </is>
      </c>
      <c r="B32" s="902" t="n"/>
      <c r="C32" s="902" t="n"/>
      <c r="D32" s="902" t="n"/>
      <c r="E32" s="407" t="n"/>
      <c r="G32" s="1035" t="inlineStr">
        <is>
          <t>Spécialités diverses  - OLIVES</t>
        </is>
      </c>
      <c r="H32" s="902" t="n"/>
      <c r="I32" s="902" t="n"/>
      <c r="J32" s="902" t="n"/>
      <c r="K32" s="407" t="n"/>
      <c r="M32" s="1035" t="inlineStr">
        <is>
          <t>Spécialités diverses - AIL</t>
        </is>
      </c>
      <c r="N32" s="902" t="n"/>
      <c r="O32" s="902" t="n"/>
      <c r="P32" s="902" t="n"/>
      <c r="Q32" s="407" t="n"/>
      <c r="W32" s="458" t="inlineStr">
        <is>
          <t>HAMPES</t>
        </is>
      </c>
      <c r="X32" s="459" t="n">
        <v>47</v>
      </c>
      <c r="Y32" s="460">
        <f>X32*100/150</f>
        <v/>
      </c>
    </row>
    <row r="33" ht="33.75" customHeight="1" s="1025" thickBot="1" thickTop="1">
      <c r="A33" s="10" t="n"/>
      <c r="B33" s="9" t="n"/>
      <c r="C33" s="9" t="n"/>
      <c r="G33" s="10" t="n"/>
      <c r="H33" s="9" t="n"/>
      <c r="I33" s="9" t="n"/>
      <c r="J33" s="1047" t="n"/>
      <c r="M33" s="10" t="n"/>
      <c r="N33" s="9" t="n"/>
      <c r="O33" s="9" t="n"/>
      <c r="P33" s="1047" t="n"/>
      <c r="W33" s="458" t="inlineStr">
        <is>
          <t>GRAS</t>
        </is>
      </c>
      <c r="X33" s="459" t="n">
        <v>34</v>
      </c>
      <c r="Y33" s="460">
        <f>X33*100/150</f>
        <v/>
      </c>
    </row>
    <row r="34" ht="33.75" customHeight="1" s="1025" thickBot="1">
      <c r="A34" s="1019" t="inlineStr">
        <is>
          <t>ASSAISONNEMENT</t>
        </is>
      </c>
      <c r="B34" s="1014" t="inlineStr">
        <is>
          <t>Mêlée de 150 kg</t>
        </is>
      </c>
      <c r="C34" s="1014" t="inlineStr">
        <is>
          <t>Poids cumulés</t>
        </is>
      </c>
      <c r="D34" s="1016" t="inlineStr">
        <is>
          <t>Unités</t>
        </is>
      </c>
      <c r="E34" s="388" t="inlineStr">
        <is>
          <t>Nb Mêlées</t>
        </is>
      </c>
      <c r="G34" s="1019" t="inlineStr">
        <is>
          <t>ASSAISONNEMENT</t>
        </is>
      </c>
      <c r="H34" s="1014" t="inlineStr">
        <is>
          <t>Mêlée de 150 kg</t>
        </is>
      </c>
      <c r="I34" s="1014" t="inlineStr">
        <is>
          <t>Poids cumulés</t>
        </is>
      </c>
      <c r="J34" s="1016" t="inlineStr">
        <is>
          <t>Unités</t>
        </is>
      </c>
      <c r="K34" s="388" t="inlineStr">
        <is>
          <t>Nb Mêlées</t>
        </is>
      </c>
      <c r="M34" s="1019" t="inlineStr">
        <is>
          <t>ASSAISONNEMENT</t>
        </is>
      </c>
      <c r="N34" s="1014" t="inlineStr">
        <is>
          <t>Mêlée de 150 kg</t>
        </is>
      </c>
      <c r="O34" s="1014" t="inlineStr">
        <is>
          <t>Poids cumulés</t>
        </is>
      </c>
      <c r="P34" s="1016" t="inlineStr">
        <is>
          <t>Unités</t>
        </is>
      </c>
      <c r="Q34" s="388" t="inlineStr">
        <is>
          <t>Nb Mêlées</t>
        </is>
      </c>
    </row>
    <row r="35" ht="33.75" customHeight="1" s="1025">
      <c r="A35" s="979" t="n"/>
      <c r="B35" s="979" t="n"/>
      <c r="C35" s="979" t="n"/>
      <c r="D35" s="979" t="n"/>
      <c r="E35" s="343">
        <f>'PLANNING DE FABRICATION'!E77</f>
        <v/>
      </c>
      <c r="G35" s="979" t="n"/>
      <c r="H35" s="979" t="n"/>
      <c r="I35" s="979" t="n"/>
      <c r="J35" s="979" t="n"/>
      <c r="K35" s="343">
        <f>'PLANNING DE FABRICATION'!E78</f>
        <v/>
      </c>
      <c r="M35" s="979" t="n"/>
      <c r="N35" s="979" t="n"/>
      <c r="O35" s="979" t="n"/>
      <c r="P35" s="979" t="n"/>
      <c r="Q35" s="343">
        <f>'PLANNING DE FABRICATION'!E80</f>
        <v/>
      </c>
    </row>
    <row r="36" ht="28.5" customHeight="1" s="1025">
      <c r="A36" s="371" t="inlineStr">
        <is>
          <t>SEL NITRITE</t>
        </is>
      </c>
      <c r="B36" s="385" t="n">
        <v>1.5</v>
      </c>
      <c r="C36" s="385">
        <f>B36</f>
        <v/>
      </c>
      <c r="D36" s="349" t="inlineStr">
        <is>
          <t>kg</t>
        </is>
      </c>
      <c r="E36" s="394">
        <f>B36*$E$35</f>
        <v/>
      </c>
      <c r="G36" s="371" t="inlineStr">
        <is>
          <t>SEL NITRITE</t>
        </is>
      </c>
      <c r="H36" s="385" t="n">
        <v>1.5</v>
      </c>
      <c r="I36" s="385">
        <f>H36</f>
        <v/>
      </c>
      <c r="J36" s="349" t="inlineStr">
        <is>
          <t>kg</t>
        </is>
      </c>
      <c r="K36" s="394">
        <f>H36*$K$35</f>
        <v/>
      </c>
      <c r="M36" s="371" t="inlineStr">
        <is>
          <t>SEL NITRITE</t>
        </is>
      </c>
      <c r="N36" s="385" t="n">
        <v>1.5</v>
      </c>
      <c r="O36" s="385">
        <f>N36</f>
        <v/>
      </c>
      <c r="P36" s="349" t="inlineStr">
        <is>
          <t>kg</t>
        </is>
      </c>
      <c r="Q36" s="394">
        <f>N36*$Q$35</f>
        <v/>
      </c>
    </row>
    <row r="37" ht="28.5" customHeight="1" s="1025">
      <c r="A37" s="370" t="inlineStr">
        <is>
          <t xml:space="preserve">SEL </t>
        </is>
      </c>
      <c r="B37" s="1026" t="n">
        <v>2.4</v>
      </c>
      <c r="C37" s="1026">
        <f>C36+B37</f>
        <v/>
      </c>
      <c r="D37" s="1031" t="inlineStr">
        <is>
          <t>kg</t>
        </is>
      </c>
      <c r="E37" s="394">
        <f>B37*$E$35</f>
        <v/>
      </c>
      <c r="G37" s="370" t="inlineStr">
        <is>
          <t xml:space="preserve">SEL </t>
        </is>
      </c>
      <c r="H37" s="1026" t="n">
        <v>2.4</v>
      </c>
      <c r="I37" s="1026">
        <f>I36+H37</f>
        <v/>
      </c>
      <c r="J37" s="1031" t="inlineStr">
        <is>
          <t>kg</t>
        </is>
      </c>
      <c r="K37" s="394">
        <f>H37*$K$35</f>
        <v/>
      </c>
      <c r="M37" s="370" t="inlineStr">
        <is>
          <t xml:space="preserve">SEL </t>
        </is>
      </c>
      <c r="N37" s="1026" t="n">
        <v>2.4</v>
      </c>
      <c r="O37" s="1026">
        <f>O36+N37</f>
        <v/>
      </c>
      <c r="P37" s="1031" t="inlineStr">
        <is>
          <t>kg</t>
        </is>
      </c>
      <c r="Q37" s="394">
        <f>N37*$Q$35</f>
        <v/>
      </c>
    </row>
    <row r="38" ht="28.5" customHeight="1" s="1025">
      <c r="A38" s="371" t="inlineStr">
        <is>
          <t>NITRATE DE POTASSIUM</t>
        </is>
      </c>
      <c r="B38" s="385" t="n">
        <v>0.018</v>
      </c>
      <c r="C38" s="385">
        <f>C37+B38</f>
        <v/>
      </c>
      <c r="D38" s="349" t="inlineStr">
        <is>
          <t>kg</t>
        </is>
      </c>
      <c r="E38" s="394">
        <f>B38*$E$35</f>
        <v/>
      </c>
      <c r="G38" s="371" t="inlineStr">
        <is>
          <t>NITRATE DE POTASSIUM</t>
        </is>
      </c>
      <c r="H38" s="385" t="n">
        <v>0.018</v>
      </c>
      <c r="I38" s="385">
        <f>I37+H38</f>
        <v/>
      </c>
      <c r="J38" s="349" t="inlineStr">
        <is>
          <t>kg</t>
        </is>
      </c>
      <c r="K38" s="394">
        <f>H38*$K$35</f>
        <v/>
      </c>
      <c r="M38" s="371" t="inlineStr">
        <is>
          <t>NITRATE DE POTASSIUM</t>
        </is>
      </c>
      <c r="N38" s="385" t="n">
        <v>0.018</v>
      </c>
      <c r="O38" s="385">
        <f>O37+N38</f>
        <v/>
      </c>
      <c r="P38" s="349" t="inlineStr">
        <is>
          <t>kg</t>
        </is>
      </c>
      <c r="Q38" s="394">
        <f>N38*$Q$35</f>
        <v/>
      </c>
    </row>
    <row r="39" ht="28.5" customHeight="1" s="1025">
      <c r="A39" s="370" t="inlineStr">
        <is>
          <t>LACTOSE</t>
        </is>
      </c>
      <c r="B39" s="1026" t="n">
        <v>1.5</v>
      </c>
      <c r="C39" s="1026">
        <f>C38+B39</f>
        <v/>
      </c>
      <c r="D39" s="1031" t="inlineStr">
        <is>
          <t>kg</t>
        </is>
      </c>
      <c r="E39" s="394">
        <f>B39*$E$35</f>
        <v/>
      </c>
      <c r="G39" s="370" t="inlineStr">
        <is>
          <t>LACTOSE</t>
        </is>
      </c>
      <c r="H39" s="1026" t="n">
        <v>1.5</v>
      </c>
      <c r="I39" s="1026">
        <f>I38+H39</f>
        <v/>
      </c>
      <c r="J39" s="1031" t="inlineStr">
        <is>
          <t>kg</t>
        </is>
      </c>
      <c r="K39" s="394">
        <f>H39*$K$35</f>
        <v/>
      </c>
      <c r="M39" s="370" t="inlineStr">
        <is>
          <t>LACTOSE</t>
        </is>
      </c>
      <c r="N39" s="1026" t="n">
        <v>1.5</v>
      </c>
      <c r="O39" s="1026">
        <f>O38+N39</f>
        <v/>
      </c>
      <c r="P39" s="1031" t="inlineStr">
        <is>
          <t>kg</t>
        </is>
      </c>
      <c r="Q39" s="394">
        <f>N39*$Q$35</f>
        <v/>
      </c>
    </row>
    <row r="40" ht="28.5" customHeight="1" s="1025">
      <c r="A40" s="371" t="inlineStr">
        <is>
          <t>DEXTROSE</t>
        </is>
      </c>
      <c r="B40" s="385" t="n">
        <v>0.45</v>
      </c>
      <c r="C40" s="385">
        <f>C39+B40</f>
        <v/>
      </c>
      <c r="D40" s="349" t="inlineStr">
        <is>
          <t>kg</t>
        </is>
      </c>
      <c r="E40" s="394">
        <f>B40*$E$35</f>
        <v/>
      </c>
      <c r="G40" s="371" t="inlineStr">
        <is>
          <t>DEXTROSE</t>
        </is>
      </c>
      <c r="H40" s="385" t="n">
        <v>0.45</v>
      </c>
      <c r="I40" s="385">
        <f>I39+H40</f>
        <v/>
      </c>
      <c r="J40" s="349" t="inlineStr">
        <is>
          <t>kg</t>
        </is>
      </c>
      <c r="K40" s="394">
        <f>H40*$K$35</f>
        <v/>
      </c>
      <c r="M40" s="371" t="inlineStr">
        <is>
          <t>DEXTROSE</t>
        </is>
      </c>
      <c r="N40" s="385" t="n">
        <v>0.45</v>
      </c>
      <c r="O40" s="385">
        <f>O39+N40</f>
        <v/>
      </c>
      <c r="P40" s="349" t="inlineStr">
        <is>
          <t>kg</t>
        </is>
      </c>
      <c r="Q40" s="394">
        <f>N40*$Q$35</f>
        <v/>
      </c>
    </row>
    <row r="41" ht="28.5" customHeight="1" s="1025">
      <c r="A41" s="370" t="inlineStr">
        <is>
          <t>POIVRE BLANC MOULU</t>
        </is>
      </c>
      <c r="B41" s="1026" t="n">
        <v>0.25</v>
      </c>
      <c r="C41" s="1026">
        <f>C40+B41</f>
        <v/>
      </c>
      <c r="D41" s="1031" t="inlineStr">
        <is>
          <t>kg</t>
        </is>
      </c>
      <c r="E41" s="394">
        <f>B41*$E$35</f>
        <v/>
      </c>
      <c r="G41" s="370" t="inlineStr">
        <is>
          <t>POIVRE BLANC MOULU</t>
        </is>
      </c>
      <c r="H41" s="1026" t="n">
        <v>0.25</v>
      </c>
      <c r="I41" s="1026">
        <f>I40+H41</f>
        <v/>
      </c>
      <c r="J41" s="1031" t="inlineStr">
        <is>
          <t>kg</t>
        </is>
      </c>
      <c r="K41" s="394">
        <f>H41*$K$35</f>
        <v/>
      </c>
      <c r="M41" s="370" t="inlineStr">
        <is>
          <t>POIVRE BLANC MOULU</t>
        </is>
      </c>
      <c r="N41" s="1026" t="n">
        <v>0.25</v>
      </c>
      <c r="O41" s="1026">
        <f>O40+N41</f>
        <v/>
      </c>
      <c r="P41" s="1031" t="inlineStr">
        <is>
          <t>kg</t>
        </is>
      </c>
      <c r="Q41" s="394">
        <f>N41*$Q$35</f>
        <v/>
      </c>
    </row>
    <row r="42" ht="28.5" customHeight="1" s="1025" thickBot="1">
      <c r="A42" s="386" t="inlineStr">
        <is>
          <t>AIL SEMOULE</t>
        </is>
      </c>
      <c r="B42" s="387" t="n">
        <v>0.08</v>
      </c>
      <c r="C42" s="387">
        <f>C41+B42</f>
        <v/>
      </c>
      <c r="D42" s="362" t="inlineStr">
        <is>
          <t>kg</t>
        </is>
      </c>
      <c r="E42" s="395">
        <f>B42*$E$35</f>
        <v/>
      </c>
      <c r="G42" s="386" t="inlineStr">
        <is>
          <t>AIL SEMOULE</t>
        </is>
      </c>
      <c r="H42" s="387" t="n">
        <v>0.08</v>
      </c>
      <c r="I42" s="387">
        <f>I41+H42</f>
        <v/>
      </c>
      <c r="J42" s="362" t="inlineStr">
        <is>
          <t>kg</t>
        </is>
      </c>
      <c r="K42" s="395">
        <f>H42*$K$35</f>
        <v/>
      </c>
      <c r="M42" s="386" t="inlineStr">
        <is>
          <t>AIL SEMOULE</t>
        </is>
      </c>
      <c r="N42" s="387" t="n">
        <v>0.08</v>
      </c>
      <c r="O42" s="387">
        <f>O41+N42</f>
        <v/>
      </c>
      <c r="P42" s="362" t="inlineStr">
        <is>
          <t>kg</t>
        </is>
      </c>
      <c r="Q42" s="395">
        <f>N42*$Q$35</f>
        <v/>
      </c>
    </row>
    <row r="43" ht="28.5" customHeight="1" s="1025" thickBot="1">
      <c r="A43" s="396" t="inlineStr">
        <is>
          <t>FERMENT MF 244</t>
        </is>
      </c>
      <c r="B43" s="397" t="n">
        <v>1</v>
      </c>
      <c r="C43" s="397">
        <f>B43</f>
        <v/>
      </c>
      <c r="D43" s="398" t="inlineStr">
        <is>
          <t>Sachet</t>
        </is>
      </c>
      <c r="E43" s="89">
        <f>B43*$E$35</f>
        <v/>
      </c>
      <c r="G43" s="396" t="inlineStr">
        <is>
          <t>FERMENT MF 244</t>
        </is>
      </c>
      <c r="H43" s="397" t="n">
        <v>1</v>
      </c>
      <c r="I43" s="397">
        <f>H43</f>
        <v/>
      </c>
      <c r="J43" s="398" t="inlineStr">
        <is>
          <t>Sachet</t>
        </is>
      </c>
      <c r="K43" s="89">
        <f>H43*$K$35</f>
        <v/>
      </c>
      <c r="M43" s="396" t="inlineStr">
        <is>
          <t>FERMENT MF 244</t>
        </is>
      </c>
      <c r="N43" s="397" t="n">
        <v>1</v>
      </c>
      <c r="O43" s="397">
        <f>N43</f>
        <v/>
      </c>
      <c r="P43" s="398" t="inlineStr">
        <is>
          <t>Sachet</t>
        </is>
      </c>
      <c r="Q43" s="89">
        <f>N43*$Q$35</f>
        <v/>
      </c>
    </row>
    <row r="44" ht="28.5" customHeight="1" s="1025" thickBot="1">
      <c r="A44" s="376" t="inlineStr">
        <is>
          <t>Ingrédients : Cèpes</t>
        </is>
      </c>
      <c r="B44" s="377" t="n">
        <v>2</v>
      </c>
      <c r="C44" s="377">
        <f>B44</f>
        <v/>
      </c>
      <c r="D44" s="392" t="inlineStr">
        <is>
          <t>kg</t>
        </is>
      </c>
      <c r="E44" s="400">
        <f>B44*$E$35</f>
        <v/>
      </c>
      <c r="G44" s="401" t="inlineStr">
        <is>
          <t>Ingrdients : Olives</t>
        </is>
      </c>
      <c r="H44" s="85" t="n">
        <v>10</v>
      </c>
      <c r="I44" s="85">
        <f>H44</f>
        <v/>
      </c>
      <c r="J44" s="402" t="inlineStr">
        <is>
          <t>kg</t>
        </is>
      </c>
      <c r="K44" s="89">
        <f>H44*$K$35</f>
        <v/>
      </c>
      <c r="L44" s="1034" t="n"/>
      <c r="M44" s="376" t="inlineStr">
        <is>
          <t>Ingrédients: Ail</t>
        </is>
      </c>
      <c r="N44" s="377" t="n">
        <v>0.52</v>
      </c>
      <c r="O44" s="377">
        <f>N44</f>
        <v/>
      </c>
      <c r="P44" s="392" t="inlineStr">
        <is>
          <t>kg</t>
        </is>
      </c>
      <c r="Q44" s="400">
        <f>N44*$Q$35</f>
        <v/>
      </c>
    </row>
    <row r="45" ht="30.75" customHeight="1" s="1025" thickBot="1">
      <c r="D45" s="67" t="n"/>
      <c r="E45" s="83" t="n"/>
      <c r="G45" s="401" t="inlineStr">
        <is>
          <t>Ingrédients : Huile d'olives</t>
        </is>
      </c>
      <c r="H45" s="85" t="n">
        <v>1</v>
      </c>
      <c r="I45" s="85">
        <f>H45</f>
        <v/>
      </c>
      <c r="J45" s="402" t="inlineStr">
        <is>
          <t>kg
litre</t>
        </is>
      </c>
      <c r="K45" s="89">
        <f>H45*$K$35</f>
        <v/>
      </c>
      <c r="P45" s="67" t="n"/>
      <c r="Q45" s="83" t="n"/>
    </row>
    <row r="46" ht="30.75" customHeight="1" s="1025">
      <c r="D46" s="67" t="n"/>
      <c r="E46" s="83" t="n"/>
      <c r="G46" s="376" t="inlineStr">
        <is>
          <t>Ingrédient: Herbe de Prov.</t>
        </is>
      </c>
      <c r="H46" s="403" t="n">
        <v>0.1</v>
      </c>
      <c r="I46" s="403">
        <f>H46</f>
        <v/>
      </c>
      <c r="J46" s="392" t="inlineStr">
        <is>
          <t>kg</t>
        </is>
      </c>
      <c r="K46" s="400">
        <f>H46*$K$35</f>
        <v/>
      </c>
      <c r="P46" s="67" t="n"/>
      <c r="Q46" s="83" t="n"/>
    </row>
    <row r="47" ht="30.75" customHeight="1" s="1025">
      <c r="J47" s="67" t="n"/>
      <c r="K47" s="83" t="n"/>
    </row>
    <row r="48" ht="15" customHeight="1" s="1025"/>
    <row r="49" ht="15" customHeight="1" s="1025" thickBot="1"/>
    <row r="50" ht="20.25" customHeight="1" s="1025" thickBot="1" thickTop="1">
      <c r="A50" s="1035" t="inlineStr">
        <is>
          <t>Spécialités diverses - PIMENTE</t>
        </is>
      </c>
      <c r="B50" s="902" t="n"/>
      <c r="C50" s="902" t="n"/>
      <c r="D50" s="902" t="n"/>
      <c r="E50" s="407" t="n"/>
      <c r="G50" s="1035" t="inlineStr">
        <is>
          <t>Spécialités diverses - FIGUE</t>
        </is>
      </c>
      <c r="H50" s="902" t="n"/>
      <c r="I50" s="902" t="n"/>
      <c r="J50" s="902" t="n"/>
      <c r="K50" s="407" t="n"/>
      <c r="M50" s="1035" t="inlineStr">
        <is>
          <t>Spécialités diverses - LAVANDE</t>
        </is>
      </c>
      <c r="N50" s="902" t="n"/>
      <c r="O50" s="902" t="n"/>
      <c r="P50" s="902" t="n"/>
      <c r="Q50" s="407" t="n"/>
    </row>
    <row r="51" ht="30.75" customHeight="1" s="1025" thickBot="1" thickTop="1">
      <c r="A51" s="10" t="n"/>
      <c r="B51" s="9" t="n"/>
      <c r="C51" s="9" t="n"/>
      <c r="G51" s="10" t="n"/>
      <c r="H51" s="9" t="n"/>
      <c r="I51" s="9" t="n"/>
      <c r="J51" s="1047" t="n"/>
      <c r="M51" s="10" t="n"/>
      <c r="N51" s="9" t="n"/>
      <c r="O51" s="9" t="n"/>
      <c r="P51" s="1047" t="n"/>
    </row>
    <row r="52" ht="22.5" customHeight="1" s="1025" thickBot="1">
      <c r="A52" s="1019" t="inlineStr">
        <is>
          <t>ASSAISONNEMENT</t>
        </is>
      </c>
      <c r="B52" s="1014" t="inlineStr">
        <is>
          <t>Mêlée de 150 kg</t>
        </is>
      </c>
      <c r="C52" s="1014" t="inlineStr">
        <is>
          <t>Poids cumulés</t>
        </is>
      </c>
      <c r="D52" s="1016" t="inlineStr">
        <is>
          <t>Unités</t>
        </is>
      </c>
      <c r="E52" s="388" t="inlineStr">
        <is>
          <t>Nb Mêlées</t>
        </is>
      </c>
      <c r="G52" s="1019" t="inlineStr">
        <is>
          <t>ASSAISONNEMENT</t>
        </is>
      </c>
      <c r="H52" s="1014" t="inlineStr">
        <is>
          <t>Mêlée de 150 kg</t>
        </is>
      </c>
      <c r="I52" s="1014" t="inlineStr">
        <is>
          <t>Poids cumulés</t>
        </is>
      </c>
      <c r="J52" s="1016" t="inlineStr">
        <is>
          <t>Unités</t>
        </is>
      </c>
      <c r="K52" s="388" t="inlineStr">
        <is>
          <t>Nb Mêlées</t>
        </is>
      </c>
      <c r="M52" s="1019" t="inlineStr">
        <is>
          <t>ASSAISONNEMENT</t>
        </is>
      </c>
      <c r="N52" s="1014" t="inlineStr">
        <is>
          <t>Mêlée de 150 kg</t>
        </is>
      </c>
      <c r="O52" s="1014" t="inlineStr">
        <is>
          <t>Poids cumulés</t>
        </is>
      </c>
      <c r="P52" s="1016" t="inlineStr">
        <is>
          <t>Unités</t>
        </is>
      </c>
      <c r="Q52" s="388" t="inlineStr">
        <is>
          <t>Nb Mêlées</t>
        </is>
      </c>
    </row>
    <row r="53" ht="18.75" customHeight="1" s="1025">
      <c r="A53" s="979" t="n"/>
      <c r="B53" s="979" t="n"/>
      <c r="C53" s="979" t="n"/>
      <c r="D53" s="979" t="n"/>
      <c r="E53" s="343">
        <f>'PLANNING DE FABRICATION'!E79</f>
        <v/>
      </c>
      <c r="G53" s="979" t="n"/>
      <c r="H53" s="979" t="n"/>
      <c r="I53" s="979" t="n"/>
      <c r="J53" s="979" t="n"/>
      <c r="K53" s="343">
        <f>'PLANNING DE FABRICATION'!E73</f>
        <v/>
      </c>
      <c r="M53" s="979" t="n"/>
      <c r="N53" s="979" t="n"/>
      <c r="O53" s="979" t="n"/>
      <c r="P53" s="979" t="n"/>
      <c r="Q53" s="343">
        <f>'PLANNING DE FABRICATION'!E85</f>
        <v/>
      </c>
    </row>
    <row r="54" ht="26.25" customHeight="1" s="1025">
      <c r="A54" s="371" t="inlineStr">
        <is>
          <t>SEL NITRITE</t>
        </is>
      </c>
      <c r="B54" s="385" t="n">
        <v>1.5</v>
      </c>
      <c r="C54" s="385">
        <f>B54</f>
        <v/>
      </c>
      <c r="D54" s="349" t="inlineStr">
        <is>
          <t>kg</t>
        </is>
      </c>
      <c r="E54" s="394">
        <f>B54*$E$53</f>
        <v/>
      </c>
      <c r="G54" s="371" t="inlineStr">
        <is>
          <t>SEL NITRITE</t>
        </is>
      </c>
      <c r="H54" s="385" t="n">
        <v>1.5</v>
      </c>
      <c r="I54" s="385">
        <f>H54</f>
        <v/>
      </c>
      <c r="J54" s="349" t="inlineStr">
        <is>
          <t>kg</t>
        </is>
      </c>
      <c r="K54" s="394">
        <f>H54*$K$53</f>
        <v/>
      </c>
      <c r="M54" s="371" t="inlineStr">
        <is>
          <t>SEL NITRITE</t>
        </is>
      </c>
      <c r="N54" s="385" t="n">
        <v>1.5</v>
      </c>
      <c r="O54" s="385">
        <f>N54</f>
        <v/>
      </c>
      <c r="P54" s="349" t="inlineStr">
        <is>
          <t>kg</t>
        </is>
      </c>
      <c r="Q54" s="394">
        <f>N54*$Q$53</f>
        <v/>
      </c>
    </row>
    <row r="55" ht="26.25" customHeight="1" s="1025">
      <c r="A55" s="370" t="inlineStr">
        <is>
          <t xml:space="preserve">SEL </t>
        </is>
      </c>
      <c r="B55" s="1026" t="n">
        <v>2.4</v>
      </c>
      <c r="C55" s="1026">
        <f>C54+B55</f>
        <v/>
      </c>
      <c r="D55" s="1031" t="inlineStr">
        <is>
          <t>kg</t>
        </is>
      </c>
      <c r="E55" s="394">
        <f>B55*$E$53</f>
        <v/>
      </c>
      <c r="G55" s="370" t="inlineStr">
        <is>
          <t xml:space="preserve">SEL </t>
        </is>
      </c>
      <c r="H55" s="1026" t="n">
        <v>2.4</v>
      </c>
      <c r="I55" s="1026">
        <f>I54+H55</f>
        <v/>
      </c>
      <c r="J55" s="1031" t="inlineStr">
        <is>
          <t>kg</t>
        </is>
      </c>
      <c r="K55" s="394">
        <f>H55*$K$53</f>
        <v/>
      </c>
      <c r="M55" s="370" t="inlineStr">
        <is>
          <t xml:space="preserve">SEL </t>
        </is>
      </c>
      <c r="N55" s="1026" t="n">
        <v>2.4</v>
      </c>
      <c r="O55" s="1026">
        <f>O54+N55</f>
        <v/>
      </c>
      <c r="P55" s="1031" t="inlineStr">
        <is>
          <t>kg</t>
        </is>
      </c>
      <c r="Q55" s="394">
        <f>N55*$Q$53</f>
        <v/>
      </c>
    </row>
    <row r="56" ht="26.25" customHeight="1" s="1025">
      <c r="A56" s="371" t="inlineStr">
        <is>
          <t>NITRATE DE POTASSIUM</t>
        </is>
      </c>
      <c r="B56" s="385" t="n">
        <v>0.018</v>
      </c>
      <c r="C56" s="385">
        <f>C55+B56</f>
        <v/>
      </c>
      <c r="D56" s="349" t="inlineStr">
        <is>
          <t>kg</t>
        </is>
      </c>
      <c r="E56" s="394">
        <f>B56*$E$53</f>
        <v/>
      </c>
      <c r="G56" s="371" t="inlineStr">
        <is>
          <t>NITRATE DE POTASSIUM</t>
        </is>
      </c>
      <c r="H56" s="385" t="n">
        <v>0.018</v>
      </c>
      <c r="I56" s="385">
        <f>I55+H56</f>
        <v/>
      </c>
      <c r="J56" s="349" t="inlineStr">
        <is>
          <t>kg</t>
        </is>
      </c>
      <c r="K56" s="394">
        <f>H56*$K$53</f>
        <v/>
      </c>
      <c r="M56" s="371" t="inlineStr">
        <is>
          <t>NITRATE DE POTASSIUM</t>
        </is>
      </c>
      <c r="N56" s="385" t="n">
        <v>0.018</v>
      </c>
      <c r="O56" s="385">
        <f>O55+N56</f>
        <v/>
      </c>
      <c r="P56" s="349" t="inlineStr">
        <is>
          <t>kg</t>
        </is>
      </c>
      <c r="Q56" s="394">
        <f>N56*$Q$53</f>
        <v/>
      </c>
    </row>
    <row r="57" ht="26.25" customHeight="1" s="1025">
      <c r="A57" s="370" t="inlineStr">
        <is>
          <t>LACTOSE</t>
        </is>
      </c>
      <c r="B57" s="1026" t="n">
        <v>1.5</v>
      </c>
      <c r="C57" s="1026">
        <f>C56+B57</f>
        <v/>
      </c>
      <c r="D57" s="1031" t="inlineStr">
        <is>
          <t>kg</t>
        </is>
      </c>
      <c r="E57" s="394">
        <f>B57*$E$53</f>
        <v/>
      </c>
      <c r="G57" s="370" t="inlineStr">
        <is>
          <t>LACTOSE</t>
        </is>
      </c>
      <c r="H57" s="1026" t="n">
        <v>1.3</v>
      </c>
      <c r="I57" s="1026">
        <f>I56+H57</f>
        <v/>
      </c>
      <c r="J57" s="1031" t="inlineStr">
        <is>
          <t>kg</t>
        </is>
      </c>
      <c r="K57" s="394">
        <f>H57*$K$53</f>
        <v/>
      </c>
      <c r="M57" s="370" t="inlineStr">
        <is>
          <t>LACTOSE</t>
        </is>
      </c>
      <c r="N57" s="1026" t="n">
        <v>1.5</v>
      </c>
      <c r="O57" s="1026">
        <f>O56+N57</f>
        <v/>
      </c>
      <c r="P57" s="1031" t="inlineStr">
        <is>
          <t>kg</t>
        </is>
      </c>
      <c r="Q57" s="394">
        <f>N57*$Q$53</f>
        <v/>
      </c>
    </row>
    <row r="58" ht="26.25" customHeight="1" s="1025">
      <c r="A58" s="371" t="inlineStr">
        <is>
          <t>DEXTROSE</t>
        </is>
      </c>
      <c r="B58" s="385" t="n">
        <v>0.45</v>
      </c>
      <c r="C58" s="385">
        <f>C57+B58</f>
        <v/>
      </c>
      <c r="D58" s="349" t="inlineStr">
        <is>
          <t>kg</t>
        </is>
      </c>
      <c r="E58" s="394">
        <f>B58*$E$53</f>
        <v/>
      </c>
      <c r="G58" s="371" t="inlineStr">
        <is>
          <t>DEXTROSE</t>
        </is>
      </c>
      <c r="H58" s="385" t="n">
        <v>0.35</v>
      </c>
      <c r="I58" s="385">
        <f>I57+H58</f>
        <v/>
      </c>
      <c r="J58" s="349" t="inlineStr">
        <is>
          <t>kg</t>
        </is>
      </c>
      <c r="K58" s="394">
        <f>H58*$K$53</f>
        <v/>
      </c>
      <c r="M58" s="371" t="inlineStr">
        <is>
          <t>DEXTROSE</t>
        </is>
      </c>
      <c r="N58" s="385" t="n">
        <v>0.45</v>
      </c>
      <c r="O58" s="385">
        <f>O57+N58</f>
        <v/>
      </c>
      <c r="P58" s="349" t="inlineStr">
        <is>
          <t>kg</t>
        </is>
      </c>
      <c r="Q58" s="394">
        <f>N58*$Q$53</f>
        <v/>
      </c>
    </row>
    <row r="59" ht="26.25" customHeight="1" s="1025">
      <c r="A59" s="370" t="inlineStr">
        <is>
          <t>POIVRE BLANC MOULU</t>
        </is>
      </c>
      <c r="B59" s="408" t="n">
        <v>0.2</v>
      </c>
      <c r="C59" s="1026">
        <f>C58+B59</f>
        <v/>
      </c>
      <c r="D59" s="1031" t="inlineStr">
        <is>
          <t>kg</t>
        </is>
      </c>
      <c r="E59" s="394">
        <f>B59*$E$53</f>
        <v/>
      </c>
      <c r="G59" s="370" t="inlineStr">
        <is>
          <t>POIVRE BLANC MOULU</t>
        </is>
      </c>
      <c r="H59" s="1026" t="n">
        <v>0.25</v>
      </c>
      <c r="I59" s="1026">
        <f>I58+H59</f>
        <v/>
      </c>
      <c r="J59" s="1031" t="inlineStr">
        <is>
          <t>kg</t>
        </is>
      </c>
      <c r="K59" s="394">
        <f>H59*$K$53</f>
        <v/>
      </c>
      <c r="M59" s="370" t="inlineStr">
        <is>
          <t>POIVRE BLANC MOULU</t>
        </is>
      </c>
      <c r="N59" s="1026" t="n">
        <v>0.25</v>
      </c>
      <c r="O59" s="1026">
        <f>O58+N59</f>
        <v/>
      </c>
      <c r="P59" s="1031" t="inlineStr">
        <is>
          <t>kg</t>
        </is>
      </c>
      <c r="Q59" s="394">
        <f>N59*$Q$53</f>
        <v/>
      </c>
    </row>
    <row r="60" ht="26.25" customHeight="1" s="1025" thickBot="1">
      <c r="A60" s="386" t="inlineStr">
        <is>
          <t>AIL SEMOULE</t>
        </is>
      </c>
      <c r="B60" s="361" t="n">
        <v>0.08</v>
      </c>
      <c r="C60" s="387">
        <f>C59+B60</f>
        <v/>
      </c>
      <c r="D60" s="362" t="inlineStr">
        <is>
          <t>kg</t>
        </is>
      </c>
      <c r="E60" s="395">
        <f>B60*$E$53</f>
        <v/>
      </c>
      <c r="G60" s="386" t="inlineStr">
        <is>
          <t>AIL SEMOULE</t>
        </is>
      </c>
      <c r="H60" s="361" t="n">
        <v>0.08</v>
      </c>
      <c r="I60" s="387">
        <f>I59+H60</f>
        <v/>
      </c>
      <c r="J60" s="362" t="inlineStr">
        <is>
          <t>kg</t>
        </is>
      </c>
      <c r="K60" s="395">
        <f>H60*$K$53</f>
        <v/>
      </c>
      <c r="M60" s="386" t="inlineStr">
        <is>
          <t>AIL SEMOULE</t>
        </is>
      </c>
      <c r="N60" s="387" t="n">
        <v>0.08</v>
      </c>
      <c r="O60" s="387">
        <f>O59+N60</f>
        <v/>
      </c>
      <c r="P60" s="362" t="inlineStr">
        <is>
          <t>kg</t>
        </is>
      </c>
      <c r="Q60" s="395">
        <f>N60*$Q$53</f>
        <v/>
      </c>
    </row>
    <row r="61" ht="26.25" customHeight="1" s="1025" thickBot="1">
      <c r="A61" s="396" t="inlineStr">
        <is>
          <t>FERMENT MF 244</t>
        </is>
      </c>
      <c r="B61" s="397" t="n">
        <v>1</v>
      </c>
      <c r="C61" s="397">
        <f>B61</f>
        <v/>
      </c>
      <c r="D61" s="398" t="inlineStr">
        <is>
          <t>Sachet</t>
        </is>
      </c>
      <c r="E61" s="89">
        <f>B61*$E$53</f>
        <v/>
      </c>
      <c r="G61" s="396" t="inlineStr">
        <is>
          <t>FERMENT MF 244</t>
        </is>
      </c>
      <c r="H61" s="397" t="n">
        <v>1</v>
      </c>
      <c r="I61" s="397">
        <f>H61</f>
        <v/>
      </c>
      <c r="J61" s="398" t="inlineStr">
        <is>
          <t>Sachet</t>
        </is>
      </c>
      <c r="K61" s="89">
        <f>H61*$K$53</f>
        <v/>
      </c>
      <c r="M61" s="396" t="inlineStr">
        <is>
          <t>FERMENT MF 244</t>
        </is>
      </c>
      <c r="N61" s="397" t="n">
        <v>1</v>
      </c>
      <c r="O61" s="397">
        <f>N61</f>
        <v/>
      </c>
      <c r="P61" s="398" t="inlineStr">
        <is>
          <t>Sachet</t>
        </is>
      </c>
      <c r="Q61" s="89">
        <f>N61*$Q$53</f>
        <v/>
      </c>
    </row>
    <row r="62" ht="26.25" customHeight="1" s="1025" thickBot="1">
      <c r="A62" s="404" t="inlineStr">
        <is>
          <t>Ingrédients: Piment Doux</t>
        </is>
      </c>
      <c r="B62" s="85" t="n">
        <v>0.7</v>
      </c>
      <c r="C62" s="85">
        <f>B62</f>
        <v/>
      </c>
      <c r="D62" s="86" t="inlineStr">
        <is>
          <t>kg</t>
        </is>
      </c>
      <c r="E62" s="89">
        <f>B62*$E$53</f>
        <v/>
      </c>
      <c r="G62" s="376" t="inlineStr">
        <is>
          <t>Ingrédients: Figue</t>
        </is>
      </c>
      <c r="H62" s="377" t="n">
        <v>10</v>
      </c>
      <c r="I62" s="377">
        <f>H62</f>
        <v/>
      </c>
      <c r="J62" s="392" t="inlineStr">
        <is>
          <t>kg</t>
        </is>
      </c>
      <c r="K62" s="400">
        <f>H62*$K$53</f>
        <v/>
      </c>
      <c r="M62" s="376" t="inlineStr">
        <is>
          <t>Ingrédients: Lavande</t>
        </is>
      </c>
      <c r="N62" s="377" t="n">
        <v>0.3</v>
      </c>
      <c r="O62" s="377">
        <f>N62</f>
        <v/>
      </c>
      <c r="P62" s="392" t="inlineStr">
        <is>
          <t>kg</t>
        </is>
      </c>
      <c r="Q62" s="400">
        <f>N62*$Q$53</f>
        <v/>
      </c>
    </row>
    <row r="63" ht="28.5" customHeight="1" s="1025" thickBot="1">
      <c r="A63" s="404" t="inlineStr">
        <is>
          <t>Ingrédients: Piment Fort</t>
        </is>
      </c>
      <c r="B63" s="85" t="n">
        <v>0.1</v>
      </c>
      <c r="C63" s="85">
        <f>C62+B63</f>
        <v/>
      </c>
      <c r="D63" s="86" t="inlineStr">
        <is>
          <t>kg</t>
        </is>
      </c>
      <c r="E63" s="89">
        <f>B63*$E$53</f>
        <v/>
      </c>
      <c r="J63" s="67" t="n"/>
      <c r="K63" s="83" t="n"/>
      <c r="P63" s="67" t="n"/>
      <c r="Q63" s="83" t="n"/>
    </row>
    <row r="64" ht="28.5" customHeight="1" s="1025">
      <c r="A64" s="405" t="inlineStr">
        <is>
          <t>Ingrédients: Piment Doux Fumé</t>
        </is>
      </c>
      <c r="B64" s="377" t="n">
        <v>0.2</v>
      </c>
      <c r="C64" s="377">
        <f>C63+B64</f>
        <v/>
      </c>
      <c r="D64" s="392" t="inlineStr">
        <is>
          <t>kg</t>
        </is>
      </c>
      <c r="E64" s="400">
        <f>B64*$E$53</f>
        <v/>
      </c>
    </row>
    <row r="65" ht="21" customHeight="1" s="1025" thickBot="1">
      <c r="D65" s="67" t="n"/>
      <c r="E65" s="83" t="n"/>
    </row>
    <row r="66" ht="20.25" customHeight="1" s="1025" thickBot="1" thickTop="1">
      <c r="M66" s="1035" t="inlineStr">
        <is>
          <t>Spécialités diverses - AIL DES OURS</t>
        </is>
      </c>
      <c r="N66" s="902" t="n"/>
      <c r="O66" s="902" t="n"/>
      <c r="P66" s="902" t="n"/>
      <c r="Q66" s="407" t="n"/>
    </row>
    <row r="67" ht="23.25" customHeight="1" s="1025" thickBot="1" thickTop="1">
      <c r="M67" s="10" t="n"/>
      <c r="N67" s="9" t="n"/>
      <c r="O67" s="9" t="n"/>
      <c r="P67" s="1047" t="n"/>
    </row>
    <row r="68" ht="25.5" customHeight="1" s="1025" thickBot="1">
      <c r="M68" s="1019" t="inlineStr">
        <is>
          <t>ASSAISONNEMENT</t>
        </is>
      </c>
      <c r="N68" s="1014" t="inlineStr">
        <is>
          <t>Mêlée de 150 kg</t>
        </is>
      </c>
      <c r="O68" s="1014" t="inlineStr">
        <is>
          <t>Poids cumulés</t>
        </is>
      </c>
      <c r="P68" s="1016" t="inlineStr">
        <is>
          <t>Unités</t>
        </is>
      </c>
      <c r="Q68" s="388" t="inlineStr">
        <is>
          <t>Nb Mêlées</t>
        </is>
      </c>
    </row>
    <row r="69" ht="25.5" customHeight="1" s="1025">
      <c r="M69" s="979" t="n"/>
      <c r="N69" s="979" t="n"/>
      <c r="O69" s="979" t="n"/>
      <c r="P69" s="979" t="n"/>
      <c r="Q69" s="343">
        <f>'PLANNING DE FABRICATION'!E81</f>
        <v/>
      </c>
    </row>
    <row r="70" ht="25.5" customHeight="1" s="1025">
      <c r="M70" s="371" t="inlineStr">
        <is>
          <t>SEL NITRITE</t>
        </is>
      </c>
      <c r="N70" s="385" t="n">
        <v>1.5</v>
      </c>
      <c r="O70" s="385">
        <f>N70</f>
        <v/>
      </c>
      <c r="P70" s="349" t="inlineStr">
        <is>
          <t>kg</t>
        </is>
      </c>
      <c r="Q70" s="394">
        <f>N70*$Q$69</f>
        <v/>
      </c>
    </row>
    <row r="71" ht="25.5" customHeight="1" s="1025">
      <c r="M71" s="370" t="inlineStr">
        <is>
          <t xml:space="preserve">SEL </t>
        </is>
      </c>
      <c r="N71" s="1026" t="n">
        <v>2.4</v>
      </c>
      <c r="O71" s="1026">
        <f>O70+N71</f>
        <v/>
      </c>
      <c r="P71" s="1031" t="inlineStr">
        <is>
          <t>kg</t>
        </is>
      </c>
      <c r="Q71" s="394">
        <f>N71*$Q$69</f>
        <v/>
      </c>
    </row>
    <row r="72" ht="25.5" customHeight="1" s="1025">
      <c r="M72" s="371" t="inlineStr">
        <is>
          <t>NITRATE DE POTASSIUM</t>
        </is>
      </c>
      <c r="N72" s="385" t="n">
        <v>0.018</v>
      </c>
      <c r="O72" s="385">
        <f>O71+N72</f>
        <v/>
      </c>
      <c r="P72" s="349" t="inlineStr">
        <is>
          <t>kg</t>
        </is>
      </c>
      <c r="Q72" s="394">
        <f>N72*$Q$69</f>
        <v/>
      </c>
    </row>
    <row r="73" ht="25.5" customHeight="1" s="1025">
      <c r="M73" s="370" t="inlineStr">
        <is>
          <t>LACTOSE</t>
        </is>
      </c>
      <c r="N73" s="1026" t="n">
        <v>1.5</v>
      </c>
      <c r="O73" s="1026">
        <f>O72+N73</f>
        <v/>
      </c>
      <c r="P73" s="1031" t="inlineStr">
        <is>
          <t>kg</t>
        </is>
      </c>
      <c r="Q73" s="394">
        <f>N73*$Q$69</f>
        <v/>
      </c>
    </row>
    <row r="74" ht="25.5" customHeight="1" s="1025">
      <c r="M74" s="371" t="inlineStr">
        <is>
          <t>DEXTROSE</t>
        </is>
      </c>
      <c r="N74" s="385" t="n">
        <v>0.45</v>
      </c>
      <c r="O74" s="385">
        <f>O73+N74</f>
        <v/>
      </c>
      <c r="P74" s="349" t="inlineStr">
        <is>
          <t>kg</t>
        </is>
      </c>
      <c r="Q74" s="394">
        <f>N74*$Q$69</f>
        <v/>
      </c>
    </row>
    <row r="75" ht="25.5" customHeight="1" s="1025">
      <c r="M75" s="370" t="inlineStr">
        <is>
          <t>POIVRE BLANC MOULU</t>
        </is>
      </c>
      <c r="N75" s="1026" t="n">
        <v>0.25</v>
      </c>
      <c r="O75" s="1026">
        <f>O74+N75</f>
        <v/>
      </c>
      <c r="P75" s="1031" t="inlineStr">
        <is>
          <t>kg</t>
        </is>
      </c>
      <c r="Q75" s="394">
        <f>N75*$Q$69</f>
        <v/>
      </c>
    </row>
    <row r="76" ht="25.5" customHeight="1" s="1025" thickBot="1">
      <c r="M76" s="386" t="inlineStr">
        <is>
          <t>AIL SEMOULE</t>
        </is>
      </c>
      <c r="N76" s="387" t="n">
        <v>0.08</v>
      </c>
      <c r="O76" s="387">
        <f>O75+N76</f>
        <v/>
      </c>
      <c r="P76" s="362" t="inlineStr">
        <is>
          <t>kg</t>
        </is>
      </c>
      <c r="Q76" s="394">
        <f>N76*$Q$69</f>
        <v/>
      </c>
    </row>
    <row r="77" ht="25.5" customHeight="1" s="1025" thickBot="1">
      <c r="M77" s="396" t="inlineStr">
        <is>
          <t>FERMENT MF 244</t>
        </is>
      </c>
      <c r="N77" s="397" t="n">
        <v>1</v>
      </c>
      <c r="O77" s="397">
        <f>N77</f>
        <v/>
      </c>
      <c r="P77" s="398" t="inlineStr">
        <is>
          <t>Sachet</t>
        </is>
      </c>
      <c r="Q77" s="394">
        <f>N77*$Q$69</f>
        <v/>
      </c>
    </row>
    <row r="78" ht="25.5" customHeight="1" s="1025">
      <c r="M78" s="376" t="inlineStr">
        <is>
          <t>Ingrédients: Ail des Ours</t>
        </is>
      </c>
      <c r="N78" s="439" t="n">
        <v>1.6</v>
      </c>
      <c r="O78" s="377">
        <f>N78</f>
        <v/>
      </c>
      <c r="P78" s="392" t="inlineStr">
        <is>
          <t>kg</t>
        </is>
      </c>
      <c r="Q78" s="394">
        <f>N78*$Q$69</f>
        <v/>
      </c>
    </row>
  </sheetData>
  <sheetProtection selectLockedCells="0" selectUnlockedCells="0" algorithmName="SHA-512" sheet="1" objects="1" insertRows="1" insertHyperlinks="1" autoFilter="1" scenarios="1" formatColumns="1" deleteColumns="1" insertColumns="1" pivotTables="1" deleteRows="1" formatCells="1" saltValue="qHttHx0tWJXzKhrH5TqOYw==" formatRows="1" sort="1" spinCount="100000" hashValue="Pq0EJi77xPifbEOR8ocL/8OsUFXndllQ40GmpoYYnTwD3fHw2twP9e78lBIw9hipC3NpQ54hKvcAOWiwBV9JfA=="/>
  <mergeCells count="72">
    <mergeCell ref="O18:O19"/>
    <mergeCell ref="G52:G53"/>
    <mergeCell ref="M34:M35"/>
    <mergeCell ref="W5:W6"/>
    <mergeCell ref="Y5:Y6"/>
    <mergeCell ref="B18:B19"/>
    <mergeCell ref="C4:C5"/>
    <mergeCell ref="B52:B53"/>
    <mergeCell ref="N18:N19"/>
    <mergeCell ref="D52:D53"/>
    <mergeCell ref="J34:J35"/>
    <mergeCell ref="P34:P35"/>
    <mergeCell ref="O4:O5"/>
    <mergeCell ref="G16:J16"/>
    <mergeCell ref="M32:P32"/>
    <mergeCell ref="N68:N69"/>
    <mergeCell ref="G34:G35"/>
    <mergeCell ref="G32:J32"/>
    <mergeCell ref="H34:H35"/>
    <mergeCell ref="G50:J50"/>
    <mergeCell ref="M66:P66"/>
    <mergeCell ref="H52:H53"/>
    <mergeCell ref="I18:I19"/>
    <mergeCell ref="M50:P50"/>
    <mergeCell ref="N52:N53"/>
    <mergeCell ref="P52:P53"/>
    <mergeCell ref="D4:D5"/>
    <mergeCell ref="J4:J5"/>
    <mergeCell ref="I52:I53"/>
    <mergeCell ref="W16:W28"/>
    <mergeCell ref="G2:J2"/>
    <mergeCell ref="B34:B35"/>
    <mergeCell ref="A18:A19"/>
    <mergeCell ref="X5:X6"/>
    <mergeCell ref="G18:G19"/>
    <mergeCell ref="Z5:Z6"/>
    <mergeCell ref="C52:C53"/>
    <mergeCell ref="X23:X25"/>
    <mergeCell ref="D18:D19"/>
    <mergeCell ref="A4:A5"/>
    <mergeCell ref="G4:G5"/>
    <mergeCell ref="J18:J19"/>
    <mergeCell ref="O52:O53"/>
    <mergeCell ref="I4:I5"/>
    <mergeCell ref="N34:N35"/>
    <mergeCell ref="M18:M19"/>
    <mergeCell ref="A16:D16"/>
    <mergeCell ref="M2:P2"/>
    <mergeCell ref="C18:C19"/>
    <mergeCell ref="P68:P69"/>
    <mergeCell ref="I34:I35"/>
    <mergeCell ref="P18:P19"/>
    <mergeCell ref="H18:H19"/>
    <mergeCell ref="J52:J53"/>
    <mergeCell ref="W3:Z3"/>
    <mergeCell ref="B4:B5"/>
    <mergeCell ref="A34:A35"/>
    <mergeCell ref="A52:A53"/>
    <mergeCell ref="M4:M5"/>
    <mergeCell ref="M16:P16"/>
    <mergeCell ref="C34:C35"/>
    <mergeCell ref="A50:D50"/>
    <mergeCell ref="H4:H5"/>
    <mergeCell ref="N4:N5"/>
    <mergeCell ref="M52:M53"/>
    <mergeCell ref="P4:P5"/>
    <mergeCell ref="O34:O35"/>
    <mergeCell ref="D34:D35"/>
    <mergeCell ref="A2:D2"/>
    <mergeCell ref="M68:M69"/>
    <mergeCell ref="O68:O69"/>
    <mergeCell ref="A32:D32"/>
  </mergeCells>
  <printOptions horizontalCentered="1" verticalCentered="1"/>
  <pageMargins left="0.2362204724409449" right="0.2362204724409449" top="0.7480314960629921" bottom="0.7480314960629921" header="0.3149606299212598" footer="0.3149606299212598"/>
  <pageSetup orientation="portrait" paperSize="9" fitToHeight="0"/>
  <legacyDrawing xmlns:r="http://schemas.openxmlformats.org/officeDocument/2006/relationships" r:id="anysvml"/>
</worksheet>
</file>

<file path=xl/worksheets/sheet12.xml><?xml version="1.0" encoding="utf-8"?>
<worksheet xmlns="http://schemas.openxmlformats.org/spreadsheetml/2006/main">
  <sheetPr codeName="Sheet11">
    <tabColor rgb="FF00B050"/>
    <outlinePr summaryBelow="1" summaryRight="1"/>
    <pageSetUpPr fitToPage="1"/>
  </sheetPr>
  <dimension ref="A1:P14"/>
  <sheetViews>
    <sheetView topLeftCell="A10" zoomScale="85" zoomScaleNormal="85" workbookViewId="0">
      <selection activeCell="G16" sqref="G16"/>
    </sheetView>
  </sheetViews>
  <sheetFormatPr baseColWidth="8" defaultColWidth="30" defaultRowHeight="35.25" customHeight="1"/>
  <cols>
    <col width="31.6640625" bestFit="1" customWidth="1" style="1025" min="1" max="1"/>
    <col width="13" customWidth="1" style="1025" min="2" max="3"/>
    <col width="6.33203125" customWidth="1" style="1047" min="4" max="4"/>
    <col width="11.5546875" customWidth="1" style="1025" min="5" max="5"/>
    <col width="4.88671875" customWidth="1" style="1025" min="6" max="6"/>
    <col width="31.6640625" bestFit="1" customWidth="1" style="1025" min="7" max="7"/>
    <col width="11.6640625" customWidth="1" style="1025" min="8" max="9"/>
    <col width="5.88671875" bestFit="1" customWidth="1" style="1025" min="10" max="10"/>
    <col width="14.109375" customWidth="1" style="1025" min="11" max="11"/>
    <col width="6.44140625" customWidth="1" style="1025" min="12" max="12"/>
    <col width="32.33203125" customWidth="1" style="1025" min="13" max="13"/>
    <col width="12.88671875" customWidth="1" style="1025" min="14" max="15"/>
    <col width="7.6640625" customWidth="1" style="1025" min="16" max="16"/>
    <col width="14.5546875" customWidth="1" style="1025" min="17" max="17"/>
  </cols>
  <sheetData>
    <row r="1" ht="35.25" customHeight="1" s="1025" thickBot="1">
      <c r="A1" s="409" t="inlineStr">
        <is>
          <t>Recettes Viandes Fraiches Françaises</t>
        </is>
      </c>
      <c r="B1" s="410" t="n"/>
      <c r="C1" s="410" t="n"/>
      <c r="D1" s="413" t="n"/>
      <c r="E1" s="413" t="n"/>
      <c r="F1" s="96" t="n"/>
      <c r="G1" s="96" t="n"/>
      <c r="H1" s="96" t="n"/>
      <c r="I1" s="96" t="n"/>
      <c r="J1" s="96" t="n"/>
      <c r="K1" s="96" t="n"/>
    </row>
    <row r="2" ht="35.25" customHeight="1" s="1025" thickBot="1">
      <c r="J2" s="1047" t="n"/>
      <c r="P2" s="1047" t="n"/>
    </row>
    <row r="3" ht="35.25" customHeight="1" s="1025" thickBot="1" thickTop="1">
      <c r="A3" s="1037" t="inlineStr">
        <is>
          <t xml:space="preserve">- MIGNONETTE - </t>
        </is>
      </c>
      <c r="B3" s="902" t="n"/>
      <c r="C3" s="902" t="n"/>
      <c r="D3" s="902" t="n"/>
      <c r="E3" s="414" t="n"/>
    </row>
    <row r="4" ht="21" customHeight="1" s="1025" thickBot="1" thickTop="1">
      <c r="A4" s="10" t="n"/>
      <c r="B4" s="9" t="n"/>
      <c r="C4" s="9" t="n"/>
    </row>
    <row r="5" ht="35.25" customHeight="1" s="1025" thickBot="1">
      <c r="A5" s="1019" t="inlineStr">
        <is>
          <t>ASSAISONNEMENT</t>
        </is>
      </c>
      <c r="B5" s="1019" t="inlineStr">
        <is>
          <t>Mêlée de 150 kg</t>
        </is>
      </c>
      <c r="C5" s="1019" t="inlineStr">
        <is>
          <t>Poids cumulés</t>
        </is>
      </c>
      <c r="D5" s="1016" t="inlineStr">
        <is>
          <t>Unités</t>
        </is>
      </c>
      <c r="E5" s="388" t="inlineStr">
        <is>
          <t>Nb Mêlées</t>
        </is>
      </c>
    </row>
    <row r="6" ht="35.25" customHeight="1" s="1025">
      <c r="A6" s="979" t="n"/>
      <c r="B6" s="979" t="n"/>
      <c r="C6" s="979" t="n"/>
      <c r="D6" s="979" t="n"/>
      <c r="E6" s="343">
        <f>'PLANNING DE FABRICATION'!E32</f>
        <v/>
      </c>
    </row>
    <row r="7" ht="35.25" customHeight="1" s="1025">
      <c r="A7" s="371" t="inlineStr">
        <is>
          <t>SEL NITRITE</t>
        </is>
      </c>
      <c r="B7" s="78" t="n">
        <v>2</v>
      </c>
      <c r="C7" s="78">
        <f>B7</f>
        <v/>
      </c>
      <c r="D7" s="349" t="inlineStr">
        <is>
          <t>kg</t>
        </is>
      </c>
      <c r="E7" s="79">
        <f>B7*$E$6</f>
        <v/>
      </c>
    </row>
    <row r="8" ht="35.25" customHeight="1" s="1025">
      <c r="A8" s="370" t="inlineStr">
        <is>
          <t xml:space="preserve">SEL </t>
        </is>
      </c>
      <c r="B8" s="80" t="n">
        <v>2.2</v>
      </c>
      <c r="C8" s="80">
        <f>C7+B8</f>
        <v/>
      </c>
      <c r="D8" s="1031" t="inlineStr">
        <is>
          <t>kg</t>
        </is>
      </c>
      <c r="E8" s="79">
        <f>B8*$E$6</f>
        <v/>
      </c>
    </row>
    <row r="9" ht="35.25" customHeight="1" s="1025">
      <c r="A9" s="371" t="inlineStr">
        <is>
          <t>NITRATE DE POTASSIUM</t>
        </is>
      </c>
      <c r="B9" s="352" t="n">
        <v>0.018</v>
      </c>
      <c r="C9" s="78">
        <f>C8+B9</f>
        <v/>
      </c>
      <c r="D9" s="349" t="inlineStr">
        <is>
          <t>kg</t>
        </is>
      </c>
      <c r="E9" s="79">
        <f>B9*$E$6</f>
        <v/>
      </c>
    </row>
    <row r="10" ht="35.25" customHeight="1" s="1025">
      <c r="A10" s="370" t="inlineStr">
        <is>
          <t>LACTOSE</t>
        </is>
      </c>
      <c r="B10" s="80" t="n">
        <v>3</v>
      </c>
      <c r="C10" s="80">
        <f>C9+B10</f>
        <v/>
      </c>
      <c r="D10" s="1031" t="inlineStr">
        <is>
          <t>kg</t>
        </is>
      </c>
      <c r="E10" s="79">
        <f>B10*$E$6</f>
        <v/>
      </c>
    </row>
    <row r="11" ht="35.25" customHeight="1" s="1025">
      <c r="A11" s="371" t="inlineStr">
        <is>
          <t>DEXTROSE</t>
        </is>
      </c>
      <c r="B11" s="78" t="n">
        <v>0.75</v>
      </c>
      <c r="C11" s="78">
        <f>C10+B11</f>
        <v/>
      </c>
      <c r="D11" s="349" t="inlineStr">
        <is>
          <t>kg</t>
        </is>
      </c>
      <c r="E11" s="79">
        <f>B11*$E$6</f>
        <v/>
      </c>
    </row>
    <row r="12" ht="35.25" customHeight="1" s="1025">
      <c r="A12" s="370" t="inlineStr">
        <is>
          <t>POIVRE BLANC MOULU</t>
        </is>
      </c>
      <c r="B12" s="80" t="n">
        <v>0.25</v>
      </c>
      <c r="C12" s="80">
        <f>C11+B12</f>
        <v/>
      </c>
      <c r="D12" s="1031" t="inlineStr">
        <is>
          <t>kg</t>
        </is>
      </c>
      <c r="E12" s="79">
        <f>B12*$E$6</f>
        <v/>
      </c>
    </row>
    <row r="13" ht="35.25" customHeight="1" s="1025" thickBot="1">
      <c r="A13" s="386" t="inlineStr">
        <is>
          <t>AIL SEMOULE</t>
        </is>
      </c>
      <c r="B13" s="361" t="n">
        <v>0.08</v>
      </c>
      <c r="C13" s="361">
        <f>C12+B13</f>
        <v/>
      </c>
      <c r="D13" s="362" t="inlineStr">
        <is>
          <t>kg</t>
        </is>
      </c>
      <c r="E13" s="82">
        <f>B13*$E$6</f>
        <v/>
      </c>
    </row>
    <row r="14" ht="35.25" customHeight="1" s="1025">
      <c r="A14" s="375" t="inlineStr">
        <is>
          <t>FERMENT 42R</t>
        </is>
      </c>
      <c r="B14" s="390" t="n">
        <v>1</v>
      </c>
      <c r="C14" s="390">
        <f>B14</f>
        <v/>
      </c>
      <c r="D14" s="43" t="inlineStr">
        <is>
          <t>Sachet</t>
        </is>
      </c>
      <c r="E14" s="38">
        <f>B14*$E$6</f>
        <v/>
      </c>
    </row>
  </sheetData>
  <sheetProtection selectLockedCells="0" selectUnlockedCells="0" algorithmName="SHA-512" sheet="1" objects="1" insertRows="1" insertHyperlinks="1" autoFilter="1" scenarios="1" formatColumns="1" deleteColumns="1" insertColumns="1" pivotTables="1" deleteRows="1" formatCells="1" saltValue="bwCI9jMCUrHs0qhsXlCnng==" formatRows="1" sort="1" spinCount="100000" hashValue="v7kCdYMaZobmVdPTTjHmlBl1DmFERdm1qlJKjXIBb5wEP20rJE7lO2kAi4FM7sQYFdxm3BiQM/UiMytrZQ0f1g=="/>
  <mergeCells count="5">
    <mergeCell ref="A5:A6"/>
    <mergeCell ref="A3:D3"/>
    <mergeCell ref="D5:D6"/>
    <mergeCell ref="B5:B6"/>
    <mergeCell ref="C5:C6"/>
  </mergeCells>
  <printOptions horizontalCentered="1" verticalCentered="1"/>
  <pageMargins left="0.25" right="0.25" top="0.75" bottom="0.75" header="0.3" footer="0.3"/>
  <pageSetup orientation="portrait" paperSize="9"/>
  <legacyDrawing xmlns:r="http://schemas.openxmlformats.org/officeDocument/2006/relationships" r:id="anysvml"/>
</worksheet>
</file>

<file path=xl/worksheets/sheet13.xml><?xml version="1.0" encoding="utf-8"?>
<worksheet xmlns="http://schemas.openxmlformats.org/spreadsheetml/2006/main">
  <sheetPr codeName="Sheet12">
    <tabColor rgb="FF00B050"/>
    <outlinePr summaryBelow="1" summaryRight="1"/>
    <pageSetUpPr fitToPage="1"/>
  </sheetPr>
  <dimension ref="A1:U30"/>
  <sheetViews>
    <sheetView topLeftCell="A2" zoomScale="55" zoomScaleNormal="55" workbookViewId="0">
      <selection activeCell="G20" sqref="G20:J29"/>
    </sheetView>
  </sheetViews>
  <sheetFormatPr baseColWidth="8" defaultColWidth="11.5546875" defaultRowHeight="14.4"/>
  <cols>
    <col width="32.44140625" customWidth="1" style="1025" min="1" max="1"/>
    <col width="20" customWidth="1" style="1025" min="2" max="3"/>
    <col width="6.6640625" customWidth="1" style="1047" min="4" max="4"/>
    <col width="4.44140625" customWidth="1" style="1025" min="6" max="6"/>
    <col width="34.109375" customWidth="1" style="1025" min="7" max="7"/>
    <col width="18.33203125" customWidth="1" style="1025" min="8" max="9"/>
    <col width="7.33203125" customWidth="1" style="1047" min="10" max="10"/>
    <col width="5.6640625" customWidth="1" style="1025" min="12" max="12"/>
    <col width="34.44140625" customWidth="1" style="1025" min="13" max="13"/>
    <col width="20.44140625" customWidth="1" style="1025" min="14" max="15"/>
    <col width="5.5546875" customWidth="1" style="1047" min="16" max="16"/>
    <col width="33.33203125" customWidth="1" style="1025" min="19" max="19"/>
    <col width="22.88671875" customWidth="1" style="1025" min="20" max="20"/>
    <col width="7.33203125" customWidth="1" style="1025" min="21" max="21"/>
  </cols>
  <sheetData>
    <row r="1" ht="35.25" customFormat="1" customHeight="1" s="95" thickBot="1">
      <c r="A1" s="1040" t="inlineStr">
        <is>
          <t xml:space="preserve">Recettes : </t>
        </is>
      </c>
      <c r="B1" s="919" t="n"/>
      <c r="C1" s="919" t="n"/>
      <c r="D1" s="919" t="n"/>
      <c r="E1" s="919" t="n"/>
      <c r="F1" s="919" t="n"/>
      <c r="G1" s="1041" t="inlineStr">
        <is>
          <t>Viandes Fraiches Françaises</t>
        </is>
      </c>
      <c r="H1" s="919" t="n"/>
      <c r="I1" s="919" t="n"/>
      <c r="J1" s="919" t="n"/>
      <c r="K1" s="919" t="n"/>
      <c r="L1" s="1039" t="n"/>
      <c r="M1" s="919" t="n"/>
      <c r="N1" s="919" t="n"/>
      <c r="O1" s="919" t="n"/>
      <c r="P1" s="919" t="n"/>
      <c r="Q1" s="932" t="n"/>
    </row>
    <row r="2" ht="15.75" customHeight="1" s="1025" thickBot="1"/>
    <row r="3" ht="42.75" customHeight="1" s="1025" thickBot="1" thickTop="1">
      <c r="A3" s="1038" t="inlineStr">
        <is>
          <t xml:space="preserve">- 250g ARTISANAL - </t>
        </is>
      </c>
      <c r="B3" s="902" t="n"/>
      <c r="C3" s="902" t="n"/>
      <c r="D3" s="902" t="n"/>
      <c r="E3" s="426" t="n"/>
      <c r="G3" s="1038" t="inlineStr">
        <is>
          <t xml:space="preserve">- 3-400g ARTISANAL - </t>
        </is>
      </c>
      <c r="H3" s="902" t="n"/>
      <c r="I3" s="902" t="n"/>
      <c r="J3" s="902" t="n"/>
      <c r="K3" s="426" t="n"/>
      <c r="M3" s="1038" t="inlineStr">
        <is>
          <t>- SAUCISSES COURBE -</t>
        </is>
      </c>
      <c r="N3" s="902" t="n"/>
      <c r="O3" s="902" t="n"/>
      <c r="P3" s="902" t="n"/>
      <c r="Q3" s="426" t="n"/>
    </row>
    <row r="4" ht="10.5" customHeight="1" s="1025" thickBot="1" thickTop="1">
      <c r="A4" s="10" t="n"/>
      <c r="B4" s="9" t="n"/>
      <c r="C4" s="9" t="n"/>
      <c r="G4" s="10" t="n"/>
      <c r="H4" s="9" t="n"/>
      <c r="I4" s="9" t="n"/>
      <c r="M4" s="10" t="n"/>
      <c r="N4" s="9" t="n"/>
      <c r="O4" s="9" t="n"/>
    </row>
    <row r="5" ht="31.5" customHeight="1" s="1025" thickBot="1">
      <c r="A5" s="1019" t="inlineStr">
        <is>
          <t>ASSAISONNEMENT</t>
        </is>
      </c>
      <c r="B5" s="1014" t="inlineStr">
        <is>
          <t>Mêlée de 150 kg</t>
        </is>
      </c>
      <c r="C5" s="1014" t="inlineStr">
        <is>
          <t>Poids cumulés</t>
        </is>
      </c>
      <c r="D5" s="1016" t="inlineStr">
        <is>
          <t>Unités</t>
        </is>
      </c>
      <c r="E5" s="388" t="inlineStr">
        <is>
          <t>Nb Mêlées</t>
        </is>
      </c>
      <c r="G5" s="1019" t="inlineStr">
        <is>
          <t>ASSAISONNEMENT</t>
        </is>
      </c>
      <c r="H5" s="1014" t="inlineStr">
        <is>
          <t>Mêlée de 150 kg</t>
        </is>
      </c>
      <c r="I5" s="1014" t="inlineStr">
        <is>
          <t>Poids cumulés</t>
        </is>
      </c>
      <c r="J5" s="1016" t="inlineStr">
        <is>
          <t>Unités</t>
        </is>
      </c>
      <c r="K5" s="388" t="inlineStr">
        <is>
          <t>Nb Mêlées</t>
        </is>
      </c>
      <c r="M5" s="1019" t="inlineStr">
        <is>
          <t>ASSAISONNEMENT</t>
        </is>
      </c>
      <c r="N5" s="1014" t="inlineStr">
        <is>
          <t>Mêlée de 150 kg</t>
        </is>
      </c>
      <c r="O5" s="1014" t="inlineStr">
        <is>
          <t>Poids cumulés</t>
        </is>
      </c>
      <c r="P5" s="1016" t="inlineStr">
        <is>
          <t>Unités</t>
        </is>
      </c>
      <c r="Q5" s="388" t="inlineStr">
        <is>
          <t>Nb Mêlées</t>
        </is>
      </c>
    </row>
    <row r="6" ht="40.5" customHeight="1" s="1025">
      <c r="A6" s="979" t="n"/>
      <c r="B6" s="979" t="n"/>
      <c r="C6" s="979" t="n"/>
      <c r="D6" s="979" t="n"/>
      <c r="E6" s="343">
        <f>'PLANNING DE FABRICATION'!E33</f>
        <v/>
      </c>
      <c r="G6" s="979" t="n"/>
      <c r="H6" s="979" t="n"/>
      <c r="I6" s="979" t="n"/>
      <c r="J6" s="979" t="n"/>
      <c r="K6" s="343">
        <f>'PLANNING DE FABRICATION'!E34</f>
        <v/>
      </c>
      <c r="M6" s="979" t="n"/>
      <c r="N6" s="979" t="n"/>
      <c r="O6" s="979" t="n"/>
      <c r="P6" s="979" t="n"/>
      <c r="Q6" s="424">
        <f>'PLANNING DE FABRICATION'!E37</f>
        <v/>
      </c>
    </row>
    <row r="7" ht="34.5" customHeight="1" s="1025">
      <c r="A7" s="371" t="inlineStr">
        <is>
          <t xml:space="preserve">SEL </t>
        </is>
      </c>
      <c r="B7" s="78" t="n">
        <v>3.9</v>
      </c>
      <c r="C7" s="78">
        <f>B7</f>
        <v/>
      </c>
      <c r="D7" s="349" t="inlineStr">
        <is>
          <t>kg</t>
        </is>
      </c>
      <c r="E7" s="79">
        <f>B7*$E$6</f>
        <v/>
      </c>
      <c r="G7" s="371" t="inlineStr">
        <is>
          <t xml:space="preserve">SEL </t>
        </is>
      </c>
      <c r="H7" s="78" t="n">
        <v>3.9</v>
      </c>
      <c r="I7" s="78">
        <f>H7</f>
        <v/>
      </c>
      <c r="J7" s="349" t="inlineStr">
        <is>
          <t>kg</t>
        </is>
      </c>
      <c r="K7" s="79">
        <f>H7*$K$6</f>
        <v/>
      </c>
      <c r="M7" s="371" t="inlineStr">
        <is>
          <t xml:space="preserve">SEL </t>
        </is>
      </c>
      <c r="N7" s="78" t="n">
        <v>3.9</v>
      </c>
      <c r="O7" s="78">
        <f>N7</f>
        <v/>
      </c>
      <c r="P7" s="349" t="inlineStr">
        <is>
          <t>kg</t>
        </is>
      </c>
      <c r="Q7" s="79">
        <f>N7*$Q$6</f>
        <v/>
      </c>
    </row>
    <row r="8" ht="34.5" customHeight="1" s="1025">
      <c r="A8" s="370" t="inlineStr">
        <is>
          <t>NITRATE DE POTASSIUM</t>
        </is>
      </c>
      <c r="B8" s="80" t="n">
        <v>0.024</v>
      </c>
      <c r="C8" s="80">
        <f>C7+B8</f>
        <v/>
      </c>
      <c r="D8" s="1031" t="inlineStr">
        <is>
          <t>kg</t>
        </is>
      </c>
      <c r="E8" s="79">
        <f>B8*$E$6</f>
        <v/>
      </c>
      <c r="G8" s="370" t="inlineStr">
        <is>
          <t>NITRATE DE POTASSIUM</t>
        </is>
      </c>
      <c r="H8" s="80" t="n">
        <v>0.024</v>
      </c>
      <c r="I8" s="80">
        <f>I7+H8</f>
        <v/>
      </c>
      <c r="J8" s="1031" t="inlineStr">
        <is>
          <t>kg</t>
        </is>
      </c>
      <c r="K8" s="79">
        <f>H8*$K$6</f>
        <v/>
      </c>
      <c r="M8" s="370" t="inlineStr">
        <is>
          <t>NITRATE DE POTASSIUM</t>
        </is>
      </c>
      <c r="N8" s="80" t="n">
        <v>0.024</v>
      </c>
      <c r="O8" s="80">
        <f>O7+N8</f>
        <v/>
      </c>
      <c r="P8" s="1031" t="inlineStr">
        <is>
          <t>kg</t>
        </is>
      </c>
      <c r="Q8" s="79">
        <f>N8*$Q$6</f>
        <v/>
      </c>
    </row>
    <row r="9" ht="34.5" customHeight="1" s="1025">
      <c r="A9" s="371" t="inlineStr">
        <is>
          <t>LACTOSE</t>
        </is>
      </c>
      <c r="B9" s="78" t="n">
        <v>1.5</v>
      </c>
      <c r="C9" s="78">
        <f>C8+B9</f>
        <v/>
      </c>
      <c r="D9" s="349" t="inlineStr">
        <is>
          <t>kg</t>
        </is>
      </c>
      <c r="E9" s="79">
        <f>B9*$E$6</f>
        <v/>
      </c>
      <c r="G9" s="371" t="inlineStr">
        <is>
          <t>LACTOSE</t>
        </is>
      </c>
      <c r="H9" s="78" t="n">
        <v>1.5</v>
      </c>
      <c r="I9" s="78">
        <f>I8+H9</f>
        <v/>
      </c>
      <c r="J9" s="349" t="inlineStr">
        <is>
          <t>kg</t>
        </is>
      </c>
      <c r="K9" s="79">
        <f>H9*$K$6</f>
        <v/>
      </c>
      <c r="M9" s="371" t="inlineStr">
        <is>
          <t>LACTOSE</t>
        </is>
      </c>
      <c r="N9" s="78" t="n">
        <v>1.5</v>
      </c>
      <c r="O9" s="78">
        <f>O8+N9</f>
        <v/>
      </c>
      <c r="P9" s="349" t="inlineStr">
        <is>
          <t>kg</t>
        </is>
      </c>
      <c r="Q9" s="79">
        <f>N9*$Q$6</f>
        <v/>
      </c>
    </row>
    <row r="10" ht="34.5" customHeight="1" s="1025">
      <c r="A10" s="370" t="inlineStr">
        <is>
          <t>DEXTROSE</t>
        </is>
      </c>
      <c r="B10" s="80" t="n">
        <v>0.45</v>
      </c>
      <c r="C10" s="80">
        <f>C9+B10</f>
        <v/>
      </c>
      <c r="D10" s="1031" t="inlineStr">
        <is>
          <t>kg</t>
        </is>
      </c>
      <c r="E10" s="79">
        <f>B10*$E$6</f>
        <v/>
      </c>
      <c r="G10" s="370" t="inlineStr">
        <is>
          <t>DEXTROSE</t>
        </is>
      </c>
      <c r="H10" s="80" t="n">
        <v>0.45</v>
      </c>
      <c r="I10" s="80">
        <f>I9+H10</f>
        <v/>
      </c>
      <c r="J10" s="1031" t="inlineStr">
        <is>
          <t>kg</t>
        </is>
      </c>
      <c r="K10" s="79">
        <f>H10*$K$6</f>
        <v/>
      </c>
      <c r="M10" s="370" t="inlineStr">
        <is>
          <t>DEXTROSE</t>
        </is>
      </c>
      <c r="N10" s="80" t="n">
        <v>0.45</v>
      </c>
      <c r="O10" s="80">
        <f>O9+N10</f>
        <v/>
      </c>
      <c r="P10" s="1031" t="inlineStr">
        <is>
          <t>kg</t>
        </is>
      </c>
      <c r="Q10" s="79">
        <f>N10*$Q$6</f>
        <v/>
      </c>
    </row>
    <row r="11" ht="34.5" customHeight="1" s="1025">
      <c r="A11" s="371" t="inlineStr">
        <is>
          <t>POIVRE BLANC MOULU</t>
        </is>
      </c>
      <c r="B11" s="78" t="n">
        <v>0.2</v>
      </c>
      <c r="C11" s="78">
        <f>C10+B11</f>
        <v/>
      </c>
      <c r="D11" s="349" t="inlineStr">
        <is>
          <t>kg</t>
        </is>
      </c>
      <c r="E11" s="79">
        <f>B11*$E$6</f>
        <v/>
      </c>
      <c r="G11" s="371" t="inlineStr">
        <is>
          <t>POIVRE BLANC MOULU</t>
        </is>
      </c>
      <c r="H11" s="78" t="n">
        <v>0.2</v>
      </c>
      <c r="I11" s="78">
        <f>I10+H11</f>
        <v/>
      </c>
      <c r="J11" s="349" t="inlineStr">
        <is>
          <t>kg</t>
        </is>
      </c>
      <c r="K11" s="79">
        <f>H11*$K$6</f>
        <v/>
      </c>
      <c r="M11" s="371" t="inlineStr">
        <is>
          <t>POIVRE BLANC MOULU</t>
        </is>
      </c>
      <c r="N11" s="78" t="n">
        <v>0.2</v>
      </c>
      <c r="O11" s="78">
        <f>O10+N11</f>
        <v/>
      </c>
      <c r="P11" s="349" t="inlineStr">
        <is>
          <t>kg</t>
        </is>
      </c>
      <c r="Q11" s="79">
        <f>N11*$Q$6</f>
        <v/>
      </c>
    </row>
    <row r="12" ht="34.5" customHeight="1" s="1025" thickBot="1">
      <c r="A12" s="373" t="inlineStr">
        <is>
          <t>AIL SEMOULE</t>
        </is>
      </c>
      <c r="B12" s="354" t="n">
        <v>0.08</v>
      </c>
      <c r="C12" s="354">
        <f>C11+B12</f>
        <v/>
      </c>
      <c r="D12" s="355" t="inlineStr">
        <is>
          <t>kg</t>
        </is>
      </c>
      <c r="E12" s="82">
        <f>B12*$E$6</f>
        <v/>
      </c>
      <c r="G12" s="373" t="inlineStr">
        <is>
          <t>AIL SEMOULE</t>
        </is>
      </c>
      <c r="H12" s="354" t="n">
        <v>0.08</v>
      </c>
      <c r="I12" s="354">
        <f>I11+H12</f>
        <v/>
      </c>
      <c r="J12" s="355" t="inlineStr">
        <is>
          <t>kg</t>
        </is>
      </c>
      <c r="K12" s="82">
        <f>H12*$K$6</f>
        <v/>
      </c>
      <c r="M12" s="373" t="inlineStr">
        <is>
          <t>AIL SEMOULE</t>
        </is>
      </c>
      <c r="N12" s="354" t="n">
        <v>0.08</v>
      </c>
      <c r="O12" s="354">
        <f>O11+N12</f>
        <v/>
      </c>
      <c r="P12" s="355" t="inlineStr">
        <is>
          <t>kg</t>
        </is>
      </c>
      <c r="Q12" s="82">
        <f>N12*$Q$6</f>
        <v/>
      </c>
    </row>
    <row r="13" ht="34.5" customHeight="1" s="1025">
      <c r="A13" s="411" t="inlineStr">
        <is>
          <t>FERMENT MF 244</t>
        </is>
      </c>
      <c r="B13" s="412" t="n">
        <v>1</v>
      </c>
      <c r="C13" s="412">
        <f>B13</f>
        <v/>
      </c>
      <c r="D13" s="51" t="inlineStr">
        <is>
          <t>Sachet</t>
        </is>
      </c>
      <c r="E13" s="38">
        <f>B13*$E$6</f>
        <v/>
      </c>
      <c r="G13" s="411" t="inlineStr">
        <is>
          <t>FERMENT MF 244</t>
        </is>
      </c>
      <c r="H13" s="412" t="n">
        <v>1</v>
      </c>
      <c r="I13" s="412">
        <f>H13</f>
        <v/>
      </c>
      <c r="J13" s="51" t="inlineStr">
        <is>
          <t>Sachet</t>
        </is>
      </c>
      <c r="K13" s="38">
        <f>H13*$K$6</f>
        <v/>
      </c>
      <c r="M13" s="411" t="inlineStr">
        <is>
          <t>FERMENT MF 244</t>
        </is>
      </c>
      <c r="N13" s="412" t="n">
        <v>1</v>
      </c>
      <c r="O13" s="412">
        <f>N13</f>
        <v/>
      </c>
      <c r="P13" s="51" t="inlineStr">
        <is>
          <t>Sachet</t>
        </is>
      </c>
      <c r="Q13" s="38">
        <f>N13*$Q$6</f>
        <v/>
      </c>
    </row>
    <row r="14" ht="24" customHeight="1" s="1025">
      <c r="E14" s="91" t="n"/>
      <c r="K14" s="91" t="n"/>
      <c r="Q14" s="91" t="n"/>
    </row>
    <row r="15" ht="17.25" customHeight="1" s="1025"/>
    <row r="16" ht="17.25" customHeight="1" s="1025"/>
    <row r="17" ht="33.75" customHeight="1" s="1025" thickBot="1">
      <c r="A17" s="96" t="n"/>
      <c r="B17" s="96" t="n"/>
      <c r="C17" s="96" t="n"/>
      <c r="D17" s="113" t="n"/>
      <c r="E17" s="97" t="n"/>
      <c r="U17" s="1047" t="n"/>
    </row>
    <row r="18" ht="31.5" customHeight="1" s="1025" thickBot="1" thickTop="1">
      <c r="A18" s="1038" t="inlineStr">
        <is>
          <t xml:space="preserve">- 7-800g ARTISANAL - </t>
        </is>
      </c>
      <c r="B18" s="902" t="n"/>
      <c r="C18" s="902" t="n"/>
      <c r="D18" s="902" t="n"/>
      <c r="E18" s="426" t="n"/>
      <c r="G18" s="1038" t="inlineStr">
        <is>
          <t>- 3-400g ARTISANAL AILLÉ -</t>
        </is>
      </c>
      <c r="H18" s="902" t="n"/>
      <c r="I18" s="902" t="n"/>
      <c r="J18" s="902" t="n"/>
      <c r="K18" s="426" t="n"/>
    </row>
    <row r="19" ht="40.5" customHeight="1" s="1025" thickBot="1" thickTop="1">
      <c r="A19" s="10" t="n"/>
      <c r="B19" s="9" t="n"/>
      <c r="C19" s="9" t="n"/>
      <c r="G19" s="10" t="n"/>
      <c r="H19" s="9" t="n"/>
      <c r="I19" s="9" t="n"/>
    </row>
    <row r="20" ht="40.5" customHeight="1" s="1025" thickBot="1">
      <c r="A20" s="1019" t="inlineStr">
        <is>
          <t>ASSAISONNEMENT</t>
        </is>
      </c>
      <c r="B20" s="1014" t="inlineStr">
        <is>
          <t>Mêlée de 150 kg</t>
        </is>
      </c>
      <c r="C20" s="1014" t="inlineStr">
        <is>
          <t>Poids cumulés</t>
        </is>
      </c>
      <c r="D20" s="1031" t="inlineStr">
        <is>
          <t>Unités</t>
        </is>
      </c>
      <c r="E20" s="388" t="inlineStr">
        <is>
          <t>Nb Mêlées</t>
        </is>
      </c>
      <c r="G20" s="1019" t="inlineStr">
        <is>
          <t>ASSAISONNEMENT</t>
        </is>
      </c>
      <c r="H20" s="1014" t="inlineStr">
        <is>
          <t>Mêlée de 150 kg</t>
        </is>
      </c>
      <c r="I20" s="1014" t="inlineStr">
        <is>
          <t>Poids cumulés</t>
        </is>
      </c>
      <c r="J20" s="1016" t="inlineStr">
        <is>
          <t>Unités</t>
        </is>
      </c>
      <c r="K20" s="388" t="inlineStr">
        <is>
          <t>Nb Mêlées</t>
        </is>
      </c>
    </row>
    <row r="21" ht="40.5" customHeight="1" s="1025">
      <c r="A21" s="979" t="n"/>
      <c r="B21" s="979" t="n"/>
      <c r="C21" s="979" t="n"/>
      <c r="D21" s="979" t="n"/>
      <c r="E21" s="343">
        <f>'PLANNING DE FABRICATION'!E35</f>
        <v/>
      </c>
      <c r="G21" s="979" t="n"/>
      <c r="H21" s="979" t="n"/>
      <c r="I21" s="979" t="n"/>
      <c r="J21" s="979" t="n"/>
      <c r="K21" s="343">
        <f>'PLANNING DE FABRICATION'!E38</f>
        <v/>
      </c>
    </row>
    <row r="22" ht="40.5" customHeight="1" s="1025">
      <c r="A22" s="371" t="inlineStr">
        <is>
          <t xml:space="preserve">SEL </t>
        </is>
      </c>
      <c r="B22" s="78" t="n">
        <v>3.9</v>
      </c>
      <c r="C22" s="78">
        <f>B22</f>
        <v/>
      </c>
      <c r="D22" s="349" t="inlineStr">
        <is>
          <t>kg</t>
        </is>
      </c>
      <c r="E22" s="79">
        <f>B22*$E$21</f>
        <v/>
      </c>
      <c r="G22" s="425" t="inlineStr">
        <is>
          <t xml:space="preserve">SEL </t>
        </is>
      </c>
      <c r="H22" s="78" t="n">
        <v>3.9</v>
      </c>
      <c r="I22" s="78">
        <f>H22</f>
        <v/>
      </c>
      <c r="J22" s="349" t="inlineStr">
        <is>
          <t>kg</t>
        </is>
      </c>
      <c r="K22" s="79">
        <f>H22*$K$21</f>
        <v/>
      </c>
    </row>
    <row r="23" ht="36" customHeight="1" s="1025">
      <c r="A23" s="370" t="inlineStr">
        <is>
          <t>NITRATE DE POTASSIUM</t>
        </is>
      </c>
      <c r="B23" s="80" t="n">
        <v>0.024</v>
      </c>
      <c r="C23" s="80">
        <f>C22+B23</f>
        <v/>
      </c>
      <c r="D23" s="1031" t="inlineStr">
        <is>
          <t>kg</t>
        </is>
      </c>
      <c r="E23" s="79">
        <f>B23*$E$21</f>
        <v/>
      </c>
      <c r="G23" s="370" t="inlineStr">
        <is>
          <t>NITRATE DE POTASSIUM</t>
        </is>
      </c>
      <c r="H23" s="80" t="n">
        <v>0.024</v>
      </c>
      <c r="I23" s="80">
        <f>I22+H23</f>
        <v/>
      </c>
      <c r="J23" s="1031" t="inlineStr">
        <is>
          <t>kg</t>
        </is>
      </c>
      <c r="K23" s="79">
        <f>H23*$K$21</f>
        <v/>
      </c>
    </row>
    <row r="24" ht="36" customHeight="1" s="1025">
      <c r="A24" s="371" t="inlineStr">
        <is>
          <t>LACTOSE</t>
        </is>
      </c>
      <c r="B24" s="78" t="n">
        <v>1.5</v>
      </c>
      <c r="C24" s="78">
        <f>C23+B24</f>
        <v/>
      </c>
      <c r="D24" s="349" t="inlineStr">
        <is>
          <t>kg</t>
        </is>
      </c>
      <c r="E24" s="79">
        <f>B24*$E$21</f>
        <v/>
      </c>
      <c r="G24" s="371" t="inlineStr">
        <is>
          <t>LACTOSE</t>
        </is>
      </c>
      <c r="H24" s="78" t="n">
        <v>1.5</v>
      </c>
      <c r="I24" s="78">
        <f>I23+H24</f>
        <v/>
      </c>
      <c r="J24" s="349" t="inlineStr">
        <is>
          <t>kg</t>
        </is>
      </c>
      <c r="K24" s="79">
        <f>H24*$K$21</f>
        <v/>
      </c>
    </row>
    <row r="25" ht="36" customHeight="1" s="1025">
      <c r="A25" s="370" t="inlineStr">
        <is>
          <t>DEXTROSE</t>
        </is>
      </c>
      <c r="B25" s="80" t="n">
        <v>0.45</v>
      </c>
      <c r="C25" s="80">
        <f>C24+B25</f>
        <v/>
      </c>
      <c r="D25" s="1031" t="inlineStr">
        <is>
          <t>kg</t>
        </is>
      </c>
      <c r="E25" s="79">
        <f>B25*$E$21</f>
        <v/>
      </c>
      <c r="G25" s="370" t="inlineStr">
        <is>
          <t>DEXTROSE</t>
        </is>
      </c>
      <c r="H25" s="80" t="n">
        <v>0.45</v>
      </c>
      <c r="I25" s="80">
        <f>I24+H25</f>
        <v/>
      </c>
      <c r="J25" s="1031" t="inlineStr">
        <is>
          <t>kg</t>
        </is>
      </c>
      <c r="K25" s="79">
        <f>H25*$K$21</f>
        <v/>
      </c>
    </row>
    <row r="26" ht="36" customHeight="1" s="1025">
      <c r="A26" s="371" t="inlineStr">
        <is>
          <t>POIVRE BLANC MOULU</t>
        </is>
      </c>
      <c r="B26" s="78" t="n">
        <v>0.25</v>
      </c>
      <c r="C26" s="78">
        <f>C25+B26</f>
        <v/>
      </c>
      <c r="D26" s="349" t="inlineStr">
        <is>
          <t>kg</t>
        </is>
      </c>
      <c r="E26" s="79">
        <f>B26*$E$21</f>
        <v/>
      </c>
      <c r="G26" s="371" t="inlineStr">
        <is>
          <t>POIVRE BLANC MOULU</t>
        </is>
      </c>
      <c r="H26" s="78" t="n">
        <v>0.2</v>
      </c>
      <c r="I26" s="78">
        <f>I25+H26</f>
        <v/>
      </c>
      <c r="J26" s="349" t="inlineStr">
        <is>
          <t>kg</t>
        </is>
      </c>
      <c r="K26" s="79">
        <f>H26*$K$21</f>
        <v/>
      </c>
    </row>
    <row r="27" ht="36" customHeight="1" s="1025" thickBot="1">
      <c r="A27" s="373" t="inlineStr">
        <is>
          <t>AIL SEMOULE</t>
        </is>
      </c>
      <c r="B27" s="354" t="n">
        <v>0.08</v>
      </c>
      <c r="C27" s="354">
        <f>C26+B27</f>
        <v/>
      </c>
      <c r="D27" s="355" t="inlineStr">
        <is>
          <t>kg</t>
        </is>
      </c>
      <c r="E27" s="82">
        <f>B27*$E$21</f>
        <v/>
      </c>
      <c r="G27" s="373" t="inlineStr">
        <is>
          <t>AIL SEMOULE</t>
        </is>
      </c>
      <c r="H27" s="354" t="n">
        <v>0.08</v>
      </c>
      <c r="I27" s="354">
        <f>I26+H27</f>
        <v/>
      </c>
      <c r="J27" s="355" t="inlineStr">
        <is>
          <t>kg</t>
        </is>
      </c>
      <c r="K27" s="82">
        <f>H27*$K$21</f>
        <v/>
      </c>
    </row>
    <row r="28" ht="36" customHeight="1" s="1025" thickBot="1">
      <c r="A28" s="411" t="inlineStr">
        <is>
          <t>FERMENT MF 244</t>
        </is>
      </c>
      <c r="B28" s="412" t="n">
        <v>1</v>
      </c>
      <c r="C28" s="412">
        <f>B28</f>
        <v/>
      </c>
      <c r="D28" s="51" t="inlineStr">
        <is>
          <t>Sachet</t>
        </is>
      </c>
      <c r="E28" s="38">
        <f>B28*$E$21</f>
        <v/>
      </c>
      <c r="G28" s="411" t="inlineStr">
        <is>
          <t>FERMENT MF 244</t>
        </is>
      </c>
      <c r="H28" s="412" t="n">
        <v>1</v>
      </c>
      <c r="I28" s="412">
        <f>H28</f>
        <v/>
      </c>
      <c r="J28" s="51" t="inlineStr">
        <is>
          <t>Sachet</t>
        </is>
      </c>
      <c r="K28" s="38">
        <f>H28*$K$21</f>
        <v/>
      </c>
    </row>
    <row r="29" ht="36" customHeight="1" s="1025">
      <c r="E29" s="91" t="n"/>
      <c r="G29" s="379" t="inlineStr">
        <is>
          <t>Ingrédient</t>
        </is>
      </c>
      <c r="H29" s="377" t="n">
        <v>0.52</v>
      </c>
      <c r="I29" s="377">
        <f>H29</f>
        <v/>
      </c>
      <c r="J29" s="392" t="inlineStr">
        <is>
          <t>kg</t>
        </is>
      </c>
      <c r="K29" s="38">
        <f>H29*$K$21</f>
        <v/>
      </c>
      <c r="Q29" s="1047" t="n"/>
      <c r="R29" s="91" t="n"/>
    </row>
    <row r="30" ht="36" customHeight="1" s="1025">
      <c r="K30" s="91" t="n"/>
    </row>
    <row r="31" ht="36" customHeight="1" s="1025"/>
  </sheetData>
  <sheetProtection selectLockedCells="0" selectUnlockedCells="0" algorithmName="SHA-512" sheet="1" objects="1" insertRows="1" insertHyperlinks="1" autoFilter="1" scenarios="1" formatColumns="1" deleteColumns="1" insertColumns="1" pivotTables="1" deleteRows="1" formatCells="1" saltValue="F5lg4Ca80JMt9bDpig4XRg==" formatRows="1" sort="1" spinCount="100000" hashValue="b6eB6vi0EIICAqsMNbV2z7eJ/XTvRnnYKo3wGeuzCOCjc+MnbmGbrjYw0GaQzrc50nK+JwD7OPRakF7wGOdjvw=="/>
  <mergeCells count="28">
    <mergeCell ref="O5:O6"/>
    <mergeCell ref="M3:P3"/>
    <mergeCell ref="C20:C21"/>
    <mergeCell ref="N5:N6"/>
    <mergeCell ref="L1:Q1"/>
    <mergeCell ref="J20:J21"/>
    <mergeCell ref="G20:G21"/>
    <mergeCell ref="I5:I6"/>
    <mergeCell ref="A5:A6"/>
    <mergeCell ref="G5:G6"/>
    <mergeCell ref="I20:I21"/>
    <mergeCell ref="A20:A21"/>
    <mergeCell ref="B20:B21"/>
    <mergeCell ref="D20:D21"/>
    <mergeCell ref="B5:B6"/>
    <mergeCell ref="D5:D6"/>
    <mergeCell ref="P5:P6"/>
    <mergeCell ref="A18:D18"/>
    <mergeCell ref="G18:J18"/>
    <mergeCell ref="H5:H6"/>
    <mergeCell ref="J5:J6"/>
    <mergeCell ref="G3:J3"/>
    <mergeCell ref="A1:F1"/>
    <mergeCell ref="A3:D3"/>
    <mergeCell ref="G1:K1"/>
    <mergeCell ref="H20:H21"/>
    <mergeCell ref="C5:C6"/>
    <mergeCell ref="M5:M6"/>
  </mergeCells>
  <printOptions horizontalCentered="1" verticalCentered="1"/>
  <pageMargins left="0.2362204724409449" right="0.2362204724409449" top="0.7480314960629921" bottom="0.7480314960629921" header="0.3149606299212598" footer="0.3149606299212598"/>
  <pageSetup orientation="portrait" paperSize="9" scale="82"/>
  <legacyDrawing xmlns:r="http://schemas.openxmlformats.org/officeDocument/2006/relationships" r:id="anysvml"/>
</worksheet>
</file>

<file path=xl/worksheets/sheet14.xml><?xml version="1.0" encoding="utf-8"?>
<worksheet xmlns="http://schemas.openxmlformats.org/spreadsheetml/2006/main">
  <sheetPr codeName="Sheet13">
    <tabColor rgb="FF00B050"/>
    <outlinePr summaryBelow="1" summaryRight="1"/>
    <pageSetUpPr fitToPage="1"/>
  </sheetPr>
  <dimension ref="A2:S40"/>
  <sheetViews>
    <sheetView topLeftCell="A16" zoomScale="55" zoomScaleNormal="55" workbookViewId="0">
      <selection activeCell="A17" sqref="A17:D27"/>
    </sheetView>
  </sheetViews>
  <sheetFormatPr baseColWidth="8" defaultColWidth="11.5546875" defaultRowHeight="14.4"/>
  <cols>
    <col width="31" bestFit="1" customWidth="1" style="1025" min="1" max="1"/>
    <col width="15.44140625" customWidth="1" style="1025" min="2" max="3"/>
    <col width="6.6640625" customWidth="1" style="1047" min="4" max="4"/>
    <col width="6.109375" customWidth="1" style="1025" min="5" max="5"/>
    <col width="15.44140625" customWidth="1" style="1025" min="6" max="7"/>
    <col width="36.5546875" customWidth="1" style="1025" min="9" max="9"/>
    <col width="15.44140625" customWidth="1" style="1025" min="10" max="11"/>
    <col width="6.33203125" customWidth="1" style="1025" min="12" max="12"/>
    <col width="15.44140625" customWidth="1" style="1025" min="13" max="13"/>
    <col width="38" customWidth="1" style="1025" min="15" max="15"/>
    <col width="14.88671875" customWidth="1" style="1025" min="16" max="17"/>
    <col width="8.109375" customWidth="1" style="1025" min="18" max="18"/>
    <col width="15.5546875" customWidth="1" style="1025" min="19" max="19"/>
  </cols>
  <sheetData>
    <row r="1" ht="15.75" customHeight="1" s="1025" thickBot="1"/>
    <row r="2" ht="28.5" customHeight="1" s="1025" thickBot="1" thickTop="1">
      <c r="A2" s="1054" t="inlineStr">
        <is>
          <t>- ROSETTE KILO -</t>
        </is>
      </c>
      <c r="B2" s="902" t="n"/>
      <c r="C2" s="902" t="n"/>
      <c r="D2" s="902" t="n"/>
      <c r="E2" s="431" t="n"/>
      <c r="F2" s="431" t="n"/>
      <c r="G2" s="432" t="n"/>
      <c r="I2" s="1054" t="inlineStr">
        <is>
          <t>- HM 650 g -</t>
        </is>
      </c>
      <c r="J2" s="902" t="n"/>
      <c r="K2" s="902" t="n"/>
      <c r="L2" s="902" t="n"/>
      <c r="M2" s="431" t="n"/>
      <c r="O2" s="1055" t="inlineStr">
        <is>
          <t>- BN 200 -</t>
        </is>
      </c>
      <c r="P2" s="902" t="n"/>
      <c r="Q2" s="902" t="n"/>
      <c r="R2" s="902" t="n"/>
      <c r="S2" s="430" t="n"/>
    </row>
    <row r="3" ht="13.5" customHeight="1" s="1025" thickBot="1" thickTop="1">
      <c r="A3" s="10" t="n"/>
      <c r="B3" s="9" t="n"/>
      <c r="C3" s="9" t="n"/>
      <c r="I3" s="10" t="n"/>
      <c r="J3" s="9" t="n"/>
      <c r="K3" s="9" t="n"/>
      <c r="L3" s="1047" t="n"/>
      <c r="O3" s="10" t="n"/>
      <c r="P3" s="9" t="n"/>
      <c r="Q3" s="9" t="n"/>
      <c r="R3" s="1047" t="n"/>
    </row>
    <row r="4" ht="44.25" customHeight="1" s="1025" thickBot="1">
      <c r="A4" s="1043" t="inlineStr">
        <is>
          <t>ASSAISONNEMENT</t>
        </is>
      </c>
      <c r="B4" s="1042" t="inlineStr">
        <is>
          <t>Mêlée de 150 kg</t>
        </is>
      </c>
      <c r="C4" s="1049" t="inlineStr">
        <is>
          <t>Poids cumulés</t>
        </is>
      </c>
      <c r="D4" s="1048" t="inlineStr">
        <is>
          <t>Unités</t>
        </is>
      </c>
      <c r="E4" s="1050" t="inlineStr">
        <is>
          <t>Unité</t>
        </is>
      </c>
      <c r="F4" s="92" t="inlineStr">
        <is>
          <t>Nb Mêlées</t>
        </is>
      </c>
      <c r="G4" s="1052" t="inlineStr">
        <is>
          <t>Prix assais.</t>
        </is>
      </c>
      <c r="I4" s="1043" t="inlineStr">
        <is>
          <t>ASSAISONNEMENT</t>
        </is>
      </c>
      <c r="J4" s="1042" t="inlineStr">
        <is>
          <t>Mêlée de 150 kg</t>
        </is>
      </c>
      <c r="K4" s="1049" t="inlineStr">
        <is>
          <t>Poids cumulés</t>
        </is>
      </c>
      <c r="L4" s="1048" t="inlineStr">
        <is>
          <t>Unités</t>
        </is>
      </c>
      <c r="M4" s="92" t="inlineStr">
        <is>
          <t>Nb Mêlées</t>
        </is>
      </c>
      <c r="O4" s="1043" t="inlineStr">
        <is>
          <t>ASSAISONNEMENT</t>
        </is>
      </c>
      <c r="P4" s="1042" t="inlineStr">
        <is>
          <t>Mêlée de 150 kg</t>
        </is>
      </c>
      <c r="Q4" s="1049" t="inlineStr">
        <is>
          <t>Poids cumulés</t>
        </is>
      </c>
      <c r="R4" s="1048" t="inlineStr">
        <is>
          <t>Unités</t>
        </is>
      </c>
      <c r="S4" s="92" t="inlineStr">
        <is>
          <t>Nb Mêlées</t>
        </is>
      </c>
    </row>
    <row r="5" ht="34.5" customHeight="1" s="1025" thickBot="1">
      <c r="A5" s="1044" t="n"/>
      <c r="B5" s="1034" t="n"/>
      <c r="C5" s="987" t="n"/>
      <c r="D5" s="1034" t="n"/>
      <c r="F5" s="34">
        <f>'PLANNING DE FABRICATION'!E59</f>
        <v/>
      </c>
      <c r="G5" s="954" t="n"/>
      <c r="I5" s="1044" t="n"/>
      <c r="J5" s="1034" t="n"/>
      <c r="K5" s="987" t="n"/>
      <c r="L5" s="1034" t="n"/>
      <c r="M5" s="34">
        <f>'PLANNING DE FABRICATION'!E56</f>
        <v/>
      </c>
      <c r="O5" s="1044" t="n"/>
      <c r="P5" s="1034" t="n"/>
      <c r="Q5" s="987" t="n"/>
      <c r="R5" s="1034" t="n"/>
      <c r="S5" s="34">
        <f>'PLANNING DE FABRICATION'!E61</f>
        <v/>
      </c>
    </row>
    <row r="6" ht="43.5" customHeight="1" s="1025">
      <c r="A6" s="120" t="inlineStr">
        <is>
          <t xml:space="preserve">SEL </t>
        </is>
      </c>
      <c r="B6" s="111" t="n">
        <v>4.65</v>
      </c>
      <c r="C6" s="111">
        <f>B6</f>
        <v/>
      </c>
      <c r="D6" s="304" t="inlineStr">
        <is>
          <t>kg</t>
        </is>
      </c>
      <c r="E6" s="304" t="inlineStr">
        <is>
          <t>€ HT</t>
        </is>
      </c>
      <c r="F6" s="72">
        <f>B6*$F$5</f>
        <v/>
      </c>
      <c r="G6" s="73">
        <f>#REF!*F6</f>
        <v/>
      </c>
      <c r="I6" s="120" t="inlineStr">
        <is>
          <t xml:space="preserve">SEL </t>
        </is>
      </c>
      <c r="J6" s="111" t="n">
        <v>4.5</v>
      </c>
      <c r="K6" s="111">
        <f>J6</f>
        <v/>
      </c>
      <c r="L6" s="304" t="inlineStr">
        <is>
          <t>kg</t>
        </is>
      </c>
      <c r="M6" s="72">
        <f>J6*$M$5</f>
        <v/>
      </c>
      <c r="O6" s="120" t="inlineStr">
        <is>
          <t>SEL NITRITE</t>
        </is>
      </c>
      <c r="P6" s="312" t="n">
        <v>1.5</v>
      </c>
      <c r="Q6" s="312">
        <f>P6</f>
        <v/>
      </c>
      <c r="R6" s="304" t="inlineStr">
        <is>
          <t>kg</t>
        </is>
      </c>
      <c r="S6" s="72">
        <f>P6*$S$5</f>
        <v/>
      </c>
    </row>
    <row r="7" ht="43.5" customHeight="1" s="1025">
      <c r="A7" s="121" t="inlineStr">
        <is>
          <t>NITRATE DE POTASSIUM</t>
        </is>
      </c>
      <c r="B7" s="13" t="n">
        <v>0.03</v>
      </c>
      <c r="C7" s="13">
        <f>C6+B7</f>
        <v/>
      </c>
      <c r="D7" s="65" t="inlineStr">
        <is>
          <t>kg</t>
        </is>
      </c>
      <c r="E7" s="65" t="inlineStr">
        <is>
          <t>€ HT</t>
        </is>
      </c>
      <c r="F7" s="56">
        <f>B7*$F$5</f>
        <v/>
      </c>
      <c r="G7" s="74">
        <f>#REF!*F7</f>
        <v/>
      </c>
      <c r="I7" s="121" t="inlineStr">
        <is>
          <t>NITRATE DE POTASSIUM</t>
        </is>
      </c>
      <c r="J7" s="13" t="n">
        <v>0.03</v>
      </c>
      <c r="K7" s="13">
        <f>K6+J7</f>
        <v/>
      </c>
      <c r="L7" s="65" t="inlineStr">
        <is>
          <t>kg</t>
        </is>
      </c>
      <c r="M7" s="56">
        <f>J7*$M$5</f>
        <v/>
      </c>
      <c r="O7" s="121" t="inlineStr">
        <is>
          <t xml:space="preserve">SEL </t>
        </is>
      </c>
      <c r="P7" s="15" t="n">
        <v>2.4</v>
      </c>
      <c r="Q7" s="15">
        <f>Q6+P7</f>
        <v/>
      </c>
      <c r="R7" s="65" t="inlineStr">
        <is>
          <t>kg</t>
        </is>
      </c>
      <c r="S7" s="56">
        <f>P7*$S$5</f>
        <v/>
      </c>
    </row>
    <row r="8" ht="43.5" customHeight="1" s="1025">
      <c r="A8" s="122" t="inlineStr">
        <is>
          <t>LACTOSE</t>
        </is>
      </c>
      <c r="B8" s="55" t="n">
        <v>0.5</v>
      </c>
      <c r="C8" s="55">
        <f>C7+B8</f>
        <v/>
      </c>
      <c r="D8" s="81" t="inlineStr">
        <is>
          <t>kg</t>
        </is>
      </c>
      <c r="E8" s="81" t="inlineStr">
        <is>
          <t>€ HT</t>
        </is>
      </c>
      <c r="F8" s="56">
        <f>B8*$F$5</f>
        <v/>
      </c>
      <c r="G8" s="74">
        <f>#REF!*F8</f>
        <v/>
      </c>
      <c r="I8" s="122" t="inlineStr">
        <is>
          <t>LACTOSE</t>
        </is>
      </c>
      <c r="J8" s="55" t="n">
        <v>1.5</v>
      </c>
      <c r="K8" s="55">
        <f>K7+J8</f>
        <v/>
      </c>
      <c r="L8" s="81" t="inlineStr">
        <is>
          <t>kg</t>
        </is>
      </c>
      <c r="M8" s="56">
        <f>J8*$M$5</f>
        <v/>
      </c>
      <c r="O8" s="122" t="inlineStr">
        <is>
          <t>NITRATE DE POTASSIUM</t>
        </is>
      </c>
      <c r="P8" s="84" t="n">
        <v>0.018</v>
      </c>
      <c r="Q8" s="84">
        <f>Q7+P8</f>
        <v/>
      </c>
      <c r="R8" s="81" t="inlineStr">
        <is>
          <t>kg</t>
        </is>
      </c>
      <c r="S8" s="56">
        <f>P8*$S$5</f>
        <v/>
      </c>
    </row>
    <row r="9" ht="43.5" customHeight="1" s="1025">
      <c r="A9" s="121" t="inlineStr">
        <is>
          <t>DEXTROSE</t>
        </is>
      </c>
      <c r="B9" s="13" t="n">
        <v>0.5</v>
      </c>
      <c r="C9" s="13">
        <f>C8+B9</f>
        <v/>
      </c>
      <c r="D9" s="65" t="inlineStr">
        <is>
          <t>kg</t>
        </is>
      </c>
      <c r="E9" s="65" t="inlineStr">
        <is>
          <t>€ HT</t>
        </is>
      </c>
      <c r="F9" s="56">
        <f>B9*$F$5</f>
        <v/>
      </c>
      <c r="G9" s="74">
        <f>#REF!*F9</f>
        <v/>
      </c>
      <c r="I9" s="121" t="inlineStr">
        <is>
          <t>DEXTROSE</t>
        </is>
      </c>
      <c r="J9" s="13" t="n">
        <v>0.3</v>
      </c>
      <c r="K9" s="13">
        <f>K8+J9</f>
        <v/>
      </c>
      <c r="L9" s="65" t="inlineStr">
        <is>
          <t>kg</t>
        </is>
      </c>
      <c r="M9" s="56">
        <f>J9*$M$5</f>
        <v/>
      </c>
      <c r="O9" s="121" t="inlineStr">
        <is>
          <t>LACTOSE</t>
        </is>
      </c>
      <c r="P9" s="15" t="n">
        <v>1.5</v>
      </c>
      <c r="Q9" s="15">
        <f>Q8+P9</f>
        <v/>
      </c>
      <c r="R9" s="65" t="inlineStr">
        <is>
          <t>kg</t>
        </is>
      </c>
      <c r="S9" s="56">
        <f>P9*$S$5</f>
        <v/>
      </c>
    </row>
    <row r="10" ht="43.5" customHeight="1" s="1025">
      <c r="A10" s="122" t="inlineStr">
        <is>
          <t>POIVRE BLANC MOULU</t>
        </is>
      </c>
      <c r="B10" s="55" t="n">
        <v>0.25</v>
      </c>
      <c r="C10" s="55">
        <f>C9+B10</f>
        <v/>
      </c>
      <c r="D10" s="81" t="inlineStr">
        <is>
          <t>kg</t>
        </is>
      </c>
      <c r="E10" s="81" t="inlineStr">
        <is>
          <t>€ HT</t>
        </is>
      </c>
      <c r="F10" s="56">
        <f>B10*$F$5</f>
        <v/>
      </c>
      <c r="G10" s="74">
        <f>#REF!*F10</f>
        <v/>
      </c>
      <c r="I10" s="122" t="inlineStr">
        <is>
          <t>POIVRE BLANC MOULU</t>
        </is>
      </c>
      <c r="J10" s="55" t="n">
        <v>0.25</v>
      </c>
      <c r="K10" s="55">
        <f>K9+J10</f>
        <v/>
      </c>
      <c r="L10" s="81" t="inlineStr">
        <is>
          <t>kg</t>
        </is>
      </c>
      <c r="M10" s="56">
        <f>J10*$M$5</f>
        <v/>
      </c>
      <c r="O10" s="122" t="inlineStr">
        <is>
          <t>DEXTROSE</t>
        </is>
      </c>
      <c r="P10" s="84" t="n">
        <v>0.45</v>
      </c>
      <c r="Q10" s="84">
        <f>Q9+P10</f>
        <v/>
      </c>
      <c r="R10" s="81" t="inlineStr">
        <is>
          <t>kg</t>
        </is>
      </c>
      <c r="S10" s="56">
        <f>P10*$S$5</f>
        <v/>
      </c>
    </row>
    <row r="11" ht="43.5" customHeight="1" s="1025" thickBot="1">
      <c r="A11" s="126" t="inlineStr">
        <is>
          <t>AIL SEMOULE</t>
        </is>
      </c>
      <c r="B11" s="75" t="n">
        <v>0.08</v>
      </c>
      <c r="C11" s="59">
        <f>C10+B11</f>
        <v/>
      </c>
      <c r="D11" s="71" t="inlineStr">
        <is>
          <t>kg</t>
        </is>
      </c>
      <c r="E11" s="71" t="inlineStr">
        <is>
          <t>€ HT</t>
        </is>
      </c>
      <c r="F11" s="58">
        <f>B11*$F$5</f>
        <v/>
      </c>
      <c r="G11" s="76">
        <f>#REF!*F11</f>
        <v/>
      </c>
      <c r="I11" s="121" t="inlineStr">
        <is>
          <t>SACCHAROSE</t>
        </is>
      </c>
      <c r="J11" s="13" t="n">
        <v>0.3</v>
      </c>
      <c r="K11" s="13">
        <f>K10+J11</f>
        <v/>
      </c>
      <c r="L11" s="65" t="inlineStr">
        <is>
          <t>kg</t>
        </is>
      </c>
      <c r="M11" s="56">
        <f>J11*$M$5</f>
        <v/>
      </c>
      <c r="O11" s="121" t="inlineStr">
        <is>
          <t>POIVRE BLANC MOULU</t>
        </is>
      </c>
      <c r="P11" s="15" t="n">
        <v>0.25</v>
      </c>
      <c r="Q11" s="15">
        <f>Q10+P11</f>
        <v/>
      </c>
      <c r="R11" s="65" t="inlineStr">
        <is>
          <t>kg</t>
        </is>
      </c>
      <c r="S11" s="56">
        <f>P11*$S$5</f>
        <v/>
      </c>
    </row>
    <row r="12" ht="43.5" customHeight="1" s="1025" thickBot="1">
      <c r="A12" s="305" t="inlineStr">
        <is>
          <t>FERMENT MF 244</t>
        </is>
      </c>
      <c r="B12" s="306" t="n">
        <v>1</v>
      </c>
      <c r="C12" s="302">
        <f>B12</f>
        <v/>
      </c>
      <c r="D12" s="307" t="inlineStr">
        <is>
          <t>Sachet</t>
        </is>
      </c>
      <c r="E12" s="308" t="inlineStr">
        <is>
          <t>€ HT</t>
        </is>
      </c>
      <c r="F12" s="87">
        <f>B12*$F$5</f>
        <v/>
      </c>
      <c r="G12" s="88">
        <f>#REF!*F12</f>
        <v/>
      </c>
      <c r="I12" s="127" t="inlineStr">
        <is>
          <t>AIL SEMOULE</t>
        </is>
      </c>
      <c r="J12" s="115" t="n">
        <v>0.08</v>
      </c>
      <c r="K12" s="303">
        <f>K11+J12</f>
        <v/>
      </c>
      <c r="L12" s="94" t="inlineStr">
        <is>
          <t>kg</t>
        </is>
      </c>
      <c r="M12" s="58">
        <f>J12*$M$5</f>
        <v/>
      </c>
      <c r="O12" s="127" t="inlineStr">
        <is>
          <t>AIL SEMOULE</t>
        </is>
      </c>
      <c r="P12" s="115" t="n">
        <v>0.08</v>
      </c>
      <c r="Q12" s="310">
        <f>Q11+P12</f>
        <v/>
      </c>
      <c r="R12" s="94" t="inlineStr">
        <is>
          <t>kg</t>
        </is>
      </c>
      <c r="S12" s="58">
        <f>P12*$S$5</f>
        <v/>
      </c>
    </row>
    <row r="13" ht="39" customHeight="1" s="1025" thickBot="1">
      <c r="E13" s="67" t="n"/>
      <c r="F13" s="83" t="n"/>
      <c r="G13" s="90">
        <f>SUM(G6:G12)</f>
        <v/>
      </c>
      <c r="I13" s="130" t="inlineStr">
        <is>
          <t>FERMENT MF 244</t>
        </is>
      </c>
      <c r="J13" s="110" t="n">
        <v>1</v>
      </c>
      <c r="K13" s="61">
        <f>J13</f>
        <v/>
      </c>
      <c r="L13" s="112" t="inlineStr">
        <is>
          <t>Sachet</t>
        </is>
      </c>
      <c r="M13" s="87">
        <f>J13*$M$5</f>
        <v/>
      </c>
      <c r="O13" s="130" t="inlineStr">
        <is>
          <t>FERMENT MF 244</t>
        </is>
      </c>
      <c r="P13" s="110" t="n">
        <v>1</v>
      </c>
      <c r="Q13" s="61">
        <f>P13</f>
        <v/>
      </c>
      <c r="R13" s="114" t="inlineStr">
        <is>
          <t>Sachet</t>
        </is>
      </c>
      <c r="S13" s="87">
        <f>P13*$S$5</f>
        <v/>
      </c>
    </row>
    <row r="14" ht="21.75" customHeight="1" s="1025">
      <c r="I14" s="83" t="n"/>
      <c r="J14" s="53" t="n"/>
      <c r="K14" s="53" t="n"/>
      <c r="L14" s="1008" t="n"/>
      <c r="M14" s="83" t="n"/>
      <c r="R14" s="67" t="n"/>
      <c r="S14" s="83" t="n"/>
    </row>
    <row r="15" ht="24.75" customHeight="1" s="1025">
      <c r="R15" s="1047" t="n"/>
    </row>
    <row r="16" ht="12" customHeight="1" s="1025" thickBot="1">
      <c r="R16" s="1047" t="n"/>
    </row>
    <row r="17" ht="39" customHeight="1" s="1025" thickBot="1">
      <c r="A17" s="1046" t="inlineStr">
        <is>
          <t xml:space="preserve">- CLIPPES : MINI ROSETTE - </t>
        </is>
      </c>
      <c r="E17" s="429" t="n"/>
      <c r="F17" s="429" t="n"/>
      <c r="G17" s="429" t="n"/>
      <c r="I17" s="1046" t="inlineStr">
        <is>
          <t>- CLIPPES : SAUCISSE DROITE -</t>
        </is>
      </c>
      <c r="M17" s="429" t="n"/>
      <c r="O17" s="1051" t="inlineStr">
        <is>
          <t>- HM 3-400g -</t>
        </is>
      </c>
      <c r="P17" s="919" t="n"/>
      <c r="Q17" s="919" t="n"/>
      <c r="R17" s="919" t="n"/>
      <c r="S17" s="427" t="n"/>
    </row>
    <row r="18" ht="32.25" customHeight="1" s="1025" thickBot="1">
      <c r="A18" s="10" t="n"/>
      <c r="B18" s="9" t="n"/>
      <c r="C18" s="9" t="n"/>
      <c r="I18" s="10" t="n"/>
      <c r="J18" s="9" t="n"/>
      <c r="K18" s="9" t="n"/>
      <c r="L18" s="1047" t="n"/>
      <c r="O18" s="10" t="n"/>
      <c r="P18" s="9" t="n"/>
      <c r="Q18" s="9" t="n"/>
    </row>
    <row r="19" ht="32.25" customHeight="1" s="1025" thickBot="1">
      <c r="A19" s="1043" t="inlineStr">
        <is>
          <t>ASSAISONNEMENT</t>
        </is>
      </c>
      <c r="B19" s="1042" t="inlineStr">
        <is>
          <t>Mêlée de 150 kg</t>
        </is>
      </c>
      <c r="C19" s="1045" t="inlineStr">
        <is>
          <t>Poids cumulés</t>
        </is>
      </c>
      <c r="D19" s="1053" t="inlineStr">
        <is>
          <t>Unités</t>
        </is>
      </c>
      <c r="E19" s="1050" t="inlineStr">
        <is>
          <t>Unité</t>
        </is>
      </c>
      <c r="F19" s="92" t="inlineStr">
        <is>
          <t>Nb Mêlées</t>
        </is>
      </c>
      <c r="G19" s="1052" t="inlineStr">
        <is>
          <t>Prix assais.</t>
        </is>
      </c>
      <c r="I19" s="1043" t="inlineStr">
        <is>
          <t>ASSAISONNEMENT</t>
        </is>
      </c>
      <c r="J19" s="1042" t="inlineStr">
        <is>
          <t>Mêlée de 150 kg</t>
        </is>
      </c>
      <c r="K19" s="1045" t="inlineStr">
        <is>
          <t>Poids cumulés</t>
        </is>
      </c>
      <c r="L19" s="1053" t="inlineStr">
        <is>
          <t>Unités</t>
        </is>
      </c>
      <c r="M19" s="92" t="inlineStr">
        <is>
          <t>Nb Mêlées</t>
        </is>
      </c>
      <c r="O19" s="1019" t="inlineStr">
        <is>
          <t>ASSAISONNEMENT</t>
        </is>
      </c>
      <c r="P19" s="1014" t="inlineStr">
        <is>
          <t>Mêlée de 150 kg</t>
        </is>
      </c>
      <c r="Q19" s="1014" t="inlineStr">
        <is>
          <t>Poids cumulés</t>
        </is>
      </c>
      <c r="R19" s="1021" t="inlineStr">
        <is>
          <t>Unités</t>
        </is>
      </c>
      <c r="S19" s="388" t="inlineStr">
        <is>
          <t>Nb Mêlées</t>
        </is>
      </c>
    </row>
    <row r="20" ht="32.25" customHeight="1" s="1025" thickBot="1">
      <c r="A20" s="1044" t="n"/>
      <c r="B20" s="1034" t="n"/>
      <c r="C20" s="979" t="n"/>
      <c r="D20" s="1034" t="n"/>
      <c r="F20" s="34">
        <f>'PLANNING DE FABRICATION'!E58</f>
        <v/>
      </c>
      <c r="G20" s="954" t="n"/>
      <c r="I20" s="1044" t="n"/>
      <c r="J20" s="1034" t="n"/>
      <c r="K20" s="979" t="n"/>
      <c r="L20" s="1034" t="n"/>
      <c r="M20" s="34">
        <f>'PLANNING DE FABRICATION'!E57</f>
        <v/>
      </c>
      <c r="O20" s="979" t="n"/>
      <c r="P20" s="979" t="n"/>
      <c r="Q20" s="979" t="n"/>
      <c r="R20" s="979" t="n"/>
      <c r="S20" s="343">
        <f>'PLANNING DE FABRICATION'!E44</f>
        <v/>
      </c>
    </row>
    <row r="21" ht="39" customHeight="1" s="1025">
      <c r="A21" s="124" t="inlineStr">
        <is>
          <t xml:space="preserve">SEL </t>
        </is>
      </c>
      <c r="B21" s="116" t="n">
        <v>4.5</v>
      </c>
      <c r="C21" s="116">
        <f>B21</f>
        <v/>
      </c>
      <c r="D21" s="309" t="inlineStr">
        <is>
          <t>kg</t>
        </is>
      </c>
      <c r="E21" s="309" t="inlineStr">
        <is>
          <t>€ HT</t>
        </is>
      </c>
      <c r="F21" s="72">
        <f>B21*$F$20</f>
        <v/>
      </c>
      <c r="G21" s="117">
        <f>#REF!*F21</f>
        <v/>
      </c>
      <c r="I21" s="124" t="inlineStr">
        <is>
          <t xml:space="preserve">SEL </t>
        </is>
      </c>
      <c r="J21" s="116" t="n">
        <v>4.5</v>
      </c>
      <c r="K21" s="116">
        <f>J21</f>
        <v/>
      </c>
      <c r="L21" s="309" t="inlineStr">
        <is>
          <t>kg</t>
        </is>
      </c>
      <c r="M21" s="72">
        <f>J21*$M$20</f>
        <v/>
      </c>
      <c r="O21" s="371" t="inlineStr">
        <is>
          <t xml:space="preserve">SEL </t>
        </is>
      </c>
      <c r="P21" s="78" t="n">
        <v>3.9</v>
      </c>
      <c r="Q21" s="78">
        <f>P21</f>
        <v/>
      </c>
      <c r="R21" s="385" t="inlineStr">
        <is>
          <t>kg</t>
        </is>
      </c>
      <c r="S21" s="79">
        <f>P21*$S$20</f>
        <v/>
      </c>
    </row>
    <row r="22" ht="39" customHeight="1" s="1025">
      <c r="A22" s="121" t="inlineStr">
        <is>
          <t>NITRATE DE POTASSIUM</t>
        </is>
      </c>
      <c r="B22" s="13" t="n">
        <v>0.03</v>
      </c>
      <c r="C22" s="13">
        <f>C21+B22</f>
        <v/>
      </c>
      <c r="D22" s="65" t="inlineStr">
        <is>
          <t>kg</t>
        </is>
      </c>
      <c r="E22" s="65" t="inlineStr">
        <is>
          <t>€ HT</t>
        </is>
      </c>
      <c r="F22" s="56">
        <f>B22*$F$20</f>
        <v/>
      </c>
      <c r="G22" s="74">
        <f>#REF!*F22</f>
        <v/>
      </c>
      <c r="I22" s="121" t="inlineStr">
        <is>
          <t>NITRATE DE POTASSIUM</t>
        </is>
      </c>
      <c r="J22" s="13" t="n">
        <v>0.03</v>
      </c>
      <c r="K22" s="13">
        <f>K21+J22</f>
        <v/>
      </c>
      <c r="L22" s="65" t="inlineStr">
        <is>
          <t>kg</t>
        </is>
      </c>
      <c r="M22" s="56">
        <f>J22*$M$20</f>
        <v/>
      </c>
      <c r="O22" s="370" t="inlineStr">
        <is>
          <t>NITRATE DE POTASSIUM</t>
        </is>
      </c>
      <c r="P22" s="80" t="n">
        <v>0.03</v>
      </c>
      <c r="Q22" s="80">
        <f>Q21+P22</f>
        <v/>
      </c>
      <c r="R22" s="1026" t="inlineStr">
        <is>
          <t>kg</t>
        </is>
      </c>
      <c r="S22" s="79">
        <f>P22*$S$20</f>
        <v/>
      </c>
    </row>
    <row r="23" ht="39" customHeight="1" s="1025">
      <c r="A23" s="122" t="inlineStr">
        <is>
          <t>LACTOSE</t>
        </is>
      </c>
      <c r="B23" s="55" t="n">
        <v>3</v>
      </c>
      <c r="C23" s="55">
        <f>C22+B23</f>
        <v/>
      </c>
      <c r="D23" s="81" t="inlineStr">
        <is>
          <t>kg</t>
        </is>
      </c>
      <c r="E23" s="81" t="inlineStr">
        <is>
          <t>€ HT</t>
        </is>
      </c>
      <c r="F23" s="56">
        <f>B23*$F$20</f>
        <v/>
      </c>
      <c r="G23" s="74">
        <f>#REF!*F23</f>
        <v/>
      </c>
      <c r="I23" s="122" t="inlineStr">
        <is>
          <t>LACTOSE</t>
        </is>
      </c>
      <c r="J23" s="55" t="n">
        <v>3</v>
      </c>
      <c r="K23" s="55">
        <f>K22+J23</f>
        <v/>
      </c>
      <c r="L23" s="81" t="inlineStr">
        <is>
          <t>kg</t>
        </is>
      </c>
      <c r="M23" s="56">
        <f>J23*$M$20</f>
        <v/>
      </c>
      <c r="O23" s="371" t="inlineStr">
        <is>
          <t>LACTOSE</t>
        </is>
      </c>
      <c r="P23" s="78" t="n">
        <v>1.5</v>
      </c>
      <c r="Q23" s="78">
        <f>Q22+P23</f>
        <v/>
      </c>
      <c r="R23" s="385" t="inlineStr">
        <is>
          <t>kg</t>
        </is>
      </c>
      <c r="S23" s="79">
        <f>P23*$S$20</f>
        <v/>
      </c>
    </row>
    <row r="24" ht="39" customHeight="1" s="1025">
      <c r="A24" s="121" t="inlineStr">
        <is>
          <t>DEXTROSE</t>
        </is>
      </c>
      <c r="B24" s="13" t="n">
        <v>0.45</v>
      </c>
      <c r="C24" s="13">
        <f>C23+B24</f>
        <v/>
      </c>
      <c r="D24" s="65" t="inlineStr">
        <is>
          <t>kg</t>
        </is>
      </c>
      <c r="E24" s="65" t="inlineStr">
        <is>
          <t>€ HT</t>
        </is>
      </c>
      <c r="F24" s="56">
        <f>B24*$F$20</f>
        <v/>
      </c>
      <c r="G24" s="74">
        <f>#REF!*F24</f>
        <v/>
      </c>
      <c r="I24" s="121" t="inlineStr">
        <is>
          <t>DEXTROSE</t>
        </is>
      </c>
      <c r="J24" s="13" t="n">
        <v>0.45</v>
      </c>
      <c r="K24" s="13">
        <f>K23+J24</f>
        <v/>
      </c>
      <c r="L24" s="65" t="inlineStr">
        <is>
          <t>kg</t>
        </is>
      </c>
      <c r="M24" s="56">
        <f>J24*$M$20</f>
        <v/>
      </c>
      <c r="O24" s="370" t="inlineStr">
        <is>
          <t xml:space="preserve">DEXTROSE </t>
        </is>
      </c>
      <c r="P24" s="80" t="n">
        <v>0.45</v>
      </c>
      <c r="Q24" s="80">
        <f>Q23+P24</f>
        <v/>
      </c>
      <c r="R24" s="1026" t="inlineStr">
        <is>
          <t>kg</t>
        </is>
      </c>
      <c r="S24" s="79">
        <f>P24*$S$20</f>
        <v/>
      </c>
    </row>
    <row r="25" ht="39" customHeight="1" s="1025">
      <c r="A25" s="122" t="inlineStr">
        <is>
          <t>POIVRE BLANC MOULU</t>
        </is>
      </c>
      <c r="B25" s="55" t="n">
        <v>0.25</v>
      </c>
      <c r="C25" s="55">
        <f>C24+B25</f>
        <v/>
      </c>
      <c r="D25" s="81" t="inlineStr">
        <is>
          <t>kg</t>
        </is>
      </c>
      <c r="E25" s="81" t="inlineStr">
        <is>
          <t>€ HT</t>
        </is>
      </c>
      <c r="F25" s="56">
        <f>B25*$F$20</f>
        <v/>
      </c>
      <c r="G25" s="74">
        <f>#REF!*F25</f>
        <v/>
      </c>
      <c r="I25" s="122" t="inlineStr">
        <is>
          <t>POIVRE BLANC MOULU</t>
        </is>
      </c>
      <c r="J25" s="55" t="n">
        <v>0.25</v>
      </c>
      <c r="K25" s="55">
        <f>K24+J25</f>
        <v/>
      </c>
      <c r="L25" s="81" t="inlineStr">
        <is>
          <t>kg</t>
        </is>
      </c>
      <c r="M25" s="56">
        <f>J25*$M$20</f>
        <v/>
      </c>
      <c r="O25" s="371" t="inlineStr">
        <is>
          <t>POIVRE BLANC MOULU</t>
        </is>
      </c>
      <c r="P25" s="78" t="n">
        <v>0.2</v>
      </c>
      <c r="Q25" s="78">
        <f>Q24+P25</f>
        <v/>
      </c>
      <c r="R25" s="385" t="inlineStr">
        <is>
          <t>kg</t>
        </is>
      </c>
      <c r="S25" s="79">
        <f>P25*$S$20</f>
        <v/>
      </c>
    </row>
    <row r="26" ht="39" customHeight="1" s="1025" thickBot="1">
      <c r="A26" s="126" t="inlineStr">
        <is>
          <t>AIL SEMOULE</t>
        </is>
      </c>
      <c r="B26" s="75" t="n">
        <v>0.08</v>
      </c>
      <c r="C26" s="59">
        <f>C25+B26</f>
        <v/>
      </c>
      <c r="D26" s="71" t="inlineStr">
        <is>
          <t>kg</t>
        </is>
      </c>
      <c r="E26" s="71" t="inlineStr">
        <is>
          <t>€ HT</t>
        </is>
      </c>
      <c r="F26" s="58">
        <f>B26*$F$20</f>
        <v/>
      </c>
      <c r="G26" s="76">
        <f>#REF!*F26</f>
        <v/>
      </c>
      <c r="I26" s="126" t="inlineStr">
        <is>
          <t>AIL SEMOULE</t>
        </is>
      </c>
      <c r="J26" s="75" t="n">
        <v>0.08</v>
      </c>
      <c r="K26" s="59">
        <f>K25+J26</f>
        <v/>
      </c>
      <c r="L26" s="71" t="inlineStr">
        <is>
          <t>kg</t>
        </is>
      </c>
      <c r="M26" s="58">
        <f>J26*$M$20</f>
        <v/>
      </c>
      <c r="O26" s="373" t="inlineStr">
        <is>
          <t>AIL SEMOULE</t>
        </is>
      </c>
      <c r="P26" s="354" t="n">
        <v>0.08</v>
      </c>
      <c r="Q26" s="354">
        <f>Q25+P26</f>
        <v/>
      </c>
      <c r="R26" s="374" t="inlineStr">
        <is>
          <t>kg</t>
        </is>
      </c>
      <c r="S26" s="79">
        <f>P26*$S$20</f>
        <v/>
      </c>
    </row>
    <row r="27" ht="39" customHeight="1" s="1025" thickBot="1">
      <c r="A27" s="305" t="inlineStr">
        <is>
          <t>FERMENT MF 244</t>
        </is>
      </c>
      <c r="B27" s="306" t="n">
        <v>1</v>
      </c>
      <c r="C27" s="302">
        <f>B27</f>
        <v/>
      </c>
      <c r="D27" s="307" t="inlineStr">
        <is>
          <t>Sachet</t>
        </is>
      </c>
      <c r="E27" s="308" t="inlineStr">
        <is>
          <t>€ HT</t>
        </is>
      </c>
      <c r="F27" s="87">
        <f>B27*$F$20</f>
        <v/>
      </c>
      <c r="G27" s="88">
        <f>#REF!*F27</f>
        <v/>
      </c>
      <c r="I27" s="305" t="inlineStr">
        <is>
          <t>FERMENT MF 244</t>
        </is>
      </c>
      <c r="J27" s="306" t="n">
        <v>1</v>
      </c>
      <c r="K27" s="302">
        <f>J27</f>
        <v/>
      </c>
      <c r="L27" s="307" t="inlineStr">
        <is>
          <t>Sachet</t>
        </is>
      </c>
      <c r="M27" s="87">
        <f>J27*$M$20</f>
        <v/>
      </c>
      <c r="O27" s="411" t="inlineStr">
        <is>
          <t>FERMENT MF 244</t>
        </is>
      </c>
      <c r="P27" s="412" t="n">
        <v>1</v>
      </c>
      <c r="Q27" s="412">
        <f>P27</f>
        <v/>
      </c>
      <c r="R27" s="428" t="inlineStr">
        <is>
          <t>Sachet</t>
        </is>
      </c>
      <c r="S27" s="79">
        <f>P27*$S$20</f>
        <v/>
      </c>
    </row>
    <row r="28" ht="33.75" customHeight="1" s="1025">
      <c r="E28" s="67" t="n"/>
      <c r="F28" s="83" t="n"/>
      <c r="G28" s="90">
        <f>SUM(G21:G27)</f>
        <v/>
      </c>
      <c r="L28" s="1047" t="n"/>
      <c r="M28" s="83" t="n"/>
    </row>
    <row r="29" ht="14.25" customHeight="1" s="1025" thickBot="1">
      <c r="R29" s="67" t="n"/>
      <c r="S29" s="83" t="n"/>
    </row>
    <row r="30" ht="45.75" customHeight="1" s="1025" thickBot="1">
      <c r="O30" s="1051" t="inlineStr">
        <is>
          <t>- HM 7-800g -</t>
        </is>
      </c>
      <c r="P30" s="919" t="n"/>
      <c r="Q30" s="919" t="n"/>
      <c r="R30" s="919" t="n"/>
      <c r="S30" s="427" t="n"/>
    </row>
    <row r="31" ht="34.5" customHeight="1" s="1025" thickBot="1">
      <c r="O31" s="10" t="n"/>
      <c r="P31" s="9" t="n"/>
      <c r="Q31" s="9" t="n"/>
    </row>
    <row r="32" ht="34.5" customHeight="1" s="1025" thickBot="1">
      <c r="O32" s="1019" t="inlineStr">
        <is>
          <t>ASSAISONNEMENT</t>
        </is>
      </c>
      <c r="P32" s="1014" t="inlineStr">
        <is>
          <t>Mêlée de 150 kg</t>
        </is>
      </c>
      <c r="Q32" s="1014" t="inlineStr">
        <is>
          <t>Poids cumulés</t>
        </is>
      </c>
      <c r="R32" s="1021" t="inlineStr">
        <is>
          <t>Unités</t>
        </is>
      </c>
      <c r="S32" s="388" t="inlineStr">
        <is>
          <t>Nb Mêlées</t>
        </is>
      </c>
    </row>
    <row r="33" ht="34.5" customHeight="1" s="1025">
      <c r="O33" s="979" t="n"/>
      <c r="P33" s="979" t="n"/>
      <c r="Q33" s="979" t="n"/>
      <c r="R33" s="979" t="n"/>
      <c r="S33" s="343">
        <f>'PLANNING DE FABRICATION'!E45</f>
        <v/>
      </c>
    </row>
    <row r="34" ht="34.5" customHeight="1" s="1025">
      <c r="O34" s="371" t="inlineStr">
        <is>
          <t xml:space="preserve">SEL </t>
        </is>
      </c>
      <c r="P34" s="78" t="n">
        <v>3.9</v>
      </c>
      <c r="Q34" s="78">
        <f>P34</f>
        <v/>
      </c>
      <c r="R34" s="385" t="inlineStr">
        <is>
          <t>kg</t>
        </is>
      </c>
      <c r="S34" s="79">
        <f>P34*$S$33</f>
        <v/>
      </c>
    </row>
    <row r="35" ht="34.5" customHeight="1" s="1025">
      <c r="O35" s="370" t="inlineStr">
        <is>
          <t>NITRATE DE POTASSIUM</t>
        </is>
      </c>
      <c r="P35" s="80" t="n">
        <v>0.03</v>
      </c>
      <c r="Q35" s="80">
        <f>Q34+P35</f>
        <v/>
      </c>
      <c r="R35" s="1026" t="inlineStr">
        <is>
          <t>kg</t>
        </is>
      </c>
      <c r="S35" s="79">
        <f>P35*$S$33</f>
        <v/>
      </c>
    </row>
    <row r="36" ht="34.5" customHeight="1" s="1025">
      <c r="O36" s="371" t="inlineStr">
        <is>
          <t>LACTOSE</t>
        </is>
      </c>
      <c r="P36" s="78" t="n">
        <v>1.5</v>
      </c>
      <c r="Q36" s="78">
        <f>Q35+P36</f>
        <v/>
      </c>
      <c r="R36" s="385" t="inlineStr">
        <is>
          <t>kg</t>
        </is>
      </c>
      <c r="S36" s="79">
        <f>P36*$S$33</f>
        <v/>
      </c>
    </row>
    <row r="37" ht="34.5" customHeight="1" s="1025">
      <c r="O37" s="370" t="inlineStr">
        <is>
          <t>DEXTROSE</t>
        </is>
      </c>
      <c r="P37" s="80" t="n">
        <v>0.45</v>
      </c>
      <c r="Q37" s="80">
        <f>Q36+P37</f>
        <v/>
      </c>
      <c r="R37" s="1026" t="inlineStr">
        <is>
          <t>kg</t>
        </is>
      </c>
      <c r="S37" s="79">
        <f>P37*$S$33</f>
        <v/>
      </c>
    </row>
    <row r="38" ht="21.75" customHeight="1" s="1025">
      <c r="O38" s="371" t="inlineStr">
        <is>
          <t>POIVRE BLANC MOULU</t>
        </is>
      </c>
      <c r="P38" s="78" t="n">
        <v>0.25</v>
      </c>
      <c r="Q38" s="78">
        <f>Q37+P38</f>
        <v/>
      </c>
      <c r="R38" s="385" t="inlineStr">
        <is>
          <t>kg</t>
        </is>
      </c>
      <c r="S38" s="79">
        <f>P38*$S$33</f>
        <v/>
      </c>
    </row>
    <row r="39" ht="22.5" customHeight="1" s="1025" thickBot="1">
      <c r="O39" s="373" t="inlineStr">
        <is>
          <t>AIL SEMOULE</t>
        </is>
      </c>
      <c r="P39" s="354" t="n">
        <v>0.08</v>
      </c>
      <c r="Q39" s="354">
        <f>Q38+P39</f>
        <v/>
      </c>
      <c r="R39" s="374" t="inlineStr">
        <is>
          <t>kg</t>
        </is>
      </c>
      <c r="S39" s="79">
        <f>P39*$S$33</f>
        <v/>
      </c>
    </row>
    <row r="40" ht="21.75" customHeight="1" s="1025">
      <c r="O40" s="411" t="inlineStr">
        <is>
          <t>FERMENT MF 244</t>
        </is>
      </c>
      <c r="P40" s="412" t="n">
        <v>1</v>
      </c>
      <c r="Q40" s="412">
        <f>P40</f>
        <v/>
      </c>
      <c r="R40" s="428" t="inlineStr">
        <is>
          <t>Sachet</t>
        </is>
      </c>
      <c r="S40" s="79">
        <f>P40*$S$33</f>
        <v/>
      </c>
    </row>
  </sheetData>
  <sheetProtection selectLockedCells="0" selectUnlockedCells="0" algorithmName="SHA-512" sheet="1" objects="1" insertRows="1" insertHyperlinks="1" autoFilter="1" scenarios="1" formatColumns="1" deleteColumns="1" insertColumns="1" pivotTables="1" deleteRows="1" formatCells="1" saltValue="H7JJ71ncrQQlg+wqYfvihA==" formatRows="1" sort="1" spinCount="100000" hashValue="2aYKDo+zmyFT85l7Jf30bQ9Pte6pL/Qj2m6kTT5Q6pfmXAYq7U5N3ArvA3tTHa//b7nS9Zvtpeqa85wcmO5Emw=="/>
  <mergeCells count="39">
    <mergeCell ref="R19:R20"/>
    <mergeCell ref="A17:D17"/>
    <mergeCell ref="R4:R5"/>
    <mergeCell ref="I17:L17"/>
    <mergeCell ref="C4:C5"/>
    <mergeCell ref="E4:E5"/>
    <mergeCell ref="O17:R17"/>
    <mergeCell ref="O4:O5"/>
    <mergeCell ref="O2:R2"/>
    <mergeCell ref="E19:E20"/>
    <mergeCell ref="G19:G20"/>
    <mergeCell ref="O32:O33"/>
    <mergeCell ref="Q4:Q5"/>
    <mergeCell ref="D4:D5"/>
    <mergeCell ref="J4:J5"/>
    <mergeCell ref="L4:L5"/>
    <mergeCell ref="Q19:Q20"/>
    <mergeCell ref="I2:L2"/>
    <mergeCell ref="R32:R33"/>
    <mergeCell ref="B19:B20"/>
    <mergeCell ref="P19:P20"/>
    <mergeCell ref="A4:A5"/>
    <mergeCell ref="G4:G5"/>
    <mergeCell ref="O30:R30"/>
    <mergeCell ref="I4:I5"/>
    <mergeCell ref="P32:P33"/>
    <mergeCell ref="K4:K5"/>
    <mergeCell ref="I19:I20"/>
    <mergeCell ref="A19:A20"/>
    <mergeCell ref="K19:K20"/>
    <mergeCell ref="C19:C20"/>
    <mergeCell ref="O19:O20"/>
    <mergeCell ref="D19:D20"/>
    <mergeCell ref="B4:B5"/>
    <mergeCell ref="P4:P5"/>
    <mergeCell ref="Q32:Q33"/>
    <mergeCell ref="A2:D2"/>
    <mergeCell ref="J19:J20"/>
    <mergeCell ref="L19:L20"/>
  </mergeCells>
  <printOptions horizontalCentered="1" verticalCentered="1"/>
  <pageMargins left="0.2362204724409449" right="0.2362204724409449" top="0.7480314960629921" bottom="0.7480314960629921" header="0.3149606299212598" footer="0.3149606299212598"/>
  <pageSetup orientation="portrait" paperSize="9" scale="32"/>
  <legacyDrawing xmlns:r="http://schemas.openxmlformats.org/officeDocument/2006/relationships" r:id="anysvml"/>
</worksheet>
</file>

<file path=xl/worksheets/sheet15.xml><?xml version="1.0" encoding="utf-8"?>
<worksheet xmlns="http://schemas.openxmlformats.org/spreadsheetml/2006/main">
  <sheetPr codeName="Sheet14">
    <tabColor rgb="FF00B050"/>
    <outlinePr summaryBelow="1" summaryRight="1"/>
    <pageSetUpPr fitToPage="1"/>
  </sheetPr>
  <dimension ref="B2:F14"/>
  <sheetViews>
    <sheetView zoomScale="85" zoomScaleNormal="85" workbookViewId="0">
      <selection activeCell="H12" sqref="H12"/>
    </sheetView>
  </sheetViews>
  <sheetFormatPr baseColWidth="8" defaultColWidth="11.5546875" defaultRowHeight="14.4"/>
  <cols>
    <col width="34.33203125" customWidth="1" style="1025" min="2" max="2"/>
    <col width="12.88671875" customWidth="1" style="1025" min="3" max="3"/>
    <col width="10.6640625" customWidth="1" style="1025" min="4" max="4"/>
    <col width="6.5546875" customWidth="1" style="1047" min="5" max="5"/>
    <col width="14.44140625" customWidth="1" style="1025" min="6" max="6"/>
  </cols>
  <sheetData>
    <row r="2" ht="51" customHeight="1" s="1025">
      <c r="B2" s="1061" t="inlineStr">
        <is>
          <t>SAG</t>
        </is>
      </c>
      <c r="F2" s="433" t="n"/>
    </row>
    <row r="3" ht="15.75" customHeight="1" s="1025" thickBot="1"/>
    <row r="4" ht="30" customHeight="1" s="1025" thickBot="1">
      <c r="B4" s="1056" t="inlineStr">
        <is>
          <t>ASSAISONNEMENT</t>
        </is>
      </c>
      <c r="C4" s="1058" t="inlineStr">
        <is>
          <t>Mêlée de 150 kg</t>
        </is>
      </c>
      <c r="D4" s="1049" t="inlineStr">
        <is>
          <t>Poids cumulés</t>
        </is>
      </c>
      <c r="E4" s="1060" t="inlineStr">
        <is>
          <t>Unités</t>
        </is>
      </c>
      <c r="F4" s="92" t="inlineStr">
        <is>
          <t>Nb Mêlées</t>
        </is>
      </c>
    </row>
    <row r="5" ht="33" customHeight="1" s="1025" thickBot="1">
      <c r="B5" s="1057" t="n"/>
      <c r="C5" s="1059" t="n"/>
      <c r="D5" s="987" t="n"/>
      <c r="E5" s="1059" t="n"/>
      <c r="F5" s="34">
        <f>'PLANNING DE FABRICATION'!E16</f>
        <v/>
      </c>
    </row>
    <row r="6" ht="33" customHeight="1" s="1025">
      <c r="B6" s="120" t="inlineStr">
        <is>
          <t xml:space="preserve">SEL </t>
        </is>
      </c>
      <c r="C6" s="111" t="n">
        <v>2.4</v>
      </c>
      <c r="D6" s="111">
        <f>C6</f>
        <v/>
      </c>
      <c r="E6" s="304" t="inlineStr">
        <is>
          <t>kg</t>
        </is>
      </c>
      <c r="F6" s="72">
        <f>C6*$F$5</f>
        <v/>
      </c>
    </row>
    <row r="7" ht="33" customHeight="1" s="1025">
      <c r="B7" s="121" t="inlineStr">
        <is>
          <t>SEL NITRITE</t>
        </is>
      </c>
      <c r="C7" s="13" t="n">
        <v>1.5</v>
      </c>
      <c r="D7" s="13">
        <f>D6+C7</f>
        <v/>
      </c>
      <c r="E7" s="65" t="inlineStr">
        <is>
          <t>kg</t>
        </is>
      </c>
      <c r="F7" s="56">
        <f>C7*$F$5</f>
        <v/>
      </c>
    </row>
    <row r="8" ht="33" customHeight="1" s="1025">
      <c r="B8" s="122" t="inlineStr">
        <is>
          <t>LACTOSE</t>
        </is>
      </c>
      <c r="C8" s="55" t="n">
        <v>1.5</v>
      </c>
      <c r="D8" s="55">
        <f>D7+C8</f>
        <v/>
      </c>
      <c r="E8" s="81" t="inlineStr">
        <is>
          <t>kg</t>
        </is>
      </c>
      <c r="F8" s="56">
        <f>C8*$F$5</f>
        <v/>
      </c>
    </row>
    <row r="9" ht="33" customHeight="1" s="1025">
      <c r="B9" s="121" t="inlineStr">
        <is>
          <t>DEXTROSE</t>
        </is>
      </c>
      <c r="C9" s="13" t="n">
        <v>0.45</v>
      </c>
      <c r="D9" s="13">
        <f>D8+C9</f>
        <v/>
      </c>
      <c r="E9" s="65" t="inlineStr">
        <is>
          <t>kg</t>
        </is>
      </c>
      <c r="F9" s="56">
        <f>C9*$F$5</f>
        <v/>
      </c>
    </row>
    <row r="10" ht="33" customHeight="1" s="1025">
      <c r="B10" s="122" t="inlineStr">
        <is>
          <t>POIVRE BLANC MOULU</t>
        </is>
      </c>
      <c r="C10" s="55" t="n">
        <v>0.2</v>
      </c>
      <c r="D10" s="55">
        <f>D9+C10</f>
        <v/>
      </c>
      <c r="E10" s="81" t="inlineStr">
        <is>
          <t>kg</t>
        </is>
      </c>
      <c r="F10" s="56">
        <f>C10*$F$5</f>
        <v/>
      </c>
    </row>
    <row r="11" ht="33" customHeight="1" s="1025" thickBot="1">
      <c r="B11" s="128" t="inlineStr">
        <is>
          <t>AIL SEMOULE</t>
        </is>
      </c>
      <c r="C11" s="59" t="n">
        <v>0.08</v>
      </c>
      <c r="D11" s="13">
        <f>D10+C11</f>
        <v/>
      </c>
      <c r="E11" s="66" t="inlineStr">
        <is>
          <t>kg</t>
        </is>
      </c>
      <c r="F11" s="56">
        <f>C11*$F$5</f>
        <v/>
      </c>
    </row>
    <row r="12" ht="33.75" customHeight="1" s="1025" thickBot="1">
      <c r="B12" s="434" t="inlineStr">
        <is>
          <t>MARC DE SAVOIE</t>
        </is>
      </c>
      <c r="C12" s="302" t="n">
        <v>1</v>
      </c>
      <c r="D12" s="302">
        <f>C12</f>
        <v/>
      </c>
      <c r="E12" s="296" t="inlineStr">
        <is>
          <t>Litres</t>
        </is>
      </c>
      <c r="F12" s="62">
        <f>C12*$F$5</f>
        <v/>
      </c>
    </row>
    <row r="13" ht="26.25" customHeight="1" s="1025" thickBot="1">
      <c r="B13" s="130" t="inlineStr">
        <is>
          <t>FERMENT MF 244</t>
        </is>
      </c>
      <c r="C13" s="110" t="n">
        <v>1</v>
      </c>
      <c r="D13" s="110">
        <f>C13</f>
        <v/>
      </c>
      <c r="E13" s="114" t="inlineStr">
        <is>
          <t>Sachet</t>
        </is>
      </c>
      <c r="F13" s="87">
        <f>C13*$F$5</f>
        <v/>
      </c>
    </row>
    <row r="14" ht="36.75" customHeight="1" s="1025">
      <c r="F14" s="83" t="n"/>
    </row>
    <row r="15" ht="18.75" customHeight="1" s="1025"/>
    <row r="16" ht="36.75" customHeight="1" s="1025"/>
    <row r="17" ht="36.75" customHeight="1" s="1025"/>
    <row r="18" ht="36.75" customHeight="1" s="1025"/>
    <row r="19" ht="36.75" customHeight="1" s="1025"/>
    <row r="20" ht="36.75" customHeight="1" s="1025"/>
    <row r="21" ht="36.75" customHeight="1" s="1025"/>
  </sheetData>
  <sheetProtection selectLockedCells="0" selectUnlockedCells="0" algorithmName="SHA-512" sheet="1" objects="1" insertRows="1" insertHyperlinks="1" autoFilter="1" scenarios="1" formatColumns="1" deleteColumns="1" insertColumns="1" pivotTables="1" deleteRows="1" formatCells="1" saltValue="gN5HoSVJyP2vWcmg/4TZgg==" formatRows="1" sort="1" spinCount="100000" hashValue="OY086UkFqqikH0fgfY22xn9ELmlqallNpr5H8sMfS/pYyDtzM6ug+6hDvhbEesiSHGmQh/R8+OZ1ERSidaV8CA=="/>
  <mergeCells count="5">
    <mergeCell ref="B4:B5"/>
    <mergeCell ref="C4:C5"/>
    <mergeCell ref="E4:E5"/>
    <mergeCell ref="D4:D5"/>
    <mergeCell ref="B2:E2"/>
  </mergeCells>
  <printOptions horizontalCentered="1" verticalCentered="1"/>
  <pageMargins left="0.2362204724409449" right="0.2362204724409449" top="0.7480314960629921" bottom="0.7480314960629921" header="0.3149606299212598" footer="0.3149606299212598"/>
  <pageSetup orientation="portrait" paperSize="9"/>
  <legacyDrawing xmlns:r="http://schemas.openxmlformats.org/officeDocument/2006/relationships" r:id="anysvml"/>
</worksheet>
</file>

<file path=xl/worksheets/sheet16.xml><?xml version="1.0" encoding="utf-8"?>
<worksheet xmlns="http://schemas.openxmlformats.org/spreadsheetml/2006/main">
  <sheetPr codeName="Sheet15">
    <outlinePr summaryBelow="1" summaryRight="1"/>
    <pageSetUpPr/>
  </sheetPr>
  <dimension ref="A1:FN171"/>
  <sheetViews>
    <sheetView topLeftCell="DF77" zoomScale="70" zoomScaleNormal="70" workbookViewId="0">
      <selection activeCell="DN87" sqref="DN87"/>
    </sheetView>
  </sheetViews>
  <sheetFormatPr baseColWidth="8" defaultColWidth="40.88671875" defaultRowHeight="22.8"/>
  <cols>
    <col hidden="1" style="2" min="1" max="1"/>
    <col hidden="1" width="19.33203125" customWidth="1" style="3" min="2" max="2"/>
    <col hidden="1" width="4.88671875" customWidth="1" style="1008" min="3" max="3"/>
    <col hidden="1" width="12.44140625" customWidth="1" style="33" min="4" max="4"/>
    <col hidden="1" width="5" customWidth="1" style="994" min="5" max="5"/>
    <col hidden="1" width="29.44140625" customWidth="1" style="994" min="6" max="6"/>
    <col hidden="1" width="25.5546875" customWidth="1" style="994" min="7" max="7"/>
    <col hidden="1" width="6.109375" customWidth="1" style="995" min="8" max="8"/>
    <col hidden="1" width="12.33203125" customWidth="1" style="994" min="9" max="9"/>
    <col width="40.109375" bestFit="1" customWidth="1" style="994" min="10" max="10"/>
    <col width="15" bestFit="1" customWidth="1" style="994" min="11" max="11"/>
    <col width="13.88671875" bestFit="1" customWidth="1" style="488" min="12" max="12"/>
    <col width="6.88671875" bestFit="1" customWidth="1" style="995" min="13" max="13"/>
    <col width="10" customWidth="1" style="994" min="14" max="15"/>
    <col width="40.109375" bestFit="1" customWidth="1" style="994" min="16" max="16"/>
    <col width="15" customWidth="1" style="994" min="17" max="17"/>
    <col width="13.88671875" customWidth="1" style="994" min="18" max="18"/>
    <col width="6.88671875" customWidth="1" style="994" min="19" max="19"/>
    <col width="10" customWidth="1" style="994" min="20" max="20"/>
    <col width="13.109375" customWidth="1" style="994" min="21" max="21"/>
    <col width="40.33203125" customWidth="1" style="994" min="22" max="22"/>
    <col width="15" customWidth="1" style="994" min="23" max="23"/>
    <col width="14" customWidth="1" style="994" min="24" max="24"/>
    <col width="7" customWidth="1" style="994" min="25" max="25"/>
    <col width="9.88671875" customWidth="1" style="994" min="26" max="26"/>
    <col width="13.109375" customWidth="1" style="994" min="27" max="27"/>
    <col width="40.33203125" customWidth="1" style="994" min="28" max="28"/>
    <col width="15" customWidth="1" style="994" min="29" max="29"/>
    <col width="14.109375" customWidth="1" style="994" min="30" max="30"/>
    <col width="7" customWidth="1" style="994" min="31" max="31"/>
    <col width="9.6640625" customWidth="1" style="994" min="32" max="32"/>
    <col width="13.109375" customWidth="1" style="994" min="33" max="33"/>
    <col width="40.33203125" customWidth="1" style="994" min="34" max="34"/>
    <col width="15" customWidth="1" style="994" min="35" max="35"/>
    <col width="14.109375" customWidth="1" style="994" min="36" max="36"/>
    <col width="7" customWidth="1" style="994" min="37" max="37"/>
    <col width="9.6640625" customWidth="1" style="994" min="38" max="38"/>
    <col width="13.109375" customWidth="1" style="994" min="39" max="39"/>
    <col width="40.33203125" customWidth="1" style="994" min="40" max="40"/>
    <col width="15" customWidth="1" style="994" min="41" max="41"/>
    <col width="14.109375" customWidth="1" style="994" min="42" max="42"/>
    <col width="7" customWidth="1" style="994" min="43" max="43"/>
    <col width="9.6640625" customWidth="1" style="994" min="44" max="44"/>
    <col width="13.109375" customWidth="1" style="994" min="45" max="45"/>
    <col width="40.33203125" customWidth="1" style="994" min="46" max="46"/>
    <col width="15" customWidth="1" style="994" min="47" max="47"/>
    <col width="14.109375" customWidth="1" style="994" min="48" max="48"/>
    <col width="7" customWidth="1" style="994" min="49" max="49"/>
    <col width="9.6640625" customWidth="1" style="994" min="50" max="50"/>
    <col width="13.109375" customWidth="1" style="994" min="51" max="51"/>
    <col width="40.33203125" customWidth="1" style="994" min="52" max="52"/>
    <col width="15" customWidth="1" style="994" min="53" max="53"/>
    <col width="14.109375" customWidth="1" style="994" min="54" max="54"/>
    <col width="7" customWidth="1" style="994" min="55" max="55"/>
    <col width="9.6640625" customWidth="1" style="994" min="56" max="56"/>
    <col width="13.109375" customWidth="1" style="994" min="57" max="57"/>
    <col width="40.33203125" customWidth="1" style="994" min="58" max="58"/>
    <col width="15" customWidth="1" style="994" min="59" max="59"/>
    <col width="14.109375" customWidth="1" style="994" min="60" max="60"/>
    <col width="7" customWidth="1" style="994" min="61" max="61"/>
    <col width="9.6640625" customWidth="1" style="994" min="62" max="62"/>
    <col width="13.109375" customWidth="1" style="994" min="63" max="63"/>
    <col width="40.33203125" customWidth="1" style="994" min="64" max="64"/>
    <col width="15" customWidth="1" style="994" min="65" max="65"/>
    <col width="14.109375" customWidth="1" style="994" min="66" max="66"/>
    <col width="7" customWidth="1" style="994" min="67" max="67"/>
    <col width="9.6640625" customWidth="1" style="994" min="68" max="68"/>
    <col width="13.109375" customWidth="1" style="994" min="69" max="69"/>
    <col width="40.33203125" customWidth="1" style="994" min="70" max="70"/>
    <col width="15" customWidth="1" style="994" min="71" max="71"/>
    <col width="14.109375" customWidth="1" style="994" min="72" max="72"/>
    <col width="7" customWidth="1" style="994" min="73" max="73"/>
    <col width="9.6640625" customWidth="1" style="994" min="74" max="74"/>
    <col width="13.109375" customWidth="1" style="994" min="75" max="75"/>
    <col width="40.33203125" customWidth="1" style="994" min="76" max="76"/>
    <col width="15" customWidth="1" style="994" min="77" max="77"/>
    <col width="14.109375" customWidth="1" style="994" min="78" max="78"/>
    <col width="7" customWidth="1" style="994" min="79" max="79"/>
    <col width="9.6640625" customWidth="1" style="994" min="80" max="80"/>
    <col width="13.109375" customWidth="1" style="994" min="81" max="81"/>
    <col width="40.33203125" customWidth="1" style="994" min="82" max="82"/>
    <col width="15" customWidth="1" style="994" min="83" max="83"/>
    <col width="14.109375" customWidth="1" style="994" min="84" max="84"/>
    <col width="7" customWidth="1" style="994" min="85" max="85"/>
    <col width="9.6640625" customWidth="1" style="994" min="86" max="86"/>
    <col width="13.109375" customWidth="1" style="994" min="87" max="87"/>
    <col width="40.33203125" customWidth="1" style="994" min="88" max="88"/>
    <col width="15" customWidth="1" style="994" min="89" max="89"/>
    <col width="14.109375" customWidth="1" style="994" min="90" max="90"/>
    <col width="7" customWidth="1" style="994" min="91" max="91"/>
    <col width="9.6640625" customWidth="1" style="994" min="92" max="92"/>
    <col width="13.109375" customWidth="1" style="994" min="93" max="93"/>
    <col width="40.33203125" customWidth="1" style="994" min="94" max="94"/>
    <col width="15" customWidth="1" style="994" min="95" max="95"/>
    <col width="14.109375" customWidth="1" style="994" min="96" max="96"/>
    <col width="7" customWidth="1" style="994" min="97" max="97"/>
    <col width="9.6640625" customWidth="1" style="994" min="98" max="98"/>
    <col width="13.109375" customWidth="1" style="994" min="99" max="99"/>
    <col width="40.33203125" customWidth="1" style="994" min="100" max="100"/>
    <col width="15" customWidth="1" style="994" min="101" max="101"/>
    <col width="14.109375" customWidth="1" style="994" min="102" max="102"/>
    <col width="7" customWidth="1" style="994" min="103" max="103"/>
    <col width="9.6640625" customWidth="1" style="994" min="104" max="104"/>
    <col width="13.109375" customWidth="1" style="994" min="105" max="105"/>
    <col width="40.33203125" customWidth="1" style="994" min="106" max="106"/>
    <col width="15" customWidth="1" style="994" min="107" max="107"/>
    <col width="14.109375" customWidth="1" style="994" min="108" max="108"/>
    <col width="7" customWidth="1" style="994" min="109" max="109"/>
    <col width="9.6640625" customWidth="1" style="994" min="110" max="110"/>
    <col width="13.109375" customWidth="1" style="994" min="111" max="111"/>
    <col width="40.33203125" customWidth="1" style="994" min="112" max="112"/>
    <col width="15" customWidth="1" style="994" min="113" max="113"/>
    <col width="14.109375" customWidth="1" style="994" min="114" max="114"/>
    <col width="7" customWidth="1" style="994" min="115" max="115"/>
    <col width="9.6640625" customWidth="1" style="994" min="116" max="116"/>
    <col width="13.109375" customWidth="1" style="994" min="117" max="117"/>
    <col width="40.33203125" customWidth="1" style="994" min="118" max="118"/>
    <col width="15" customWidth="1" style="994" min="119" max="119"/>
    <col width="14.109375" customWidth="1" style="994" min="120" max="120"/>
    <col width="7" customWidth="1" style="994" min="121" max="121"/>
    <col width="9.6640625" customWidth="1" style="994" min="122" max="122"/>
    <col width="13.109375" customWidth="1" style="994" min="123" max="123"/>
    <col width="40.33203125" customWidth="1" style="994" min="124" max="124"/>
    <col width="15" customWidth="1" style="994" min="125" max="125"/>
    <col width="14.109375" customWidth="1" style="994" min="126" max="126"/>
    <col width="7" customWidth="1" style="994" min="127" max="127"/>
    <col width="9.6640625" customWidth="1" style="994" min="128" max="128"/>
    <col width="13.109375" customWidth="1" style="994" min="129" max="129"/>
    <col width="40.33203125" customWidth="1" style="994" min="130" max="130"/>
    <col width="15" customWidth="1" style="994" min="131" max="131"/>
    <col width="14.109375" customWidth="1" style="994" min="132" max="132"/>
    <col width="7" customWidth="1" style="994" min="133" max="133"/>
    <col width="9.6640625" customWidth="1" style="994" min="134" max="134"/>
    <col width="13.109375" customWidth="1" style="994" min="135" max="135"/>
    <col width="40.33203125" customWidth="1" style="994" min="136" max="136"/>
    <col width="15" customWidth="1" style="994" min="137" max="137"/>
    <col width="14.109375" customWidth="1" style="994" min="138" max="138"/>
    <col width="7" customWidth="1" style="994" min="139" max="139"/>
    <col width="9.6640625" customWidth="1" style="994" min="140" max="140"/>
    <col width="13.109375" customWidth="1" style="994" min="141" max="141"/>
    <col width="40.33203125" customWidth="1" style="994" min="142" max="142"/>
    <col width="15" customWidth="1" style="994" min="143" max="143"/>
    <col width="14.109375" customWidth="1" style="994" min="144" max="144"/>
    <col width="7" customWidth="1" style="994" min="145" max="145"/>
    <col width="9.6640625" customWidth="1" style="994" min="146" max="146"/>
    <col width="13.109375" customWidth="1" style="994" min="147" max="147"/>
    <col width="40.33203125" customWidth="1" style="994" min="148" max="148"/>
    <col width="15" customWidth="1" style="994" min="149" max="149"/>
    <col width="14.109375" customWidth="1" style="994" min="150" max="150"/>
    <col width="7" customWidth="1" style="994" min="151" max="151"/>
    <col width="9.6640625" customWidth="1" style="994" min="152" max="152"/>
    <col width="13.109375" customWidth="1" style="994" min="153" max="153"/>
    <col width="40.33203125" customWidth="1" style="994" min="154" max="154"/>
    <col width="15" customWidth="1" style="994" min="155" max="155"/>
    <col width="14.109375" customWidth="1" style="994" min="156" max="156"/>
    <col width="7" customWidth="1" style="994" min="157" max="157"/>
    <col width="9.6640625" customWidth="1" style="994" min="158" max="158"/>
    <col width="13.109375" customWidth="1" style="994" min="159" max="159"/>
    <col width="40.33203125" customWidth="1" style="994" min="160" max="160"/>
    <col width="15" customWidth="1" style="994" min="161" max="161"/>
    <col width="14.109375" customWidth="1" style="994" min="162" max="162"/>
    <col width="7" customWidth="1" style="994" min="163" max="163"/>
    <col width="9.6640625" customWidth="1" style="994" min="164" max="164"/>
    <col width="13.109375" customWidth="1" style="994" min="165" max="165"/>
    <col width="40.33203125" customWidth="1" style="994" min="166" max="166"/>
    <col width="15" customWidth="1" style="994" min="167" max="167"/>
    <col width="14.109375" customWidth="1" style="994" min="168" max="168"/>
    <col width="7" customWidth="1" style="994" min="169" max="169"/>
    <col width="9.6640625" customWidth="1" style="994" min="170" max="170"/>
    <col width="40.88671875" customWidth="1" style="994" min="171" max="171"/>
    <col width="40.88671875" customWidth="1" style="994" min="172" max="16384"/>
  </cols>
  <sheetData>
    <row r="1" ht="84.75" customHeight="1" s="1025" thickBot="1">
      <c r="J1" s="597" t="inlineStr">
        <is>
          <t>GAMME HALAL</t>
        </is>
      </c>
      <c r="L1" s="1069" t="inlineStr">
        <is>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is>
      </c>
      <c r="AD1" s="488" t="n"/>
    </row>
    <row r="2" ht="26.25" customHeight="1" s="1025" thickBot="1"/>
    <row r="3" ht="24" customHeight="1" s="1025" thickBot="1" thickTop="1">
      <c r="A3" s="983" t="inlineStr">
        <is>
          <t>HALRIZO 200 grs + HALRIZO Grosses pièces</t>
        </is>
      </c>
      <c r="B3" s="902" t="n"/>
      <c r="C3" s="902" t="n"/>
      <c r="D3" s="902" t="n"/>
      <c r="F3" s="1080" t="inlineStr">
        <is>
          <t>ESSAI COMPLET SOUSSANA</t>
        </is>
      </c>
      <c r="G3" s="1081" t="n"/>
      <c r="H3" s="1081" t="n"/>
      <c r="I3" s="1081" t="n"/>
      <c r="J3" s="575" t="inlineStr">
        <is>
          <t>PLU : 197 / 197471 / 5043 / 5044</t>
        </is>
      </c>
      <c r="L3" s="994" t="n"/>
      <c r="M3" s="994" t="n"/>
      <c r="O3" s="263" t="n"/>
      <c r="P3" s="575" t="inlineStr">
        <is>
          <t>PLU : 198 / 198471 / 5043 / 5044</t>
        </is>
      </c>
      <c r="R3" s="488" t="n"/>
      <c r="S3" s="995" t="n"/>
      <c r="V3" s="575" t="inlineStr">
        <is>
          <t>PLU : 203</t>
        </is>
      </c>
      <c r="X3" s="488" t="n"/>
      <c r="Y3" s="995" t="n"/>
      <c r="AB3" s="575" t="inlineStr">
        <is>
          <t>PLU : 204</t>
        </is>
      </c>
      <c r="AD3" s="488" t="n"/>
      <c r="AE3" s="995" t="n"/>
      <c r="AH3" s="575" t="inlineStr">
        <is>
          <t>PLU : 302 / 302471</t>
        </is>
      </c>
      <c r="AJ3" s="488" t="n"/>
      <c r="AK3" s="995" t="n"/>
      <c r="AN3" s="575" t="inlineStr">
        <is>
          <t>PLU : 306 / 306471</t>
        </is>
      </c>
      <c r="AP3" s="488" t="n"/>
      <c r="AQ3" s="995" t="n"/>
    </row>
    <row r="4" ht="39" customHeight="1" s="1025" thickBot="1" thickTop="1">
      <c r="A4" s="988" t="inlineStr">
        <is>
          <t>ASSAISONNEMENT</t>
        </is>
      </c>
      <c r="B4" s="996" t="inlineStr">
        <is>
          <t>Mêlée de 150 KGS</t>
        </is>
      </c>
      <c r="C4" s="978" t="inlineStr">
        <is>
          <t>Unités</t>
        </is>
      </c>
      <c r="D4" s="98" t="inlineStr">
        <is>
          <t>Nb Mêlées</t>
        </is>
      </c>
      <c r="F4" s="1084" t="inlineStr">
        <is>
          <t>ASSAISONNEMENT</t>
        </is>
      </c>
      <c r="G4" s="990" t="inlineStr">
        <is>
          <t>Mêlée de 150 KGS</t>
        </is>
      </c>
      <c r="H4" s="1004" t="inlineStr">
        <is>
          <t>Unités</t>
        </is>
      </c>
      <c r="I4" s="489" t="inlineStr">
        <is>
          <t>Nb Mêlées</t>
        </is>
      </c>
      <c r="J4" s="1078" t="inlineStr">
        <is>
          <t>HALAL 
200g</t>
        </is>
      </c>
      <c r="K4" s="919" t="n"/>
      <c r="L4" s="919" t="n"/>
      <c r="M4" s="919" t="n"/>
      <c r="N4" s="932" t="n"/>
      <c r="P4" s="1078" t="inlineStr">
        <is>
          <t>HALRIZO
200g</t>
        </is>
      </c>
      <c r="Q4" s="919" t="n"/>
      <c r="R4" s="919" t="n"/>
      <c r="S4" s="919" t="n"/>
      <c r="T4" s="932" t="n"/>
      <c r="V4" s="1077" t="inlineStr">
        <is>
          <t>HALAL BN nature 350g</t>
        </is>
      </c>
      <c r="W4" s="919" t="n"/>
      <c r="X4" s="919" t="n"/>
      <c r="Y4" s="919" t="n"/>
      <c r="Z4" s="932" t="n"/>
      <c r="AB4" s="1077" t="inlineStr">
        <is>
          <t>HALAL BN  pimenté 350g</t>
        </is>
      </c>
      <c r="AC4" s="919" t="n"/>
      <c r="AD4" s="919" t="n"/>
      <c r="AE4" s="919" t="n"/>
      <c r="AF4" s="932" t="n"/>
      <c r="AH4" s="1086" t="inlineStr">
        <is>
          <t>HALRIZO Grosses pièces</t>
        </is>
      </c>
      <c r="AI4" s="919" t="n"/>
      <c r="AJ4" s="919" t="n"/>
      <c r="AK4" s="919" t="n"/>
      <c r="AL4" s="1073" t="n"/>
      <c r="AN4" s="1086" t="inlineStr">
        <is>
          <t>HALAL Grosses pièces</t>
        </is>
      </c>
      <c r="AO4" s="919" t="n"/>
      <c r="AP4" s="919" t="n"/>
      <c r="AQ4" s="919" t="n"/>
      <c r="AR4" s="1073" t="n"/>
    </row>
    <row r="5" ht="45" customHeight="1" s="1025" thickBot="1" thickTop="1">
      <c r="A5" s="989" t="n"/>
      <c r="B5" s="997" t="n"/>
      <c r="C5" s="979" t="n"/>
      <c r="D5" s="103" t="n">
        <v>0</v>
      </c>
      <c r="F5" s="1085" t="n"/>
      <c r="G5" s="991" t="n"/>
      <c r="H5" s="991" t="n"/>
      <c r="I5" s="494" t="n">
        <v>0</v>
      </c>
      <c r="J5" s="490" t="inlineStr">
        <is>
          <t>VIANDES</t>
        </is>
      </c>
      <c r="K5" s="491" t="inlineStr">
        <is>
          <t>Mêlée de 150 KG</t>
        </is>
      </c>
      <c r="L5" s="491" t="inlineStr">
        <is>
          <t>Poids cumulés</t>
        </is>
      </c>
      <c r="M5" s="492" t="inlineStr">
        <is>
          <t>U</t>
        </is>
      </c>
      <c r="N5" s="532" t="inlineStr">
        <is>
          <t>%</t>
        </is>
      </c>
      <c r="P5" s="490" t="inlineStr">
        <is>
          <t>VIANDES</t>
        </is>
      </c>
      <c r="Q5" s="491" t="inlineStr">
        <is>
          <t>Mêlée de 150 KG</t>
        </is>
      </c>
      <c r="R5" s="491" t="inlineStr">
        <is>
          <t>Poids cumulés</t>
        </is>
      </c>
      <c r="S5" s="492" t="inlineStr">
        <is>
          <t>U</t>
        </is>
      </c>
      <c r="T5" s="532" t="inlineStr">
        <is>
          <t>%</t>
        </is>
      </c>
      <c r="V5" s="490" t="inlineStr">
        <is>
          <t>VIANDES</t>
        </is>
      </c>
      <c r="W5" s="491" t="inlineStr">
        <is>
          <t>Mêlée de 150 KG</t>
        </is>
      </c>
      <c r="X5" s="491" t="inlineStr">
        <is>
          <t>Poids cumulés</t>
        </is>
      </c>
      <c r="Y5" s="492" t="inlineStr">
        <is>
          <t>U</t>
        </is>
      </c>
      <c r="Z5" s="532" t="inlineStr">
        <is>
          <t>%</t>
        </is>
      </c>
      <c r="AB5" s="490" t="inlineStr">
        <is>
          <t>VIANDES</t>
        </is>
      </c>
      <c r="AC5" s="491" t="inlineStr">
        <is>
          <t>Mêlée de 150 KG</t>
        </is>
      </c>
      <c r="AD5" s="491" t="inlineStr">
        <is>
          <t>Poids cumulés</t>
        </is>
      </c>
      <c r="AE5" s="492" t="inlineStr">
        <is>
          <t>U</t>
        </is>
      </c>
      <c r="AF5" s="532" t="inlineStr">
        <is>
          <t>%</t>
        </is>
      </c>
      <c r="AH5" s="487" t="inlineStr">
        <is>
          <t>VIANDES</t>
        </is>
      </c>
      <c r="AI5" s="560" t="inlineStr">
        <is>
          <t>Mêlée de 150 KG</t>
        </is>
      </c>
      <c r="AJ5" s="560" t="inlineStr">
        <is>
          <t>Poids cumulés</t>
        </is>
      </c>
      <c r="AK5" s="561" t="inlineStr">
        <is>
          <t>U</t>
        </is>
      </c>
      <c r="AL5" s="562" t="inlineStr">
        <is>
          <t>%</t>
        </is>
      </c>
      <c r="AN5" s="487" t="inlineStr">
        <is>
          <t>VIANDES</t>
        </is>
      </c>
      <c r="AO5" s="560" t="inlineStr">
        <is>
          <t>Mêlée de 150 KG</t>
        </is>
      </c>
      <c r="AP5" s="560" t="inlineStr">
        <is>
          <t>Poids cumulés</t>
        </is>
      </c>
      <c r="AQ5" s="561" t="inlineStr">
        <is>
          <t>U</t>
        </is>
      </c>
      <c r="AR5" s="562" t="inlineStr">
        <is>
          <t>%</t>
        </is>
      </c>
    </row>
    <row r="6" ht="19.5" customHeight="1" s="1025" thickTop="1">
      <c r="A6" s="28" t="inlineStr">
        <is>
          <t>SEL NITRITE E250</t>
        </is>
      </c>
      <c r="B6" s="22" t="n">
        <v>3.75</v>
      </c>
      <c r="C6" s="24" t="inlineStr">
        <is>
          <t>Kg</t>
        </is>
      </c>
      <c r="D6" s="100">
        <f>B6*$D$5</f>
        <v/>
      </c>
      <c r="F6" s="498" t="inlineStr">
        <is>
          <t>Eau froide</t>
        </is>
      </c>
      <c r="G6" s="22" t="n">
        <v>7</v>
      </c>
      <c r="H6" s="24" t="inlineStr">
        <is>
          <t>Kg</t>
        </is>
      </c>
      <c r="I6" s="499">
        <f>G6*$I$5</f>
        <v/>
      </c>
      <c r="J6" s="538" t="inlineStr">
        <is>
          <t>FLANCHET DE DINDE</t>
        </is>
      </c>
      <c r="K6" s="512">
        <f>'Recette viandes'!B11</f>
        <v/>
      </c>
      <c r="L6" s="539">
        <f>K6</f>
        <v/>
      </c>
      <c r="M6" s="540" t="inlineStr">
        <is>
          <t>kg</t>
        </is>
      </c>
      <c r="N6" s="511">
        <f>K6*100/$K$9</f>
        <v/>
      </c>
      <c r="P6" s="538" t="inlineStr">
        <is>
          <t>FLANCHET DE DINDE</t>
        </is>
      </c>
      <c r="Q6" s="512">
        <f>'Recette viandes'!B11</f>
        <v/>
      </c>
      <c r="R6" s="539">
        <f>Q6</f>
        <v/>
      </c>
      <c r="S6" s="540" t="inlineStr">
        <is>
          <t>kg</t>
        </is>
      </c>
      <c r="T6" s="511">
        <f>Q6*100/$Q$9</f>
        <v/>
      </c>
      <c r="V6" s="538" t="inlineStr">
        <is>
          <t>FLANCHET DE DINDE</t>
        </is>
      </c>
      <c r="W6" s="512">
        <f>'Recette viandes'!B11</f>
        <v/>
      </c>
      <c r="X6" s="539">
        <f>W6</f>
        <v/>
      </c>
      <c r="Y6" s="540" t="inlineStr">
        <is>
          <t>kg</t>
        </is>
      </c>
      <c r="Z6" s="511">
        <f>W6*100/$W$9</f>
        <v/>
      </c>
      <c r="AB6" s="538" t="inlineStr">
        <is>
          <t>FLANCHET DE DINDE</t>
        </is>
      </c>
      <c r="AC6" s="512">
        <f>'Recette viandes'!B11</f>
        <v/>
      </c>
      <c r="AD6" s="539">
        <f>AC6</f>
        <v/>
      </c>
      <c r="AE6" s="540" t="inlineStr">
        <is>
          <t>kg</t>
        </is>
      </c>
      <c r="AF6" s="511">
        <f>AC6*100/$AC$9</f>
        <v/>
      </c>
      <c r="AH6" s="538" t="inlineStr">
        <is>
          <t>FLANCHET DE DINDE</t>
        </is>
      </c>
      <c r="AI6" s="512">
        <f>'Recette viandes'!D11</f>
        <v/>
      </c>
      <c r="AJ6" s="539">
        <f>AI6</f>
        <v/>
      </c>
      <c r="AK6" s="513" t="inlineStr">
        <is>
          <t>kg</t>
        </is>
      </c>
      <c r="AL6" s="511">
        <f>AI6*100/$AI$9</f>
        <v/>
      </c>
      <c r="AN6" s="538" t="inlineStr">
        <is>
          <t>FLANCHET DE DINDE</t>
        </is>
      </c>
      <c r="AO6" s="512">
        <f>'Recette viandes'!D11</f>
        <v/>
      </c>
      <c r="AP6" s="539">
        <f>AO6</f>
        <v/>
      </c>
      <c r="AQ6" s="513" t="inlineStr">
        <is>
          <t>kg</t>
        </is>
      </c>
      <c r="AR6" s="511">
        <f>AO6*100/$AO$9</f>
        <v/>
      </c>
    </row>
    <row r="7" ht="19.5" customHeight="1" s="1025">
      <c r="A7" s="29" t="inlineStr">
        <is>
          <t xml:space="preserve">SEL </t>
        </is>
      </c>
      <c r="B7" s="27" t="n">
        <v>0.75</v>
      </c>
      <c r="C7" s="19" t="inlineStr">
        <is>
          <t>Kg</t>
        </is>
      </c>
      <c r="D7" s="35">
        <f>B7*$D$5</f>
        <v/>
      </c>
      <c r="F7" s="504" t="inlineStr">
        <is>
          <t>Sel</t>
        </is>
      </c>
      <c r="G7" s="27" t="n">
        <v>3.6</v>
      </c>
      <c r="H7" s="19" t="inlineStr">
        <is>
          <t>Kg</t>
        </is>
      </c>
      <c r="I7" s="271">
        <f>G7*$I$5</f>
        <v/>
      </c>
      <c r="J7" s="542" t="inlineStr">
        <is>
          <t>MINERAI DE BŒUF</t>
        </is>
      </c>
      <c r="K7" s="518">
        <f>'Recette viandes'!B8</f>
        <v/>
      </c>
      <c r="L7" s="543">
        <f>L6+K7</f>
        <v/>
      </c>
      <c r="M7" s="519" t="inlineStr">
        <is>
          <t>kg</t>
        </is>
      </c>
      <c r="N7" s="497">
        <f>K7*100/$K$9</f>
        <v/>
      </c>
      <c r="P7" s="542" t="inlineStr">
        <is>
          <t>MINERAI DE BŒUF</t>
        </is>
      </c>
      <c r="Q7" s="518">
        <f>'Recette viandes'!B8</f>
        <v/>
      </c>
      <c r="R7" s="543">
        <f>R6+Q7</f>
        <v/>
      </c>
      <c r="S7" s="519" t="inlineStr">
        <is>
          <t>kg</t>
        </is>
      </c>
      <c r="T7" s="497">
        <f>Q7*100/$Q$9</f>
        <v/>
      </c>
      <c r="V7" s="542" t="inlineStr">
        <is>
          <t>MINERAI DE BŒUF</t>
        </is>
      </c>
      <c r="W7" s="518">
        <f>'Recette viandes'!B8</f>
        <v/>
      </c>
      <c r="X7" s="543">
        <f>X6+W7</f>
        <v/>
      </c>
      <c r="Y7" s="519" t="inlineStr">
        <is>
          <t>kg</t>
        </is>
      </c>
      <c r="Z7" s="497">
        <f>W7*100/$W$9</f>
        <v/>
      </c>
      <c r="AB7" s="542" t="inlineStr">
        <is>
          <t>MINERAI DE BŒUF</t>
        </is>
      </c>
      <c r="AC7" s="518">
        <f>'Recette viandes'!B8</f>
        <v/>
      </c>
      <c r="AD7" s="543">
        <f>AD6+AC7</f>
        <v/>
      </c>
      <c r="AE7" s="519" t="inlineStr">
        <is>
          <t>kg</t>
        </is>
      </c>
      <c r="AF7" s="497">
        <f>AC7*100/$AC$9</f>
        <v/>
      </c>
      <c r="AH7" s="542" t="inlineStr">
        <is>
          <t>MINERAI DE BŒUF</t>
        </is>
      </c>
      <c r="AI7" s="518">
        <f>'Recette viandes'!D8</f>
        <v/>
      </c>
      <c r="AJ7" s="543">
        <f>AJ6+AI7</f>
        <v/>
      </c>
      <c r="AK7" s="519" t="inlineStr">
        <is>
          <t>kg</t>
        </is>
      </c>
      <c r="AL7" s="497">
        <f>AI7*100/$AI$9</f>
        <v/>
      </c>
      <c r="AN7" s="542" t="inlineStr">
        <is>
          <t>MINERAI DE BŒUF</t>
        </is>
      </c>
      <c r="AO7" s="518">
        <f>'Recette viandes'!D8</f>
        <v/>
      </c>
      <c r="AP7" s="543">
        <f>AP6+AO7</f>
        <v/>
      </c>
      <c r="AQ7" s="519" t="inlineStr">
        <is>
          <t>kg</t>
        </is>
      </c>
      <c r="AR7" s="497">
        <f>AO7*100/$AO$9</f>
        <v/>
      </c>
    </row>
    <row r="8" ht="20.25" customHeight="1" s="1025" thickBot="1">
      <c r="A8" s="30" t="inlineStr">
        <is>
          <t>SALPETRE E252</t>
        </is>
      </c>
      <c r="B8" s="12" t="n">
        <v>0.018</v>
      </c>
      <c r="C8" s="18" t="inlineStr">
        <is>
          <t>Kg</t>
        </is>
      </c>
      <c r="D8" s="35">
        <f>B8*$D$5</f>
        <v/>
      </c>
      <c r="F8" s="508" t="inlineStr">
        <is>
          <t>Complet</t>
        </is>
      </c>
      <c r="G8" s="47" t="n">
        <v>9.1</v>
      </c>
      <c r="H8" s="48" t="inlineStr">
        <is>
          <t>Kg</t>
        </is>
      </c>
      <c r="I8" s="509">
        <f>G8*$I$5</f>
        <v/>
      </c>
      <c r="J8" s="544" t="inlineStr">
        <is>
          <t>GRAS DE BŒUF</t>
        </is>
      </c>
      <c r="K8" s="545">
        <f>'Recette viandes'!B10</f>
        <v/>
      </c>
      <c r="L8" s="546">
        <f>L7+K8</f>
        <v/>
      </c>
      <c r="M8" s="547" t="inlineStr">
        <is>
          <t>kg</t>
        </is>
      </c>
      <c r="N8" s="599">
        <f>K8*100/$K$9</f>
        <v/>
      </c>
      <c r="P8" s="544" t="inlineStr">
        <is>
          <t>GRAS DE BŒUF</t>
        </is>
      </c>
      <c r="Q8" s="545">
        <f>'Recette viandes'!B10</f>
        <v/>
      </c>
      <c r="R8" s="546">
        <f>R7+Q8</f>
        <v/>
      </c>
      <c r="S8" s="547" t="inlineStr">
        <is>
          <t>kg</t>
        </is>
      </c>
      <c r="T8" s="511">
        <f>Q8*100/$Q$9</f>
        <v/>
      </c>
      <c r="V8" s="544" t="inlineStr">
        <is>
          <t>GRAS DE BŒUF</t>
        </is>
      </c>
      <c r="W8" s="545">
        <f>'Recette viandes'!B10</f>
        <v/>
      </c>
      <c r="X8" s="546">
        <f>X7+W8</f>
        <v/>
      </c>
      <c r="Y8" s="547" t="inlineStr">
        <is>
          <t>kg</t>
        </is>
      </c>
      <c r="Z8" s="511">
        <f>W8*100/$W$9</f>
        <v/>
      </c>
      <c r="AB8" s="544" t="inlineStr">
        <is>
          <t>GRAS DE BŒUF</t>
        </is>
      </c>
      <c r="AC8" s="545">
        <f>'Recette viandes'!B10</f>
        <v/>
      </c>
      <c r="AD8" s="546">
        <f>AD7+AC8</f>
        <v/>
      </c>
      <c r="AE8" s="547" t="inlineStr">
        <is>
          <t>kg</t>
        </is>
      </c>
      <c r="AF8" s="511">
        <f>AC8*100/$AC$9</f>
        <v/>
      </c>
      <c r="AH8" s="541" t="inlineStr">
        <is>
          <t>GRAS DE BŒUF</t>
        </is>
      </c>
      <c r="AI8" s="501">
        <f>'Recette viandes'!D10</f>
        <v/>
      </c>
      <c r="AJ8" s="502">
        <f>AJ7+AI8</f>
        <v/>
      </c>
      <c r="AK8" s="503" t="inlineStr">
        <is>
          <t>kg</t>
        </is>
      </c>
      <c r="AL8" s="511">
        <f>AI8*100/$AI$9</f>
        <v/>
      </c>
      <c r="AN8" s="541" t="inlineStr">
        <is>
          <t>GRAS DE BŒUF</t>
        </is>
      </c>
      <c r="AO8" s="501">
        <f>'Recette viandes'!D10</f>
        <v/>
      </c>
      <c r="AP8" s="502">
        <f>AP7+AO8</f>
        <v/>
      </c>
      <c r="AQ8" s="503" t="inlineStr">
        <is>
          <t>kg</t>
        </is>
      </c>
      <c r="AR8" s="511">
        <f>AO8*100/$AO$9</f>
        <v/>
      </c>
    </row>
    <row r="9" ht="18.75" customHeight="1" s="1025" thickBot="1">
      <c r="A9" s="29" t="inlineStr">
        <is>
          <t>DEXTROSE</t>
        </is>
      </c>
      <c r="B9" s="27" t="n">
        <v>0.45</v>
      </c>
      <c r="C9" s="19" t="inlineStr">
        <is>
          <t>Kg</t>
        </is>
      </c>
      <c r="D9" s="35">
        <f>B9*$D$5</f>
        <v/>
      </c>
      <c r="F9" s="514" t="inlineStr">
        <is>
          <t>Ferment  (100kgs)</t>
        </is>
      </c>
      <c r="G9" s="50" t="n">
        <v>2</v>
      </c>
      <c r="H9" s="51" t="inlineStr">
        <is>
          <t>Sachet</t>
        </is>
      </c>
      <c r="I9" s="515">
        <f>G9*$I$5</f>
        <v/>
      </c>
      <c r="J9" s="490" t="inlineStr">
        <is>
          <t>TOTAL VIANDES</t>
        </is>
      </c>
      <c r="K9" s="563">
        <f>SUM(K6:K8)</f>
        <v/>
      </c>
      <c r="L9" s="564">
        <f>L8</f>
        <v/>
      </c>
      <c r="M9" s="492" t="inlineStr">
        <is>
          <t>kg</t>
        </is>
      </c>
      <c r="N9" s="600">
        <f>SUM(N6:N8)</f>
        <v/>
      </c>
      <c r="P9" s="490" t="inlineStr">
        <is>
          <t>TOTAL VIANDES</t>
        </is>
      </c>
      <c r="Q9" s="563">
        <f>SUM(Q6:Q8)</f>
        <v/>
      </c>
      <c r="R9" s="564">
        <f>R8</f>
        <v/>
      </c>
      <c r="S9" s="492" t="inlineStr">
        <is>
          <t>kg</t>
        </is>
      </c>
      <c r="T9" s="565">
        <f>SUM(T6:T8)</f>
        <v/>
      </c>
      <c r="V9" s="490" t="inlineStr">
        <is>
          <t>TOTAL VIANDES</t>
        </is>
      </c>
      <c r="W9" s="563">
        <f>SUM(W6:W8)</f>
        <v/>
      </c>
      <c r="X9" s="564">
        <f>X8</f>
        <v/>
      </c>
      <c r="Y9" s="492" t="inlineStr">
        <is>
          <t>kg</t>
        </is>
      </c>
      <c r="Z9" s="565">
        <f>SUM(Z6:Z8)</f>
        <v/>
      </c>
      <c r="AB9" s="490" t="inlineStr">
        <is>
          <t>TOTAL VIANDES</t>
        </is>
      </c>
      <c r="AC9" s="563">
        <f>SUM(AC6:AC8)</f>
        <v/>
      </c>
      <c r="AD9" s="564">
        <f>AD8</f>
        <v/>
      </c>
      <c r="AE9" s="492" t="inlineStr">
        <is>
          <t>kg</t>
        </is>
      </c>
      <c r="AF9" s="565">
        <f>SUM(AF6:AF8)</f>
        <v/>
      </c>
      <c r="AH9" s="566" t="inlineStr">
        <is>
          <t>TOTAL VIANDES</t>
        </is>
      </c>
      <c r="AI9" s="548">
        <f>SUM(AI6:AI8)</f>
        <v/>
      </c>
      <c r="AJ9" s="601">
        <f>AJ8</f>
        <v/>
      </c>
      <c r="AK9" s="492" t="inlineStr">
        <is>
          <t>kg</t>
        </is>
      </c>
      <c r="AL9" s="567">
        <f>SUM(AL6:AL8)</f>
        <v/>
      </c>
      <c r="AN9" s="566" t="inlineStr">
        <is>
          <t>TOTAL VIANDES</t>
        </is>
      </c>
      <c r="AO9" s="548">
        <f>SUM(AO6:AO8)</f>
        <v/>
      </c>
      <c r="AP9" s="601">
        <f>AP8</f>
        <v/>
      </c>
      <c r="AQ9" s="492" t="inlineStr">
        <is>
          <t>kg</t>
        </is>
      </c>
      <c r="AR9" s="565">
        <f>SUM(AR6:AR8)</f>
        <v/>
      </c>
    </row>
    <row r="10" ht="18.75" customFormat="1" customHeight="1" s="1075">
      <c r="A10" s="762" t="inlineStr">
        <is>
          <t>SACCHAROSE</t>
        </is>
      </c>
      <c r="B10" s="763" t="n">
        <v>0.3</v>
      </c>
      <c r="C10" s="764" t="inlineStr">
        <is>
          <t>Kg</t>
        </is>
      </c>
      <c r="D10" s="765">
        <f>B10*$D$5</f>
        <v/>
      </c>
      <c r="F10" s="1074" t="inlineStr">
        <is>
          <t>Faire une purée dans un seau 
Ajouter la purée à la viande, laisser mélanger jusqu'à obtenir une pâte uniforme. Puis intégrer les ferments</t>
        </is>
      </c>
      <c r="J10" s="574" t="inlineStr">
        <is>
          <t>% Viandes = Viande Concernée X 100 / Total Viandes</t>
        </is>
      </c>
      <c r="P10" s="574" t="inlineStr">
        <is>
          <t>% Viandes = Viande Concernée X 100 / Total Viandes</t>
        </is>
      </c>
      <c r="V10" s="574" t="inlineStr">
        <is>
          <t>% Viandes = Viande Concernée X 100 / Total Viandes</t>
        </is>
      </c>
      <c r="AB10" s="574" t="inlineStr">
        <is>
          <t>% Viandes = Viande Concernée X 100 / Total Viandes</t>
        </is>
      </c>
      <c r="AH10" s="574" t="inlineStr">
        <is>
          <t>% Viandes = Viande Concernée X 100 / Total Viandes</t>
        </is>
      </c>
      <c r="AN10" s="574" t="inlineStr">
        <is>
          <t>% Viandes = Viande Concernée X 100 / Total Viandes</t>
        </is>
      </c>
    </row>
    <row r="11" ht="18.75" customHeight="1" s="1025" thickBot="1">
      <c r="A11" s="29" t="inlineStr">
        <is>
          <t>LACTOSE</t>
        </is>
      </c>
      <c r="B11" s="27" t="n">
        <v>3</v>
      </c>
      <c r="C11" s="19" t="inlineStr">
        <is>
          <t>Kg</t>
        </is>
      </c>
      <c r="D11" s="35">
        <f>B11*$D$5</f>
        <v/>
      </c>
      <c r="F11" s="1076" t="n"/>
      <c r="J11" s="995" t="n"/>
      <c r="L11" s="994" t="n"/>
      <c r="M11" s="994" t="n"/>
      <c r="P11" s="995" t="n"/>
      <c r="V11" s="995" t="n"/>
      <c r="AB11" s="995" t="n"/>
    </row>
    <row r="12" ht="45.75" customHeight="1" s="1025" thickBot="1">
      <c r="A12" s="30" t="inlineStr">
        <is>
          <t>POIVRE MOULU</t>
        </is>
      </c>
      <c r="B12" s="12" t="n">
        <v>0.3</v>
      </c>
      <c r="C12" s="18" t="inlineStr">
        <is>
          <t>Kg</t>
        </is>
      </c>
      <c r="D12" s="35">
        <f>B12*$D$5</f>
        <v/>
      </c>
      <c r="F12" s="1083" t="inlineStr">
        <is>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is>
      </c>
      <c r="J12" s="490" t="inlineStr">
        <is>
          <t>ASSAISONNEMENT</t>
        </is>
      </c>
      <c r="K12" s="553" t="inlineStr">
        <is>
          <t>Mêlée de 
150 KG</t>
        </is>
      </c>
      <c r="L12" s="553" t="inlineStr">
        <is>
          <t>Poids cumulés</t>
        </is>
      </c>
      <c r="M12" s="491" t="inlineStr">
        <is>
          <t>U</t>
        </is>
      </c>
      <c r="N12" s="554" t="inlineStr">
        <is>
          <t>%</t>
        </is>
      </c>
      <c r="P12" s="490" t="inlineStr">
        <is>
          <t>ASSAISONNEMENT</t>
        </is>
      </c>
      <c r="Q12" s="553" t="inlineStr">
        <is>
          <t>Mêlée de 
150 KG</t>
        </is>
      </c>
      <c r="R12" s="553" t="inlineStr">
        <is>
          <t>Poids cumulés</t>
        </is>
      </c>
      <c r="S12" s="491" t="inlineStr">
        <is>
          <t>U</t>
        </is>
      </c>
      <c r="T12" s="554" t="inlineStr">
        <is>
          <t>%</t>
        </is>
      </c>
      <c r="V12" s="490" t="inlineStr">
        <is>
          <t>ASSAISONNEMENT</t>
        </is>
      </c>
      <c r="W12" s="553" t="inlineStr">
        <is>
          <t>Mêlée de 
150 KG</t>
        </is>
      </c>
      <c r="X12" s="553" t="inlineStr">
        <is>
          <t>Poids cumulés</t>
        </is>
      </c>
      <c r="Y12" s="491" t="inlineStr">
        <is>
          <t>U</t>
        </is>
      </c>
      <c r="Z12" s="554" t="inlineStr">
        <is>
          <t>%</t>
        </is>
      </c>
      <c r="AB12" s="490" t="inlineStr">
        <is>
          <t>ASSAISONNEMENT</t>
        </is>
      </c>
      <c r="AC12" s="553" t="inlineStr">
        <is>
          <t>Mêlée de 
150 KG</t>
        </is>
      </c>
      <c r="AD12" s="553" t="inlineStr">
        <is>
          <t>Poids cumulés</t>
        </is>
      </c>
      <c r="AE12" s="491" t="inlineStr">
        <is>
          <t>U</t>
        </is>
      </c>
      <c r="AF12" s="554" t="inlineStr">
        <is>
          <t>%</t>
        </is>
      </c>
      <c r="AH12" s="490" t="inlineStr">
        <is>
          <t>ASSAISONNEMENT</t>
        </is>
      </c>
      <c r="AI12" s="491" t="inlineStr">
        <is>
          <t>Mêlée de 
150 KG</t>
        </is>
      </c>
      <c r="AJ12" s="491" t="inlineStr">
        <is>
          <t>Poids cumulés</t>
        </is>
      </c>
      <c r="AK12" s="492" t="inlineStr">
        <is>
          <t>U</t>
        </is>
      </c>
      <c r="AL12" s="493" t="inlineStr">
        <is>
          <t>%</t>
        </is>
      </c>
      <c r="AN12" s="490" t="inlineStr">
        <is>
          <t>ASSAISONNEMENT</t>
        </is>
      </c>
      <c r="AO12" s="491" t="inlineStr">
        <is>
          <t>Mêlée de 
150 KG</t>
        </is>
      </c>
      <c r="AP12" s="491" t="inlineStr">
        <is>
          <t>Poids cumulés</t>
        </is>
      </c>
      <c r="AQ12" s="492" t="inlineStr">
        <is>
          <t>U</t>
        </is>
      </c>
      <c r="AR12" s="493" t="inlineStr">
        <is>
          <t>%</t>
        </is>
      </c>
    </row>
    <row r="13" ht="18.75" customHeight="1" s="1025">
      <c r="A13" s="29" t="inlineStr">
        <is>
          <t>AIL SEMOULE</t>
        </is>
      </c>
      <c r="B13" s="27" t="n">
        <v>0.08</v>
      </c>
      <c r="C13" s="19" t="inlineStr">
        <is>
          <t>Kg</t>
        </is>
      </c>
      <c r="D13" s="35">
        <f>B13*$D$5</f>
        <v/>
      </c>
      <c r="F13" s="1076" t="n"/>
      <c r="J13" s="555" t="inlineStr">
        <is>
          <t>SEL NITRITE</t>
        </is>
      </c>
      <c r="K13" s="576">
        <f>'Halal G.P - 200 et BN '!J6</f>
        <v/>
      </c>
      <c r="L13" s="576">
        <f>K13</f>
        <v/>
      </c>
      <c r="M13" s="496" t="inlineStr">
        <is>
          <t>kg</t>
        </is>
      </c>
      <c r="N13" s="556">
        <f>K13*100/($K$9+SUM($K$13:$K$26))</f>
        <v/>
      </c>
      <c r="P13" s="555" t="inlineStr">
        <is>
          <t>SEL NITRITE</t>
        </is>
      </c>
      <c r="Q13" s="576">
        <f>'Halrizo 200 + GP '!W6</f>
        <v/>
      </c>
      <c r="R13" s="576">
        <f>Q13</f>
        <v/>
      </c>
      <c r="S13" s="496" t="inlineStr">
        <is>
          <t>kg</t>
        </is>
      </c>
      <c r="T13" s="556">
        <f>Q13*100/($Q$9+SUM($Q$13:$Q$27))</f>
        <v/>
      </c>
      <c r="V13" s="555" t="inlineStr">
        <is>
          <t>SEL NITRITE</t>
        </is>
      </c>
      <c r="W13" s="576">
        <f>'Halal G.P - 200 et BN '!R6</f>
        <v/>
      </c>
      <c r="X13" s="576">
        <f>W13</f>
        <v/>
      </c>
      <c r="Y13" s="496" t="inlineStr">
        <is>
          <t>kg</t>
        </is>
      </c>
      <c r="Z13" s="556">
        <f>W13*100/($W$9+SUM($W$13:$W$26))</f>
        <v/>
      </c>
      <c r="AB13" s="555" t="inlineStr">
        <is>
          <t>SEL NITRITE</t>
        </is>
      </c>
      <c r="AC13" s="576">
        <f>'Halal 350 BN Pimenté'!B5</f>
        <v/>
      </c>
      <c r="AD13" s="576">
        <f>AC13</f>
        <v/>
      </c>
      <c r="AE13" s="496" t="inlineStr">
        <is>
          <t>kg</t>
        </is>
      </c>
      <c r="AF13" s="556">
        <f>AC13*100/($AC$9+SUM($AC$13:$AC$25))</f>
        <v/>
      </c>
      <c r="AH13" s="495" t="inlineStr">
        <is>
          <t>SEL NITRITE</t>
        </is>
      </c>
      <c r="AI13" s="576">
        <f>'Halrizo 200 + GP '!L6</f>
        <v/>
      </c>
      <c r="AJ13" s="617">
        <f>AI13</f>
        <v/>
      </c>
      <c r="AK13" s="496" t="inlineStr">
        <is>
          <t>kg</t>
        </is>
      </c>
      <c r="AL13" s="497">
        <f>AI13*100/($AI$9+SUM($AI$13:$AI$27))</f>
        <v/>
      </c>
      <c r="AN13" s="495" t="inlineStr">
        <is>
          <t>SEL NITRITE</t>
        </is>
      </c>
      <c r="AO13" s="576">
        <f>'Halal G.P - 200 et BN '!B6</f>
        <v/>
      </c>
      <c r="AP13" s="617">
        <f>AO13</f>
        <v/>
      </c>
      <c r="AQ13" s="496" t="inlineStr">
        <is>
          <t>kg</t>
        </is>
      </c>
      <c r="AR13" s="497">
        <f>AO13*100/($AO$9+SUM($AO$13:$AO$26))</f>
        <v/>
      </c>
    </row>
    <row r="14" ht="18.75" customHeight="1" s="1025">
      <c r="A14" s="30" t="inlineStr">
        <is>
          <t>PHOSPHATE bullin E450</t>
        </is>
      </c>
      <c r="B14" s="12" t="n">
        <v>0.75</v>
      </c>
      <c r="C14" s="18" t="inlineStr">
        <is>
          <t>Kg</t>
        </is>
      </c>
      <c r="D14" s="35">
        <f>B14*$D$5</f>
        <v/>
      </c>
      <c r="F14" s="1076" t="n"/>
      <c r="J14" s="500" t="inlineStr">
        <is>
          <t xml:space="preserve">SEL </t>
        </is>
      </c>
      <c r="K14" s="577">
        <f>'Halal G.P - 200 et BN '!J7</f>
        <v/>
      </c>
      <c r="L14" s="577">
        <f>L13+K14</f>
        <v/>
      </c>
      <c r="M14" s="503" t="inlineStr">
        <is>
          <t>kg</t>
        </is>
      </c>
      <c r="N14" s="558">
        <f>K14*100/($K$9+SUM($K$13:$K$26))</f>
        <v/>
      </c>
      <c r="P14" s="500" t="inlineStr">
        <is>
          <t xml:space="preserve">SEL </t>
        </is>
      </c>
      <c r="Q14" s="577">
        <f>'Halrizo 200 + GP '!W7</f>
        <v/>
      </c>
      <c r="R14" s="577">
        <f>R13+Q14</f>
        <v/>
      </c>
      <c r="S14" s="503" t="inlineStr">
        <is>
          <t>kg</t>
        </is>
      </c>
      <c r="T14" s="558">
        <f>Q14*100/($Q$9+SUM($Q$13:$Q$27))</f>
        <v/>
      </c>
      <c r="V14" s="500" t="inlineStr">
        <is>
          <t>SEL</t>
        </is>
      </c>
      <c r="W14" s="577">
        <f>'Halal G.P - 200 et BN '!R7</f>
        <v/>
      </c>
      <c r="X14" s="577">
        <f>X13+W14</f>
        <v/>
      </c>
      <c r="Y14" s="503" t="inlineStr">
        <is>
          <t>kg</t>
        </is>
      </c>
      <c r="Z14" s="558">
        <f>W14*100/($W$9+SUM($W$13:$W$26))</f>
        <v/>
      </c>
      <c r="AB14" s="500" t="inlineStr">
        <is>
          <t>SEL</t>
        </is>
      </c>
      <c r="AC14" s="577">
        <f>'Halal 350 BN Pimenté'!B6</f>
        <v/>
      </c>
      <c r="AD14" s="577">
        <f>AD13+AC14</f>
        <v/>
      </c>
      <c r="AE14" s="503" t="inlineStr">
        <is>
          <t>kg</t>
        </is>
      </c>
      <c r="AF14" s="558">
        <f>AC14*100/($AC$9+SUM($AC$13:$AC$25))</f>
        <v/>
      </c>
      <c r="AH14" s="557" t="inlineStr">
        <is>
          <t xml:space="preserve">SEL </t>
        </is>
      </c>
      <c r="AI14" s="577">
        <f>'Halrizo 200 + GP '!L7</f>
        <v/>
      </c>
      <c r="AJ14" s="618">
        <f>AJ13+AI14</f>
        <v/>
      </c>
      <c r="AK14" s="503" t="inlineStr">
        <is>
          <t>kg</t>
        </is>
      </c>
      <c r="AL14" s="511">
        <f>AI14*100/($AI$9+SUM($AI$13:$AI$27))</f>
        <v/>
      </c>
      <c r="AN14" s="557" t="inlineStr">
        <is>
          <t xml:space="preserve">SEL </t>
        </is>
      </c>
      <c r="AO14" s="577">
        <f>'Halal G.P - 200 et BN '!B7</f>
        <v/>
      </c>
      <c r="AP14" s="618">
        <f>AP13+AO14</f>
        <v/>
      </c>
      <c r="AQ14" s="503" t="inlineStr">
        <is>
          <t>kg</t>
        </is>
      </c>
      <c r="AR14" s="511">
        <f>AO14*100/($AO$9+SUM($AO$13:$AO$26))</f>
        <v/>
      </c>
    </row>
    <row r="15" ht="19.5" customHeight="1" s="1025" thickBot="1">
      <c r="A15" s="29" t="inlineStr">
        <is>
          <t>PIMENT FORT</t>
        </is>
      </c>
      <c r="B15" s="27" t="n">
        <v>0.75</v>
      </c>
      <c r="C15" s="19" t="inlineStr">
        <is>
          <t>Kg</t>
        </is>
      </c>
      <c r="D15" s="35">
        <f>B15*$D$5</f>
        <v/>
      </c>
      <c r="F15" s="521" t="n"/>
      <c r="G15" s="104" t="n"/>
      <c r="H15" s="104" t="n"/>
      <c r="I15" s="104" t="n"/>
      <c r="J15" s="507" t="inlineStr">
        <is>
          <t>NITRATE DE POTASSIUM</t>
        </is>
      </c>
      <c r="K15" s="578">
        <f>'Halal G.P - 200 et BN '!J8</f>
        <v/>
      </c>
      <c r="L15" s="624">
        <f>L14+K15</f>
        <v/>
      </c>
      <c r="M15" s="505" t="inlineStr">
        <is>
          <t>kg</t>
        </is>
      </c>
      <c r="N15" s="572">
        <f>K15*100/($K$9+SUM($K$13:$K$26))</f>
        <v/>
      </c>
      <c r="P15" s="507" t="inlineStr">
        <is>
          <t>NITRATE DE POTASSIUM</t>
        </is>
      </c>
      <c r="Q15" s="578">
        <f>'Halrizo 200 + GP '!W8</f>
        <v/>
      </c>
      <c r="R15" s="624">
        <f>R14+Q15</f>
        <v/>
      </c>
      <c r="S15" s="505" t="inlineStr">
        <is>
          <t>kg</t>
        </is>
      </c>
      <c r="T15" s="572">
        <f>Q15*100/($Q$9+SUM($Q$13:$Q$27))</f>
        <v/>
      </c>
      <c r="V15" s="507" t="inlineStr">
        <is>
          <t>NITRATE DE POTASSIUM</t>
        </is>
      </c>
      <c r="W15" s="578">
        <f>'Halal G.P - 200 et BN '!R8</f>
        <v/>
      </c>
      <c r="X15" s="624">
        <f>X14+W15</f>
        <v/>
      </c>
      <c r="Y15" s="505" t="inlineStr">
        <is>
          <t>kg</t>
        </is>
      </c>
      <c r="Z15" s="572">
        <f>W15*100/($W$9+SUM($W$13:$W$26))</f>
        <v/>
      </c>
      <c r="AB15" s="507" t="inlineStr">
        <is>
          <t>NITRATE DE POTASSIUM</t>
        </is>
      </c>
      <c r="AC15" s="578">
        <f>'Halal 350 BN Pimenté'!B7</f>
        <v/>
      </c>
      <c r="AD15" s="624">
        <f>AD14+AC15</f>
        <v/>
      </c>
      <c r="AE15" s="505" t="inlineStr">
        <is>
          <t>kg</t>
        </is>
      </c>
      <c r="AF15" s="572">
        <f>AC15*100/($AC$9+SUM($AC$13:$AC$25))</f>
        <v/>
      </c>
      <c r="AH15" s="507" t="inlineStr">
        <is>
          <t>NITRATE DE POTASSIUM</t>
        </is>
      </c>
      <c r="AI15" s="602">
        <f>'Halrizo 200 + GP '!L8</f>
        <v/>
      </c>
      <c r="AJ15" s="628">
        <f>AJ14+AI15</f>
        <v/>
      </c>
      <c r="AK15" s="527" t="inlineStr">
        <is>
          <t>kg</t>
        </is>
      </c>
      <c r="AL15" s="506">
        <f>AI15*100/($AI$9+SUM($AI$13:$AI$27))</f>
        <v/>
      </c>
      <c r="AN15" s="507" t="inlineStr">
        <is>
          <t>NITRATE DE POTASSIUM</t>
        </is>
      </c>
      <c r="AO15" s="602">
        <f>'Halal G.P - 200 et BN '!B8</f>
        <v/>
      </c>
      <c r="AP15" s="619">
        <f>AP14+AO15</f>
        <v/>
      </c>
      <c r="AQ15" s="527" t="inlineStr">
        <is>
          <t>kg</t>
        </is>
      </c>
      <c r="AR15" s="506">
        <f>AO15*100/($AO$9+SUM($AO$13:$AO$26))</f>
        <v/>
      </c>
    </row>
    <row r="16" ht="24" customHeight="1" s="1025" thickBot="1" thickTop="1">
      <c r="A16" s="30" t="inlineStr">
        <is>
          <t>PIMENT DOUX</t>
        </is>
      </c>
      <c r="B16" s="12" t="n">
        <v>6</v>
      </c>
      <c r="C16" s="18" t="inlineStr">
        <is>
          <t>Kg</t>
        </is>
      </c>
      <c r="D16" s="35">
        <f>B16*$D$5</f>
        <v/>
      </c>
      <c r="F16" s="1071" t="inlineStr">
        <is>
          <t>HALAL 200 COMPLET VAN HESS</t>
        </is>
      </c>
      <c r="G16" s="902" t="n"/>
      <c r="H16" s="902" t="n"/>
      <c r="I16" s="902" t="n"/>
      <c r="J16" s="510" t="inlineStr">
        <is>
          <t>DEXTROSE</t>
        </is>
      </c>
      <c r="K16" s="579">
        <f>'Halal G.P - 200 et BN '!J9</f>
        <v/>
      </c>
      <c r="L16" s="579">
        <f>K16</f>
        <v/>
      </c>
      <c r="M16" s="513" t="inlineStr">
        <is>
          <t>kg</t>
        </is>
      </c>
      <c r="N16" s="558">
        <f>K16*100/($K$9+SUM($K$13:$K$26))</f>
        <v/>
      </c>
      <c r="P16" s="510" t="inlineStr">
        <is>
          <t>DEXTROSE</t>
        </is>
      </c>
      <c r="Q16" s="579">
        <f>'Halrizo 200 + GP '!W9</f>
        <v/>
      </c>
      <c r="R16" s="579">
        <f>Q16</f>
        <v/>
      </c>
      <c r="S16" s="513" t="inlineStr">
        <is>
          <t>kg</t>
        </is>
      </c>
      <c r="T16" s="558">
        <f>Q16*100/($Q$9+SUM($Q$13:$Q$27))</f>
        <v/>
      </c>
      <c r="V16" s="510" t="inlineStr">
        <is>
          <t>DEXTROSE</t>
        </is>
      </c>
      <c r="W16" s="579">
        <f>'Halal G.P - 200 et BN '!R9</f>
        <v/>
      </c>
      <c r="X16" s="579">
        <f>W16</f>
        <v/>
      </c>
      <c r="Y16" s="513" t="inlineStr">
        <is>
          <t>kg</t>
        </is>
      </c>
      <c r="Z16" s="558">
        <f>W16*100/($W$9+SUM($W$13:$W$26))</f>
        <v/>
      </c>
      <c r="AB16" s="510" t="inlineStr">
        <is>
          <t>DEXTROSE</t>
        </is>
      </c>
      <c r="AC16" s="579">
        <f>'Halal 350 BN Pimenté'!B8</f>
        <v/>
      </c>
      <c r="AD16" s="579">
        <f>AC16</f>
        <v/>
      </c>
      <c r="AE16" s="513" t="inlineStr">
        <is>
          <t>kg</t>
        </is>
      </c>
      <c r="AF16" s="558">
        <f>AC16*100/($AC$9+SUM($AC$13:$AC$25))</f>
        <v/>
      </c>
      <c r="AH16" s="510" t="inlineStr">
        <is>
          <t>DEXTROSE</t>
        </is>
      </c>
      <c r="AI16" s="603">
        <f>'Halrizo 200 + GP '!L9</f>
        <v/>
      </c>
      <c r="AJ16" s="620">
        <f>AI16</f>
        <v/>
      </c>
      <c r="AK16" s="530" t="inlineStr">
        <is>
          <t>kg</t>
        </is>
      </c>
      <c r="AL16" s="511">
        <f>AI16*100/($AI$9+SUM($AI$13:$AI$27))</f>
        <v/>
      </c>
      <c r="AN16" s="510" t="inlineStr">
        <is>
          <t>DEXTROSE</t>
        </is>
      </c>
      <c r="AO16" s="603">
        <f>'Halal G.P - 200 et BN '!B9</f>
        <v/>
      </c>
      <c r="AP16" s="620">
        <f>AO16</f>
        <v/>
      </c>
      <c r="AQ16" s="530" t="inlineStr">
        <is>
          <t>kg</t>
        </is>
      </c>
      <c r="AR16" s="511">
        <f>AO16*100/($AO$9+SUM($AO$13:$AO$26))</f>
        <v/>
      </c>
    </row>
    <row r="17" ht="20.25" customHeight="1" s="1025" thickBot="1" thickTop="1">
      <c r="A17" s="29" t="inlineStr">
        <is>
          <t>PIMENT DOUX FUME</t>
        </is>
      </c>
      <c r="B17" s="27" t="n">
        <v>0.2</v>
      </c>
      <c r="C17" s="19" t="inlineStr">
        <is>
          <t>Kg</t>
        </is>
      </c>
      <c r="D17" s="35">
        <f>B17*$D$5</f>
        <v/>
      </c>
      <c r="F17" s="522" t="n"/>
      <c r="J17" s="516" t="inlineStr">
        <is>
          <t>SACCHAROSE</t>
        </is>
      </c>
      <c r="K17" s="580">
        <f>'Halal G.P - 200 et BN '!J10</f>
        <v/>
      </c>
      <c r="L17" s="580">
        <f>L16+K17</f>
        <v/>
      </c>
      <c r="M17" s="519" t="inlineStr">
        <is>
          <t>kg</t>
        </is>
      </c>
      <c r="N17" s="556">
        <f>K17*100/($K$9+SUM($K$13:$K$26))</f>
        <v/>
      </c>
      <c r="P17" s="516" t="inlineStr">
        <is>
          <t>SACCHAROSE</t>
        </is>
      </c>
      <c r="Q17" s="580">
        <f>'Halrizo 200 + GP '!W10</f>
        <v/>
      </c>
      <c r="R17" s="580">
        <f>R16+Q17</f>
        <v/>
      </c>
      <c r="S17" s="519" t="inlineStr">
        <is>
          <t>kg</t>
        </is>
      </c>
      <c r="T17" s="556">
        <f>Q17*100/($Q$9+SUM($Q$13:$Q$27))</f>
        <v/>
      </c>
      <c r="V17" s="516" t="inlineStr">
        <is>
          <t>SACCHAROSE</t>
        </is>
      </c>
      <c r="W17" s="580">
        <f>'Halal G.P - 200 et BN '!R10</f>
        <v/>
      </c>
      <c r="X17" s="580">
        <f>X16+W17</f>
        <v/>
      </c>
      <c r="Y17" s="519" t="inlineStr">
        <is>
          <t>kg</t>
        </is>
      </c>
      <c r="Z17" s="556">
        <f>W17*100/($W$9+SUM($W$13:$W$26))</f>
        <v/>
      </c>
      <c r="AB17" s="516" t="inlineStr">
        <is>
          <t>SACCHAROSE</t>
        </is>
      </c>
      <c r="AC17" s="580">
        <f>'Halal 350 BN Pimenté'!B9</f>
        <v/>
      </c>
      <c r="AD17" s="580">
        <f>AD16+AC17</f>
        <v/>
      </c>
      <c r="AE17" s="519" t="inlineStr">
        <is>
          <t>kg</t>
        </is>
      </c>
      <c r="AF17" s="556">
        <f>AC17*100/($AC$9+SUM($AC$13:$AC$25))</f>
        <v/>
      </c>
      <c r="AH17" s="516" t="inlineStr">
        <is>
          <t>SACCHAROSE</t>
        </is>
      </c>
      <c r="AI17" s="604">
        <f>'Halrizo 200 + GP '!L10</f>
        <v/>
      </c>
      <c r="AJ17" s="621">
        <f>AJ16+AI17</f>
        <v/>
      </c>
      <c r="AK17" s="517" t="inlineStr">
        <is>
          <t>kg</t>
        </is>
      </c>
      <c r="AL17" s="497">
        <f>AI17*100/($AI$9+SUM($AI$13:$AI$27))</f>
        <v/>
      </c>
      <c r="AN17" s="516" t="inlineStr">
        <is>
          <t>SACCHAROSE</t>
        </is>
      </c>
      <c r="AO17" s="604">
        <f>'Halal G.P - 200 et BN '!B10</f>
        <v/>
      </c>
      <c r="AP17" s="621">
        <f>AP16+AO17</f>
        <v/>
      </c>
      <c r="AQ17" s="517" t="inlineStr">
        <is>
          <t>kg</t>
        </is>
      </c>
      <c r="AR17" s="497">
        <f>AO17*100/($AO$9+SUM($AO$13:$AO$26))</f>
        <v/>
      </c>
    </row>
    <row r="18" ht="19.5" customHeight="1" s="1025" thickBot="1">
      <c r="A18" s="31" t="inlineStr">
        <is>
          <t>CUMIN</t>
        </is>
      </c>
      <c r="B18" s="12" t="n">
        <v>0.2</v>
      </c>
      <c r="C18" s="18" t="inlineStr">
        <is>
          <t>Kg</t>
        </is>
      </c>
      <c r="D18" s="35">
        <f>B18*$D$5</f>
        <v/>
      </c>
      <c r="F18" s="981" t="inlineStr">
        <is>
          <t>ASSAISONNEMENT</t>
        </is>
      </c>
      <c r="G18" s="986" t="inlineStr">
        <is>
          <t>Mêlée de 150 KGS</t>
        </is>
      </c>
      <c r="H18" s="992" t="inlineStr">
        <is>
          <t>Unités</t>
        </is>
      </c>
      <c r="I18" s="523" t="inlineStr">
        <is>
          <t>Nb Mêlées</t>
        </is>
      </c>
      <c r="J18" s="500" t="inlineStr">
        <is>
          <t>LACTOSE</t>
        </is>
      </c>
      <c r="K18" s="577">
        <f>'Halal G.P - 200 et BN '!J11</f>
        <v/>
      </c>
      <c r="L18" s="577">
        <f>L17+K18</f>
        <v/>
      </c>
      <c r="M18" s="503" t="inlineStr">
        <is>
          <t>kg</t>
        </is>
      </c>
      <c r="N18" s="558">
        <f>K18*100/($K$9+SUM($K$13:$K$26))</f>
        <v/>
      </c>
      <c r="P18" s="500" t="inlineStr">
        <is>
          <t>LACTOSE</t>
        </is>
      </c>
      <c r="Q18" s="577">
        <f>'Halrizo 200 + GP '!W11</f>
        <v/>
      </c>
      <c r="R18" s="577">
        <f>R17+Q18</f>
        <v/>
      </c>
      <c r="S18" s="503" t="inlineStr">
        <is>
          <t>kg</t>
        </is>
      </c>
      <c r="T18" s="558">
        <f>Q18*100/($Q$9+SUM($Q$13:$Q$27))</f>
        <v/>
      </c>
      <c r="V18" s="500" t="inlineStr">
        <is>
          <t>LACTOSE</t>
        </is>
      </c>
      <c r="W18" s="577">
        <f>'Halal G.P - 200 et BN '!R11</f>
        <v/>
      </c>
      <c r="X18" s="577">
        <f>X17+W18</f>
        <v/>
      </c>
      <c r="Y18" s="503" t="inlineStr">
        <is>
          <t>kg</t>
        </is>
      </c>
      <c r="Z18" s="558">
        <f>W18*100/($W$9+SUM($W$13:$W$26))</f>
        <v/>
      </c>
      <c r="AB18" s="500" t="inlineStr">
        <is>
          <t>LACTOSE</t>
        </is>
      </c>
      <c r="AC18" s="577">
        <f>'Halal 350 BN Pimenté'!B10</f>
        <v/>
      </c>
      <c r="AD18" s="577">
        <f>AD17+AC18</f>
        <v/>
      </c>
      <c r="AE18" s="503" t="inlineStr">
        <is>
          <t>kg</t>
        </is>
      </c>
      <c r="AF18" s="558">
        <f>AC18*100/($AC$9+SUM($AC$13:$AC$25))</f>
        <v/>
      </c>
      <c r="AH18" s="500" t="inlineStr">
        <is>
          <t>LACTOSE</t>
        </is>
      </c>
      <c r="AI18" s="605">
        <f>'Halrizo 200 + GP '!L11</f>
        <v/>
      </c>
      <c r="AJ18" s="618">
        <f>AJ17+AI18</f>
        <v/>
      </c>
      <c r="AK18" s="520" t="inlineStr">
        <is>
          <t>kg</t>
        </is>
      </c>
      <c r="AL18" s="511">
        <f>AI18*100/($AI$9+SUM($AI$13:$AI$27))</f>
        <v/>
      </c>
      <c r="AN18" s="500" t="inlineStr">
        <is>
          <t>LACTOSE</t>
        </is>
      </c>
      <c r="AO18" s="605">
        <f>'Halal G.P - 200 et BN '!B11</f>
        <v/>
      </c>
      <c r="AP18" s="618">
        <f>AP17+AO18</f>
        <v/>
      </c>
      <c r="AQ18" s="520" t="inlineStr">
        <is>
          <t>kg</t>
        </is>
      </c>
      <c r="AR18" s="511">
        <f>AO18*100/($AO$9+SUM($AO$13:$AO$26))</f>
        <v/>
      </c>
    </row>
    <row r="19" ht="20.25" customHeight="1" s="1025" thickBot="1" thickTop="1">
      <c r="A19" s="36" t="inlineStr">
        <is>
          <t>ORIGAN</t>
        </is>
      </c>
      <c r="B19" s="39" t="n">
        <v>0.15</v>
      </c>
      <c r="C19" s="40" t="inlineStr">
        <is>
          <t>Kg</t>
        </is>
      </c>
      <c r="D19" s="41">
        <f>B19*$D$5</f>
        <v/>
      </c>
      <c r="F19" s="982" t="n"/>
      <c r="G19" s="987" t="n"/>
      <c r="H19" s="987" t="n"/>
      <c r="I19" s="525" t="n"/>
      <c r="J19" s="516" t="inlineStr">
        <is>
          <t>POIVRE BLANC MOULU</t>
        </is>
      </c>
      <c r="K19" s="580">
        <f>'Halal G.P - 200 et BN '!J12</f>
        <v/>
      </c>
      <c r="L19" s="580">
        <f>L18+K19</f>
        <v/>
      </c>
      <c r="M19" s="519" t="inlineStr">
        <is>
          <t>kg</t>
        </is>
      </c>
      <c r="N19" s="556">
        <f>K19*100/($K$9+SUM($K$13:$K$26))</f>
        <v/>
      </c>
      <c r="P19" s="516" t="inlineStr">
        <is>
          <t>POIVRE BLANC MOULU</t>
        </is>
      </c>
      <c r="Q19" s="580">
        <f>'Halrizo 200 + GP '!W12</f>
        <v/>
      </c>
      <c r="R19" s="580">
        <f>R18+Q19</f>
        <v/>
      </c>
      <c r="S19" s="519" t="inlineStr">
        <is>
          <t>kg</t>
        </is>
      </c>
      <c r="T19" s="556">
        <f>Q19*100/($Q$9+SUM($Q$13:$Q$27))</f>
        <v/>
      </c>
      <c r="V19" s="516" t="inlineStr">
        <is>
          <t>POIVRE BLANC MOULU</t>
        </is>
      </c>
      <c r="W19" s="580">
        <f>'Halal G.P - 200 et BN '!R12</f>
        <v/>
      </c>
      <c r="X19" s="580">
        <f>X18+W19</f>
        <v/>
      </c>
      <c r="Y19" s="519" t="inlineStr">
        <is>
          <t>kg</t>
        </is>
      </c>
      <c r="Z19" s="556">
        <f>W19*100/($W$9+SUM($W$13:$W$26))</f>
        <v/>
      </c>
      <c r="AB19" s="516" t="inlineStr">
        <is>
          <t>POIVRE BLANC MOULU</t>
        </is>
      </c>
      <c r="AC19" s="580">
        <f>'Halal 350 BN Pimenté'!B11</f>
        <v/>
      </c>
      <c r="AD19" s="580">
        <f>AD18+AC19</f>
        <v/>
      </c>
      <c r="AE19" s="519" t="inlineStr">
        <is>
          <t>kg</t>
        </is>
      </c>
      <c r="AF19" s="556">
        <f>AC19*100/($AC$9+SUM($AC$13:$AC$25))</f>
        <v/>
      </c>
      <c r="AH19" s="516" t="inlineStr">
        <is>
          <t>POIVRE BLANC MOULU</t>
        </is>
      </c>
      <c r="AI19" s="604">
        <f>'Halrizo 200 + GP '!L12</f>
        <v/>
      </c>
      <c r="AJ19" s="621">
        <f>AJ18+AI19</f>
        <v/>
      </c>
      <c r="AK19" s="517" t="inlineStr">
        <is>
          <t>kg</t>
        </is>
      </c>
      <c r="AL19" s="497">
        <f>AI19*100/($AI$9+SUM($AI$13:$AI$27))</f>
        <v/>
      </c>
      <c r="AN19" s="516" t="inlineStr">
        <is>
          <t>POIVRE BLANC MOULU</t>
        </is>
      </c>
      <c r="AO19" s="604">
        <f>'Halal G.P - 200 et BN '!B12</f>
        <v/>
      </c>
      <c r="AP19" s="621">
        <f>AP18+AO19</f>
        <v/>
      </c>
      <c r="AQ19" s="517" t="inlineStr">
        <is>
          <t>kg</t>
        </is>
      </c>
      <c r="AR19" s="497">
        <f>AO19*100/($AO$9+SUM($AO$13:$AO$26))</f>
        <v/>
      </c>
    </row>
    <row r="20" ht="19.5" customHeight="1" s="1025" thickBot="1">
      <c r="A20" s="37" t="inlineStr">
        <is>
          <t>FERMENTS  42 R</t>
        </is>
      </c>
      <c r="B20" s="42" t="n">
        <v>1</v>
      </c>
      <c r="C20" s="43" t="inlineStr">
        <is>
          <t>Sachet</t>
        </is>
      </c>
      <c r="D20" s="44">
        <f>B20*$D$5</f>
        <v/>
      </c>
      <c r="F20" s="129" t="inlineStr">
        <is>
          <t>Complet</t>
        </is>
      </c>
      <c r="G20" s="47" t="n">
        <v>12</v>
      </c>
      <c r="H20" s="48" t="inlineStr">
        <is>
          <t>Kg</t>
        </is>
      </c>
      <c r="I20" s="528">
        <f>G20*$I$19</f>
        <v/>
      </c>
      <c r="J20" s="500" t="inlineStr">
        <is>
          <t>POIVRE NOIR CONCASSE</t>
        </is>
      </c>
      <c r="K20" s="577">
        <f>'Halal G.P - 200 et BN '!J13</f>
        <v/>
      </c>
      <c r="L20" s="577">
        <f>L19+K20</f>
        <v/>
      </c>
      <c r="M20" s="503" t="inlineStr">
        <is>
          <t>kg</t>
        </is>
      </c>
      <c r="N20" s="558">
        <f>K20*100/($K$9+SUM($K$13:$K$26))</f>
        <v/>
      </c>
      <c r="P20" s="500" t="inlineStr">
        <is>
          <t>AIL SEMOULE</t>
        </is>
      </c>
      <c r="Q20" s="577">
        <f>'Halrizo 200 + GP '!W13</f>
        <v/>
      </c>
      <c r="R20" s="577">
        <f>R19+Q20</f>
        <v/>
      </c>
      <c r="S20" s="503" t="inlineStr">
        <is>
          <t>kg</t>
        </is>
      </c>
      <c r="T20" s="558">
        <f>Q20*100/($Q$9+SUM($Q$13:$Q$27))</f>
        <v/>
      </c>
      <c r="V20" s="500" t="inlineStr">
        <is>
          <t>POIVRE NOIR CONCASSE</t>
        </is>
      </c>
      <c r="W20" s="577">
        <f>'Halal G.P - 200 et BN '!R13</f>
        <v/>
      </c>
      <c r="X20" s="577">
        <f>X19+W20</f>
        <v/>
      </c>
      <c r="Y20" s="503" t="inlineStr">
        <is>
          <t>kg</t>
        </is>
      </c>
      <c r="Z20" s="558">
        <f>W20*100/($W$9+SUM($W$13:$W$26))</f>
        <v/>
      </c>
      <c r="AB20" s="500" t="inlineStr">
        <is>
          <t>POIVRE NOIR CONCASSE</t>
        </is>
      </c>
      <c r="AC20" s="577">
        <f>'Halal 350 BN Pimenté'!B12</f>
        <v/>
      </c>
      <c r="AD20" s="577">
        <f>AD19+AC20</f>
        <v/>
      </c>
      <c r="AE20" s="503" t="inlineStr">
        <is>
          <t>kg</t>
        </is>
      </c>
      <c r="AF20" s="558">
        <f>AC20*100/($AC$9+SUM($AC$13:$AC$25))</f>
        <v/>
      </c>
      <c r="AH20" s="500" t="inlineStr">
        <is>
          <t>AIL SEMOULE</t>
        </is>
      </c>
      <c r="AI20" s="605">
        <f>'Halrizo 200 + GP '!L13</f>
        <v/>
      </c>
      <c r="AJ20" s="618">
        <f>AJ19+AI20</f>
        <v/>
      </c>
      <c r="AK20" s="520" t="inlineStr">
        <is>
          <t>kg</t>
        </is>
      </c>
      <c r="AL20" s="511">
        <f>AI20*100/($AI$9+SUM($AI$13:$AI$27))</f>
        <v/>
      </c>
      <c r="AN20" s="500" t="inlineStr">
        <is>
          <t>POIVRE NOIR CONCASSE</t>
        </is>
      </c>
      <c r="AO20" s="605">
        <f>+'Halal G.P - 200 et BN '!B13</f>
        <v/>
      </c>
      <c r="AP20" s="618">
        <f>AP19+AO20</f>
        <v/>
      </c>
      <c r="AQ20" s="520" t="inlineStr">
        <is>
          <t>kg</t>
        </is>
      </c>
      <c r="AR20" s="511">
        <f>AO20*100/($AO$9+SUM($AO$13:$AO$26))</f>
        <v/>
      </c>
    </row>
    <row r="21" ht="26.25" customHeight="1" s="1025" thickBot="1">
      <c r="A21" s="4" t="n"/>
      <c r="F21" s="131" t="inlineStr">
        <is>
          <t>Ferment 42R</t>
        </is>
      </c>
      <c r="G21" s="108" t="n">
        <v>1</v>
      </c>
      <c r="H21" s="109" t="inlineStr">
        <is>
          <t>Sachet</t>
        </is>
      </c>
      <c r="I21" s="531">
        <f>G21*$I$19</f>
        <v/>
      </c>
      <c r="J21" s="516" t="inlineStr">
        <is>
          <t>AIL SEMOULE</t>
        </is>
      </c>
      <c r="K21" s="580">
        <f>'Halal G.P - 200 et BN '!J14</f>
        <v/>
      </c>
      <c r="L21" s="580">
        <f>L20+K21</f>
        <v/>
      </c>
      <c r="M21" s="519" t="inlineStr">
        <is>
          <t>kg</t>
        </is>
      </c>
      <c r="N21" s="556">
        <f>K21*100/($K$9+SUM($K$13:$K$26))</f>
        <v/>
      </c>
      <c r="P21" s="516" t="inlineStr">
        <is>
          <t>PHOSPHATE (E450+E451)</t>
        </is>
      </c>
      <c r="Q21" s="580">
        <f>'Halrizo 200 + GP '!W14</f>
        <v/>
      </c>
      <c r="R21" s="580">
        <f>R20+Q21</f>
        <v/>
      </c>
      <c r="S21" s="519" t="inlineStr">
        <is>
          <t>kg</t>
        </is>
      </c>
      <c r="T21" s="556">
        <f>Q21*100/($Q$9+SUM($Q$13:$Q$27))</f>
        <v/>
      </c>
      <c r="V21" s="516" t="inlineStr">
        <is>
          <t>AIL SEMOULE</t>
        </is>
      </c>
      <c r="W21" s="580">
        <f>'Halal G.P - 200 et BN '!R14</f>
        <v/>
      </c>
      <c r="X21" s="580">
        <f>X20+W21</f>
        <v/>
      </c>
      <c r="Y21" s="519" t="inlineStr">
        <is>
          <t>kg</t>
        </is>
      </c>
      <c r="Z21" s="556">
        <f>W21*100/($W$9+SUM($W$13:$W$26))</f>
        <v/>
      </c>
      <c r="AB21" s="516" t="inlineStr">
        <is>
          <t>AIL SEMOULE</t>
        </is>
      </c>
      <c r="AC21" s="580">
        <f>'Halal 350 BN Pimenté'!B13</f>
        <v/>
      </c>
      <c r="AD21" s="580">
        <f>AD20+AC21</f>
        <v/>
      </c>
      <c r="AE21" s="519" t="inlineStr">
        <is>
          <t>kg</t>
        </is>
      </c>
      <c r="AF21" s="556">
        <f>AC21*100/($AC$9+SUM($AC$13:$AC$25))</f>
        <v/>
      </c>
      <c r="AH21" s="516" t="inlineStr">
        <is>
          <t>PHOSPHATE (E450+E451)</t>
        </is>
      </c>
      <c r="AI21" s="604">
        <f>'Halrizo 200 + GP '!L14</f>
        <v/>
      </c>
      <c r="AJ21" s="621">
        <f>AJ20+AI21</f>
        <v/>
      </c>
      <c r="AK21" s="517" t="inlineStr">
        <is>
          <t>kg</t>
        </is>
      </c>
      <c r="AL21" s="497">
        <f>AI21*100/($AI$9+SUM($AI$13:$AI$27))</f>
        <v/>
      </c>
      <c r="AN21" s="606" t="inlineStr">
        <is>
          <t>AIL SEMOULE</t>
        </is>
      </c>
      <c r="AO21" s="607">
        <f>'Halal G.P - 200 et BN '!B14</f>
        <v/>
      </c>
      <c r="AP21" s="621">
        <f>AP20+AO21</f>
        <v/>
      </c>
      <c r="AQ21" s="608" t="inlineStr">
        <is>
          <t>kg</t>
        </is>
      </c>
      <c r="AR21" s="609">
        <f>AO21*100/($AO$9+SUM($AO$13:$AO$26))</f>
        <v/>
      </c>
    </row>
    <row r="22" ht="18.75" customHeight="1" s="1025">
      <c r="A22" s="533" t="n"/>
      <c r="F22" s="534" t="n"/>
      <c r="G22" s="535" t="n"/>
      <c r="H22" s="536" t="n"/>
      <c r="I22" s="537" t="n"/>
      <c r="J22" s="500" t="inlineStr">
        <is>
          <t>PHOSPHATE (E450+E451)</t>
        </is>
      </c>
      <c r="K22" s="577">
        <f>'Halal G.P - 200 et BN '!J15</f>
        <v/>
      </c>
      <c r="L22" s="577">
        <f>L21+K22</f>
        <v/>
      </c>
      <c r="M22" s="503" t="inlineStr">
        <is>
          <t>kg</t>
        </is>
      </c>
      <c r="N22" s="558">
        <f>K22*100/($K$9+SUM($K$13:$K$26))</f>
        <v/>
      </c>
      <c r="P22" s="500" t="inlineStr">
        <is>
          <t>PIMENT FORT</t>
        </is>
      </c>
      <c r="Q22" s="577">
        <f>'Halrizo 200 + GP '!W15</f>
        <v/>
      </c>
      <c r="R22" s="577">
        <f>R21+Q22</f>
        <v/>
      </c>
      <c r="S22" s="503" t="inlineStr">
        <is>
          <t>kg</t>
        </is>
      </c>
      <c r="T22" s="558">
        <f>Q22*100/($Q$9+SUM($Q$13:$Q$27))</f>
        <v/>
      </c>
      <c r="V22" s="500" t="inlineStr">
        <is>
          <t>PHOSPHATE (E450+E451)</t>
        </is>
      </c>
      <c r="W22" s="577">
        <f>'Halal G.P - 200 et BN '!R15</f>
        <v/>
      </c>
      <c r="X22" s="577">
        <f>X21+W22</f>
        <v/>
      </c>
      <c r="Y22" s="503" t="inlineStr">
        <is>
          <t>kg</t>
        </is>
      </c>
      <c r="Z22" s="558">
        <f>W22*100/($W$9+SUM($W$13:$W$26))</f>
        <v/>
      </c>
      <c r="AB22" s="500" t="inlineStr">
        <is>
          <t>PHOSPHATE (E450+E451)</t>
        </is>
      </c>
      <c r="AC22" s="577">
        <f>'Halal 350 BN Pimenté'!B14</f>
        <v/>
      </c>
      <c r="AD22" s="577">
        <f>AD21+AC22</f>
        <v/>
      </c>
      <c r="AE22" s="503" t="inlineStr">
        <is>
          <t>kg</t>
        </is>
      </c>
      <c r="AF22" s="558">
        <f>AC22*100/($AC$9+SUM($AC$13:$AC$25))</f>
        <v/>
      </c>
      <c r="AH22" s="500" t="inlineStr">
        <is>
          <t>PIMENT FORT</t>
        </is>
      </c>
      <c r="AI22" s="605">
        <f>'Halrizo 200 + GP '!L15</f>
        <v/>
      </c>
      <c r="AJ22" s="618">
        <f>AJ21+AI22</f>
        <v/>
      </c>
      <c r="AK22" s="520" t="inlineStr">
        <is>
          <t>kg</t>
        </is>
      </c>
      <c r="AL22" s="511">
        <f>AI22*100/($AI$9+SUM($AI$13:$AI$27))</f>
        <v/>
      </c>
      <c r="AN22" s="500" t="inlineStr">
        <is>
          <t>PHOSPHATE (E450+E451)</t>
        </is>
      </c>
      <c r="AO22" s="605">
        <f>'Halal G.P - 200 et BN '!B15</f>
        <v/>
      </c>
      <c r="AP22" s="618">
        <f>AP21+AO22</f>
        <v/>
      </c>
      <c r="AQ22" s="520" t="inlineStr">
        <is>
          <t>kg</t>
        </is>
      </c>
      <c r="AR22" s="511">
        <f>AO22*100/($AO$9+SUM($AO$13:$AO$26))</f>
        <v/>
      </c>
    </row>
    <row r="23" ht="18.75" customHeight="1" s="1025">
      <c r="A23" s="5" t="n"/>
      <c r="F23" s="522" t="n"/>
      <c r="J23" s="516" t="inlineStr">
        <is>
          <t>ORIGAN</t>
        </is>
      </c>
      <c r="K23" s="580">
        <f>'Halal G.P - 200 et BN '!J16</f>
        <v/>
      </c>
      <c r="L23" s="580">
        <f>L22+K23</f>
        <v/>
      </c>
      <c r="M23" s="519" t="inlineStr">
        <is>
          <t>kg</t>
        </is>
      </c>
      <c r="N23" s="556">
        <f>K23*100/($K$9+SUM($K$13:$K$26))</f>
        <v/>
      </c>
      <c r="P23" s="516" t="inlineStr">
        <is>
          <t>PIMENT DOUX</t>
        </is>
      </c>
      <c r="Q23" s="580">
        <f>'Halrizo 200 + GP '!W16</f>
        <v/>
      </c>
      <c r="R23" s="580">
        <f>R22+Q23</f>
        <v/>
      </c>
      <c r="S23" s="519" t="inlineStr">
        <is>
          <t>kg</t>
        </is>
      </c>
      <c r="T23" s="556">
        <f>Q23*100/($Q$9+SUM($Q$13:$Q$27))</f>
        <v/>
      </c>
      <c r="V23" s="516" t="inlineStr">
        <is>
          <t>ORIGAN</t>
        </is>
      </c>
      <c r="W23" s="580">
        <f>'Halal G.P - 200 et BN '!R16</f>
        <v/>
      </c>
      <c r="X23" s="580">
        <f>X22+W23</f>
        <v/>
      </c>
      <c r="Y23" s="519" t="inlineStr">
        <is>
          <t>kg</t>
        </is>
      </c>
      <c r="Z23" s="556">
        <f>W23*100/($W$9+SUM($W$13:$W$26))</f>
        <v/>
      </c>
      <c r="AB23" s="516" t="inlineStr">
        <is>
          <t>PIMENT FORT</t>
        </is>
      </c>
      <c r="AC23" s="580" t="n">
        <v>1.3</v>
      </c>
      <c r="AD23" s="580">
        <f>AD22+AC23</f>
        <v/>
      </c>
      <c r="AE23" s="519" t="inlineStr">
        <is>
          <t>kg</t>
        </is>
      </c>
      <c r="AF23" s="556">
        <f>AC23*100/($AC$9+SUM($AC$13:$AC$25))</f>
        <v/>
      </c>
      <c r="AH23" s="516" t="inlineStr">
        <is>
          <t>PIMENT DOUX</t>
        </is>
      </c>
      <c r="AI23" s="604">
        <f>'Halrizo 200 + GP '!L16</f>
        <v/>
      </c>
      <c r="AJ23" s="621">
        <f>AJ22+AI23</f>
        <v/>
      </c>
      <c r="AK23" s="517" t="inlineStr">
        <is>
          <t>kg</t>
        </is>
      </c>
      <c r="AL23" s="497">
        <f>AI23*100/($AI$9+SUM($AI$13:$AI$27))</f>
        <v/>
      </c>
      <c r="AN23" s="606" t="inlineStr">
        <is>
          <t>ORIGAN</t>
        </is>
      </c>
      <c r="AO23" s="607">
        <f>'Halal G.P - 200 et BN '!B16</f>
        <v/>
      </c>
      <c r="AP23" s="621">
        <f>AP22+AO23</f>
        <v/>
      </c>
      <c r="AQ23" s="608" t="inlineStr">
        <is>
          <t>kg</t>
        </is>
      </c>
      <c r="AR23" s="609">
        <f>AO23*100/($AO$9+SUM($AO$13:$AO$26))</f>
        <v/>
      </c>
    </row>
    <row r="24" ht="19.5" customHeight="1" s="1025">
      <c r="F24" s="522" t="n"/>
      <c r="J24" s="500" t="inlineStr">
        <is>
          <t>CUMIN</t>
        </is>
      </c>
      <c r="K24" s="577">
        <f>'Halal G.P - 200 et BN '!J17</f>
        <v/>
      </c>
      <c r="L24" s="577">
        <f>L23+K24</f>
        <v/>
      </c>
      <c r="M24" s="503" t="inlineStr">
        <is>
          <t>kg</t>
        </is>
      </c>
      <c r="N24" s="558">
        <f>K24*100/($K$9+SUM($K$13:$K$26))</f>
        <v/>
      </c>
      <c r="P24" s="500" t="inlineStr">
        <is>
          <t>PIMENT DOUX FUME</t>
        </is>
      </c>
      <c r="Q24" s="577">
        <f>'Halrizo 200 + GP '!W17</f>
        <v/>
      </c>
      <c r="R24" s="577">
        <f>R23+Q24</f>
        <v/>
      </c>
      <c r="S24" s="503" t="inlineStr">
        <is>
          <t>kg</t>
        </is>
      </c>
      <c r="T24" s="558">
        <f>Q24*100/($Q$9+SUM($Q$13:$Q$27))</f>
        <v/>
      </c>
      <c r="V24" s="500" t="inlineStr">
        <is>
          <t>CUMIN</t>
        </is>
      </c>
      <c r="W24" s="577">
        <f>'Halal G.P - 200 et BN '!R17</f>
        <v/>
      </c>
      <c r="X24" s="577">
        <f>X23+W24</f>
        <v/>
      </c>
      <c r="Y24" s="503" t="inlineStr">
        <is>
          <t>kg</t>
        </is>
      </c>
      <c r="Z24" s="558">
        <f>W24*100/($W$9+SUM($W$13:$W$26))</f>
        <v/>
      </c>
      <c r="AB24" s="500" t="inlineStr">
        <is>
          <t xml:space="preserve">ORIGAN </t>
        </is>
      </c>
      <c r="AC24" s="577">
        <f>'Halal 350 BN Pimenté'!B16</f>
        <v/>
      </c>
      <c r="AD24" s="577">
        <f>AD23+AC24</f>
        <v/>
      </c>
      <c r="AE24" s="503" t="inlineStr">
        <is>
          <t>kg</t>
        </is>
      </c>
      <c r="AF24" s="558">
        <f>AC24*100/($AC$9+SUM($AC$13:$AC$25))</f>
        <v/>
      </c>
      <c r="AH24" s="524" t="inlineStr">
        <is>
          <t>PIMENT DOUX FUME</t>
        </is>
      </c>
      <c r="AI24" s="605">
        <f>'Halrizo 200 + GP '!L17</f>
        <v/>
      </c>
      <c r="AJ24" s="618">
        <f>AJ23+AI24</f>
        <v/>
      </c>
      <c r="AK24" s="520" t="inlineStr">
        <is>
          <t>kg</t>
        </is>
      </c>
      <c r="AL24" s="511">
        <f>AI24*100/($AI$9+SUM($AI$13:$AI$27))</f>
        <v/>
      </c>
      <c r="AN24" s="500" t="inlineStr">
        <is>
          <t>CUMIN</t>
        </is>
      </c>
      <c r="AO24" s="605">
        <f>'Halal G.P - 200 et BN '!B17</f>
        <v/>
      </c>
      <c r="AP24" s="618">
        <f>AP23+AO24</f>
        <v/>
      </c>
      <c r="AQ24" s="520" t="inlineStr">
        <is>
          <t>kg</t>
        </is>
      </c>
      <c r="AR24" s="511">
        <f>AO24*100/($AO$9+SUM($AO$13:$AO$26))</f>
        <v/>
      </c>
    </row>
    <row r="25" ht="19.5" customHeight="1" s="1025" thickBot="1">
      <c r="F25" s="522" t="n"/>
      <c r="J25" s="516" t="inlineStr">
        <is>
          <t>PIMENT FORT</t>
        </is>
      </c>
      <c r="K25" s="580">
        <f>'Halal G.P - 200 et BN '!J18</f>
        <v/>
      </c>
      <c r="L25" s="580">
        <f>L24+K25</f>
        <v/>
      </c>
      <c r="M25" s="519" t="inlineStr">
        <is>
          <t>kg</t>
        </is>
      </c>
      <c r="N25" s="556">
        <f>K25*100/($K$9+SUM($K$13:$K$26))</f>
        <v/>
      </c>
      <c r="P25" s="582" t="inlineStr">
        <is>
          <t>CUMIN</t>
        </is>
      </c>
      <c r="Q25" s="583">
        <f>'Halrizo 200 + GP '!W18</f>
        <v/>
      </c>
      <c r="R25" s="580">
        <f>R24+Q25</f>
        <v/>
      </c>
      <c r="S25" s="584" t="inlineStr">
        <is>
          <t>kg</t>
        </is>
      </c>
      <c r="T25" s="556">
        <f>Q25*100/($Q$9+SUM($Q$13:$Q$27))</f>
        <v/>
      </c>
      <c r="V25" s="582" t="inlineStr">
        <is>
          <t>PIMENT FORT</t>
        </is>
      </c>
      <c r="W25" s="583">
        <f>'Halal G.P - 200 et BN '!R18</f>
        <v/>
      </c>
      <c r="X25" s="580">
        <f>X24+W25</f>
        <v/>
      </c>
      <c r="Y25" s="584" t="inlineStr">
        <is>
          <t>kg</t>
        </is>
      </c>
      <c r="Z25" s="556">
        <f>W25*100/($W$9+SUM($W$13:$W$26))</f>
        <v/>
      </c>
      <c r="AB25" s="507" t="inlineStr">
        <is>
          <t>CUMIN</t>
        </is>
      </c>
      <c r="AC25" s="578">
        <f>'Halal 350 BN Pimenté'!B17</f>
        <v/>
      </c>
      <c r="AD25" s="624">
        <f>AD24+AC25</f>
        <v/>
      </c>
      <c r="AE25" s="505" t="inlineStr">
        <is>
          <t>kg</t>
        </is>
      </c>
      <c r="AF25" s="572">
        <f>AC25*100/($AC$9+SUM($AC$13:$AC$25))</f>
        <v/>
      </c>
      <c r="AH25" s="591" t="inlineStr">
        <is>
          <t>CUMIN</t>
        </is>
      </c>
      <c r="AI25" s="604">
        <f>'Halrizo 200 + GP '!L18</f>
        <v/>
      </c>
      <c r="AJ25" s="621">
        <f>AJ24+AI25</f>
        <v/>
      </c>
      <c r="AK25" s="517" t="inlineStr">
        <is>
          <t>kg</t>
        </is>
      </c>
      <c r="AL25" s="497">
        <f>AI25*100/($AI$9+SUM($AI$13:$AI$27))</f>
        <v/>
      </c>
      <c r="AN25" s="610" t="inlineStr">
        <is>
          <t>PIMENT FORT</t>
        </is>
      </c>
      <c r="AO25" s="607">
        <f>'Halal G.P - 200 et BN '!B18</f>
        <v/>
      </c>
      <c r="AP25" s="621">
        <f>AP24+AO25</f>
        <v/>
      </c>
      <c r="AQ25" s="608" t="inlineStr">
        <is>
          <t>kg</t>
        </is>
      </c>
      <c r="AR25" s="609">
        <f>AO25*100/($AO$9+SUM($AO$13:$AO$26))</f>
        <v/>
      </c>
    </row>
    <row r="26" ht="27" customHeight="1" s="1025" thickBot="1" thickTop="1">
      <c r="F26" s="549" t="n"/>
      <c r="G26" s="550" t="n"/>
      <c r="H26" s="551" t="n"/>
      <c r="I26" s="550" t="n"/>
      <c r="J26" s="570" t="inlineStr">
        <is>
          <t>BETTERAVE ROUGE</t>
        </is>
      </c>
      <c r="K26" s="581">
        <f>'Halal G.P - 200 et BN '!J20</f>
        <v/>
      </c>
      <c r="L26" s="625">
        <f>L25+K26</f>
        <v/>
      </c>
      <c r="M26" s="571" t="inlineStr">
        <is>
          <t>kg</t>
        </is>
      </c>
      <c r="N26" s="573">
        <f>K26*100/($K$9+SUM($K$13:$K$26))</f>
        <v/>
      </c>
      <c r="P26" s="585" t="inlineStr">
        <is>
          <t>ORIGAN</t>
        </is>
      </c>
      <c r="Q26" s="586">
        <f>'Halrizo 200 + GP '!W19</f>
        <v/>
      </c>
      <c r="R26" s="577">
        <f>R25+Q26</f>
        <v/>
      </c>
      <c r="S26" s="587" t="inlineStr">
        <is>
          <t>kg</t>
        </is>
      </c>
      <c r="T26" s="558">
        <f>Q26*100/($Q$9+SUM($Q$13:$Q$27))</f>
        <v/>
      </c>
      <c r="V26" s="570" t="inlineStr">
        <is>
          <t>BETTERAVE ROUGE</t>
        </is>
      </c>
      <c r="W26" s="581">
        <f>'Halal G.P - 200 et BN '!R20</f>
        <v/>
      </c>
      <c r="X26" s="625">
        <f>X25+W26</f>
        <v/>
      </c>
      <c r="Y26" s="589" t="inlineStr">
        <is>
          <t>kg</t>
        </is>
      </c>
      <c r="Z26" s="573">
        <f>W26*100/($W$9+SUM($W$13:$W$26))</f>
        <v/>
      </c>
      <c r="AB26" s="529" t="inlineStr">
        <is>
          <t>FERMENT 42R</t>
        </is>
      </c>
      <c r="AC26" s="588">
        <f>'Halal 350 BN Pimenté'!B18</f>
        <v/>
      </c>
      <c r="AD26" s="627">
        <f>AC26</f>
        <v/>
      </c>
      <c r="AE26" s="513" t="inlineStr">
        <is>
          <t>kg</t>
        </is>
      </c>
      <c r="AF26" s="558" t="n"/>
      <c r="AH26" s="524" t="inlineStr">
        <is>
          <t>ORIGAN</t>
        </is>
      </c>
      <c r="AI26" s="605">
        <f>'Halrizo 200 + GP '!L19</f>
        <v/>
      </c>
      <c r="AJ26" s="618">
        <f>AJ25+AI26</f>
        <v/>
      </c>
      <c r="AK26" s="520" t="inlineStr">
        <is>
          <t>kg</t>
        </is>
      </c>
      <c r="AL26" s="511">
        <f>AI26*100/($AI$9+SUM($AI$13:$AI$27))</f>
        <v/>
      </c>
      <c r="AN26" s="614" t="inlineStr">
        <is>
          <t>BETTERAVE ROUGE</t>
        </is>
      </c>
      <c r="AO26" s="615">
        <f>'Halal G.P - 200 et BN '!B20</f>
        <v/>
      </c>
      <c r="AP26" s="631">
        <f>AP25+AO26</f>
        <v/>
      </c>
      <c r="AQ26" s="571" t="inlineStr">
        <is>
          <t>kg</t>
        </is>
      </c>
      <c r="AR26" s="616">
        <f>AO26*100/($AO$9+SUM($AO$13:$AO$26))</f>
        <v/>
      </c>
    </row>
    <row r="27" ht="26.25" customHeight="1" s="1025" thickBot="1">
      <c r="J27" s="568" t="inlineStr">
        <is>
          <t>FERMENT 42R</t>
        </is>
      </c>
      <c r="K27" s="496">
        <f>'Halal G.P - 200 et BN '!J19</f>
        <v/>
      </c>
      <c r="L27" s="626">
        <f>K27</f>
        <v/>
      </c>
      <c r="M27" s="569" t="inlineStr">
        <is>
          <t>scht</t>
        </is>
      </c>
      <c r="N27" s="556" t="n"/>
      <c r="P27" s="507" t="inlineStr">
        <is>
          <t>ARÔME DE PAPRIKA</t>
        </is>
      </c>
      <c r="Q27" s="578">
        <f>'Halrizo 200 + GP '!W20</f>
        <v/>
      </c>
      <c r="R27" s="624">
        <f>R26+Q27</f>
        <v/>
      </c>
      <c r="S27" s="527" t="inlineStr">
        <is>
          <t>kg</t>
        </is>
      </c>
      <c r="T27" s="572">
        <f>Q27*100/($Q$9+SUM($Q$13:$Q$27))</f>
        <v/>
      </c>
      <c r="V27" s="568" t="inlineStr">
        <is>
          <t>FERMENT 42R</t>
        </is>
      </c>
      <c r="W27" s="590">
        <f>'Halal G.P - 200 et BN '!R19</f>
        <v/>
      </c>
      <c r="X27" s="626">
        <f>W27</f>
        <v/>
      </c>
      <c r="Y27" s="569" t="inlineStr">
        <is>
          <t>scht</t>
        </is>
      </c>
      <c r="Z27" s="556" t="n"/>
      <c r="AB27" s="574" t="inlineStr">
        <is>
          <t>% Assaisonnement = Ingrédient Concerné X 100 / (Total Assaisonnement sauf Ferment + Total Viandes)</t>
        </is>
      </c>
      <c r="AH27" s="526" t="inlineStr">
        <is>
          <t>ARÔME DE PAPRIKA</t>
        </is>
      </c>
      <c r="AI27" s="602">
        <f>'Halrizo 200 + GP '!L20</f>
        <v/>
      </c>
      <c r="AJ27" s="628">
        <f>AJ26+AI27</f>
        <v/>
      </c>
      <c r="AK27" s="527" t="inlineStr">
        <is>
          <t>kg</t>
        </is>
      </c>
      <c r="AL27" s="506">
        <f>AI27*100/($AI$9+SUM($AI$13:$AI$27))</f>
        <v/>
      </c>
      <c r="AN27" s="611" t="inlineStr">
        <is>
          <t>FERMENTS 42R</t>
        </is>
      </c>
      <c r="AO27" s="623">
        <f>'Halal G.P - 200 et BN '!B19</f>
        <v/>
      </c>
      <c r="AP27" s="630" t="n">
        <v>2</v>
      </c>
      <c r="AQ27" s="612" t="inlineStr">
        <is>
          <t>scht</t>
        </is>
      </c>
      <c r="AR27" s="613" t="n"/>
    </row>
    <row r="28" ht="82.5" customHeight="1" s="1025" thickBot="1" thickTop="1">
      <c r="J28" s="843" t="inlineStr">
        <is>
          <t xml:space="preserve">% Assaisonnement = Ingrédient Concerné X 100 / (Total Assaisonnement sauf Ferment + Total Viandes)
</t>
        </is>
      </c>
      <c r="L28" s="994" t="n"/>
      <c r="M28" s="994" t="n"/>
      <c r="O28" s="552" t="n"/>
      <c r="P28" s="529" t="inlineStr">
        <is>
          <t>FERMENT 42R</t>
        </is>
      </c>
      <c r="Q28" s="588">
        <f>'Halrizo 200 + GP '!W21</f>
        <v/>
      </c>
      <c r="R28" s="627">
        <f>Q28</f>
        <v/>
      </c>
      <c r="S28" s="530" t="inlineStr">
        <is>
          <t>scht</t>
        </is>
      </c>
      <c r="T28" s="558" t="n"/>
      <c r="V28" s="574" t="inlineStr">
        <is>
          <t>% Assaisonnement = Ingrédient Concerné X 100 / (Total Assaisonnement sauf Ferment + Total Viandes)</t>
        </is>
      </c>
      <c r="AH28" s="592" t="inlineStr">
        <is>
          <t>FERMENTS 42R</t>
        </is>
      </c>
      <c r="AI28" s="622">
        <f>'Halrizo 200 + GP '!L21</f>
        <v/>
      </c>
      <c r="AJ28" s="629" t="n">
        <v>2</v>
      </c>
      <c r="AK28" s="595" t="inlineStr">
        <is>
          <t>scht</t>
        </is>
      </c>
      <c r="AL28" s="594" t="n"/>
      <c r="AN28" s="995" t="inlineStr">
        <is>
          <t>% Assaisonnement = Ingrédient Concerné X 100 / (Total Assaisonnement sauf Ferment + Total Viandes)</t>
        </is>
      </c>
      <c r="AP28" s="488" t="n"/>
      <c r="AQ28" s="995" t="n"/>
      <c r="AR28" s="593" t="n"/>
    </row>
    <row r="29">
      <c r="O29" s="552" t="n"/>
      <c r="P29" s="574" t="inlineStr">
        <is>
          <t>% Assaisonnement = Ingrédient Concerné X 100 / (Total Assaisonnement sauf Ferment + Total Viandes)</t>
        </is>
      </c>
      <c r="AH29" s="995" t="inlineStr">
        <is>
          <t>% Assaisonnement = Ingrédient Concerné X 100 / (Total Assaisonnement sauf Ferment + Total Viandes)</t>
        </is>
      </c>
      <c r="AJ29" s="488" t="n"/>
      <c r="AK29" s="995" t="n"/>
      <c r="AL29" s="593" t="n"/>
    </row>
    <row r="31" ht="26.25" customHeight="1" s="1025" thickBot="1"/>
    <row r="32" ht="30" customHeight="1" s="1025" thickBot="1">
      <c r="J32" s="632" t="inlineStr">
        <is>
          <t>GAMME ARTISANALE</t>
        </is>
      </c>
    </row>
    <row r="34" ht="26.25" customHeight="1" s="1025" thickBot="1">
      <c r="J34" s="575" t="inlineStr">
        <is>
          <t>PLU : 130 / 13045</t>
        </is>
      </c>
      <c r="P34" s="575" t="inlineStr">
        <is>
          <t>PLU : 191 / 19145 / 191490 / 191492</t>
        </is>
      </c>
      <c r="R34" s="488" t="n"/>
      <c r="S34" s="995" t="n"/>
      <c r="V34" s="575" t="inlineStr">
        <is>
          <t>PLU : 22649 / 226492</t>
        </is>
      </c>
      <c r="X34" s="488" t="n"/>
      <c r="Y34" s="995" t="n"/>
      <c r="AB34" s="575" t="inlineStr">
        <is>
          <t>PLU : 13713749 / 13749 / 137492 / 10149 - fume / 10349 -enr h / 10449 - enr p / 10549 - cendre</t>
        </is>
      </c>
      <c r="AD34" s="488" t="n"/>
      <c r="AE34" s="995" t="n"/>
      <c r="AH34" s="575" t="inlineStr">
        <is>
          <t>PLU : 190-V</t>
        </is>
      </c>
      <c r="AJ34" s="488" t="n"/>
      <c r="AK34" s="995" t="n"/>
    </row>
    <row r="35" ht="26.25" customHeight="1" s="1025" thickBot="1">
      <c r="J35" s="1062" t="inlineStr">
        <is>
          <t>SAUCISSE COURBÉ</t>
        </is>
      </c>
      <c r="K35" s="919" t="n"/>
      <c r="L35" s="919" t="n"/>
      <c r="M35" s="919" t="n"/>
      <c r="N35" s="932" t="n"/>
      <c r="P35" s="1062" t="inlineStr">
        <is>
          <t>250g ARTISANAL</t>
        </is>
      </c>
      <c r="Q35" s="919" t="n"/>
      <c r="R35" s="919" t="n"/>
      <c r="S35" s="919" t="n"/>
      <c r="T35" s="932" t="n"/>
      <c r="V35" s="1062" t="inlineStr">
        <is>
          <t>7-800g ARTISANAL</t>
        </is>
      </c>
      <c r="W35" s="919" t="n"/>
      <c r="X35" s="919" t="n"/>
      <c r="Y35" s="919" t="n"/>
      <c r="Z35" s="932" t="n"/>
      <c r="AB35" s="1062" t="inlineStr">
        <is>
          <t>3-400g ARTISANAL</t>
        </is>
      </c>
      <c r="AC35" s="919" t="n"/>
      <c r="AD35" s="919" t="n"/>
      <c r="AE35" s="919" t="n"/>
      <c r="AF35" s="932" t="n"/>
      <c r="AH35" s="1062" t="inlineStr">
        <is>
          <t>3-400g ARTISANAL AILLÉ</t>
        </is>
      </c>
      <c r="AI35" s="919" t="n"/>
      <c r="AJ35" s="919" t="n"/>
      <c r="AK35" s="919" t="n"/>
      <c r="AL35" s="932" t="n"/>
    </row>
    <row r="36" ht="45.75" customHeight="1" s="1025" thickBot="1">
      <c r="J36" s="490" t="inlineStr">
        <is>
          <t>VIANDES</t>
        </is>
      </c>
      <c r="K36" s="491" t="inlineStr">
        <is>
          <t>Mêlée de 150 KG</t>
        </is>
      </c>
      <c r="L36" s="491" t="inlineStr">
        <is>
          <t>Poids cumulés</t>
        </is>
      </c>
      <c r="M36" s="492" t="inlineStr">
        <is>
          <t>U</t>
        </is>
      </c>
      <c r="N36" s="532" t="inlineStr">
        <is>
          <t>%</t>
        </is>
      </c>
      <c r="P36" s="490" t="inlineStr">
        <is>
          <t>VIANDES</t>
        </is>
      </c>
      <c r="Q36" s="491" t="inlineStr">
        <is>
          <t>Mêlée de 150 KG</t>
        </is>
      </c>
      <c r="R36" s="491" t="inlineStr">
        <is>
          <t>Poids cumulés</t>
        </is>
      </c>
      <c r="S36" s="492" t="inlineStr">
        <is>
          <t>U</t>
        </is>
      </c>
      <c r="T36" s="532" t="inlineStr">
        <is>
          <t>%</t>
        </is>
      </c>
      <c r="V36" s="490" t="inlineStr">
        <is>
          <t>VIANDES</t>
        </is>
      </c>
      <c r="W36" s="491" t="inlineStr">
        <is>
          <t>Mêlée de 150 KG</t>
        </is>
      </c>
      <c r="X36" s="491" t="inlineStr">
        <is>
          <t>Poids cumulés</t>
        </is>
      </c>
      <c r="Y36" s="492" t="inlineStr">
        <is>
          <t>U</t>
        </is>
      </c>
      <c r="Z36" s="532" t="inlineStr">
        <is>
          <t>%</t>
        </is>
      </c>
      <c r="AB36" s="490" t="inlineStr">
        <is>
          <t>VIANDES</t>
        </is>
      </c>
      <c r="AC36" s="491" t="inlineStr">
        <is>
          <t>Mêlée de 150 KG</t>
        </is>
      </c>
      <c r="AD36" s="491" t="inlineStr">
        <is>
          <t>Poids cumulés</t>
        </is>
      </c>
      <c r="AE36" s="492" t="inlineStr">
        <is>
          <t>U</t>
        </is>
      </c>
      <c r="AF36" s="532" t="inlineStr">
        <is>
          <t>%</t>
        </is>
      </c>
      <c r="AH36" s="490" t="inlineStr">
        <is>
          <t>VIANDES</t>
        </is>
      </c>
      <c r="AI36" s="491" t="inlineStr">
        <is>
          <t>Mêlée de 150 KG</t>
        </is>
      </c>
      <c r="AJ36" s="491" t="inlineStr">
        <is>
          <t>Poids cumulés</t>
        </is>
      </c>
      <c r="AK36" s="492" t="inlineStr">
        <is>
          <t>U</t>
        </is>
      </c>
      <c r="AL36" s="532" t="inlineStr">
        <is>
          <t>%</t>
        </is>
      </c>
    </row>
    <row r="37">
      <c r="J37" s="639" t="inlineStr">
        <is>
          <t>ÉPAULE 4D</t>
        </is>
      </c>
      <c r="K37" s="640">
        <f>'Recette viandes'!B21</f>
        <v/>
      </c>
      <c r="L37" s="641">
        <f>K37</f>
        <v/>
      </c>
      <c r="M37" s="642" t="inlineStr">
        <is>
          <t>kg</t>
        </is>
      </c>
      <c r="N37" s="497">
        <f>K37*100/$K$39</f>
        <v/>
      </c>
      <c r="P37" s="639" t="inlineStr">
        <is>
          <t>ÉPAULE 4D</t>
        </is>
      </c>
      <c r="Q37" s="640">
        <f>'Recette viandes'!B21</f>
        <v/>
      </c>
      <c r="R37" s="641">
        <f>Q37</f>
        <v/>
      </c>
      <c r="S37" s="642" t="inlineStr">
        <is>
          <t>kg</t>
        </is>
      </c>
      <c r="T37" s="497">
        <f>Q37*100/Q39</f>
        <v/>
      </c>
      <c r="V37" s="639" t="inlineStr">
        <is>
          <t>ÉPAULE 4D</t>
        </is>
      </c>
      <c r="W37" s="640">
        <f>'Recette viandes'!B21</f>
        <v/>
      </c>
      <c r="X37" s="641">
        <f>W37</f>
        <v/>
      </c>
      <c r="Y37" s="642" t="inlineStr">
        <is>
          <t>kg</t>
        </is>
      </c>
      <c r="Z37" s="497">
        <f>W37*100/W39</f>
        <v/>
      </c>
      <c r="AB37" s="639" t="inlineStr">
        <is>
          <t>ÉPAULE 4D</t>
        </is>
      </c>
      <c r="AC37" s="640">
        <f>'Recette viandes'!B21</f>
        <v/>
      </c>
      <c r="AD37" s="641">
        <f>AC37</f>
        <v/>
      </c>
      <c r="AE37" s="642" t="inlineStr">
        <is>
          <t>kg</t>
        </is>
      </c>
      <c r="AF37" s="497">
        <f>AC37*100/AC39</f>
        <v/>
      </c>
      <c r="AH37" s="639" t="inlineStr">
        <is>
          <t>ÉPAULE 4D</t>
        </is>
      </c>
      <c r="AI37" s="640">
        <f>'Recette viandes'!B21</f>
        <v/>
      </c>
      <c r="AJ37" s="641">
        <f>AI37</f>
        <v/>
      </c>
      <c r="AK37" s="642" t="inlineStr">
        <is>
          <t>kg</t>
        </is>
      </c>
      <c r="AL37" s="497">
        <f>AI37*100/AI39</f>
        <v/>
      </c>
    </row>
    <row r="38" ht="26.25" customHeight="1" s="1025" thickBot="1">
      <c r="J38" s="544" t="inlineStr">
        <is>
          <t xml:space="preserve">GRAS </t>
        </is>
      </c>
      <c r="K38" s="643">
        <f>'Recette viandes'!B23</f>
        <v/>
      </c>
      <c r="L38" s="546">
        <f>L37+K38</f>
        <v/>
      </c>
      <c r="M38" s="587" t="inlineStr">
        <is>
          <t>kg</t>
        </is>
      </c>
      <c r="N38" s="644">
        <f>K38*100/$K$39</f>
        <v/>
      </c>
      <c r="P38" s="544" t="inlineStr">
        <is>
          <t xml:space="preserve">GRAS </t>
        </is>
      </c>
      <c r="Q38" s="643">
        <f>'Recette viandes'!B23</f>
        <v/>
      </c>
      <c r="R38" s="546">
        <f>R37+Q38</f>
        <v/>
      </c>
      <c r="S38" s="587" t="inlineStr">
        <is>
          <t>kg</t>
        </is>
      </c>
      <c r="T38" s="644">
        <f>Q38*100/Q39</f>
        <v/>
      </c>
      <c r="V38" s="544" t="inlineStr">
        <is>
          <t xml:space="preserve">GRAS </t>
        </is>
      </c>
      <c r="W38" s="643">
        <f>'Recette viandes'!B23</f>
        <v/>
      </c>
      <c r="X38" s="546">
        <f>X37+W38</f>
        <v/>
      </c>
      <c r="Y38" s="587" t="inlineStr">
        <is>
          <t>kg</t>
        </is>
      </c>
      <c r="Z38" s="644">
        <f>W38*100/W39</f>
        <v/>
      </c>
      <c r="AB38" s="544" t="inlineStr">
        <is>
          <t xml:space="preserve">GRAS </t>
        </is>
      </c>
      <c r="AC38" s="643">
        <f>'Recette viandes'!B23</f>
        <v/>
      </c>
      <c r="AD38" s="546">
        <f>AD37+AC38</f>
        <v/>
      </c>
      <c r="AE38" s="587" t="inlineStr">
        <is>
          <t>kg</t>
        </is>
      </c>
      <c r="AF38" s="644">
        <f>AC38*100/AC39</f>
        <v/>
      </c>
      <c r="AH38" s="544" t="inlineStr">
        <is>
          <t xml:space="preserve">GRAS </t>
        </is>
      </c>
      <c r="AI38" s="643">
        <f>'Recette viandes'!B23</f>
        <v/>
      </c>
      <c r="AJ38" s="546">
        <f>AJ37+AI38</f>
        <v/>
      </c>
      <c r="AK38" s="587" t="inlineStr">
        <is>
          <t>kg</t>
        </is>
      </c>
      <c r="AL38" s="644">
        <f>AI38*100/AI39</f>
        <v/>
      </c>
    </row>
    <row r="39" ht="26.25" customHeight="1" s="1025" thickBot="1">
      <c r="J39" s="490" t="inlineStr">
        <is>
          <t>TOTAL VIANDES</t>
        </is>
      </c>
      <c r="K39" s="563">
        <f>SUM(K37:K38)</f>
        <v/>
      </c>
      <c r="L39" s="564">
        <f>L38</f>
        <v/>
      </c>
      <c r="M39" s="492" t="inlineStr">
        <is>
          <t>kg</t>
        </is>
      </c>
      <c r="N39" s="565">
        <f>SUM(N37:N38)</f>
        <v/>
      </c>
      <c r="P39" s="490" t="inlineStr">
        <is>
          <t>TOTAL VIANDES</t>
        </is>
      </c>
      <c r="Q39" s="563">
        <f>SUM(Q37:Q38)</f>
        <v/>
      </c>
      <c r="R39" s="564">
        <f>R38</f>
        <v/>
      </c>
      <c r="S39" s="492" t="inlineStr">
        <is>
          <t>kg</t>
        </is>
      </c>
      <c r="T39" s="565">
        <f>SUM(T37:T38)</f>
        <v/>
      </c>
      <c r="V39" s="490" t="inlineStr">
        <is>
          <t>TOTAL VIANDES</t>
        </is>
      </c>
      <c r="W39" s="563">
        <f>SUM(W37:W38)</f>
        <v/>
      </c>
      <c r="X39" s="564">
        <f>X38</f>
        <v/>
      </c>
      <c r="Y39" s="492" t="inlineStr">
        <is>
          <t>kg</t>
        </is>
      </c>
      <c r="Z39" s="565">
        <f>SUM(Z37:Z38)</f>
        <v/>
      </c>
      <c r="AB39" s="490" t="inlineStr">
        <is>
          <t>TOTAL VIANDES</t>
        </is>
      </c>
      <c r="AC39" s="563">
        <f>SUM(AC37:AC38)</f>
        <v/>
      </c>
      <c r="AD39" s="564">
        <f>AD38</f>
        <v/>
      </c>
      <c r="AE39" s="492" t="inlineStr">
        <is>
          <t>kg</t>
        </is>
      </c>
      <c r="AF39" s="565">
        <f>SUM(AF37:AF38)</f>
        <v/>
      </c>
      <c r="AH39" s="490" t="inlineStr">
        <is>
          <t>TOTAL VIANDES</t>
        </is>
      </c>
      <c r="AI39" s="563">
        <f>SUM(AI37:AI38)</f>
        <v/>
      </c>
      <c r="AJ39" s="564">
        <f>AJ38</f>
        <v/>
      </c>
      <c r="AK39" s="492" t="inlineStr">
        <is>
          <t>kg</t>
        </is>
      </c>
      <c r="AL39" s="565">
        <f>SUM(AL37:AL38)</f>
        <v/>
      </c>
    </row>
    <row r="40" customFormat="1" s="1075">
      <c r="B40" s="759" t="n"/>
      <c r="C40" s="760" t="n"/>
      <c r="D40" s="761" t="n"/>
      <c r="H40" s="574" t="n"/>
      <c r="J40" s="574" t="inlineStr">
        <is>
          <t>% Viandes = Viande Concernée X 100 / Total Viandes</t>
        </is>
      </c>
      <c r="P40" s="574" t="inlineStr">
        <is>
          <t>% Viandes = Viande Concernée X 100 / Total Viandes</t>
        </is>
      </c>
      <c r="V40" s="574" t="inlineStr">
        <is>
          <t>% Viandes = Viande Concernée X 100 / Total Viandes</t>
        </is>
      </c>
      <c r="AB40" s="574" t="inlineStr">
        <is>
          <t>% Viandes = Viande Concernée X 100 / Total Viandes</t>
        </is>
      </c>
    </row>
    <row r="41" ht="26.25" customHeight="1" s="1025" thickBot="1">
      <c r="J41" s="10" t="n"/>
      <c r="K41" s="9" t="n"/>
      <c r="L41" s="9" t="n"/>
      <c r="M41" s="1047" t="n"/>
    </row>
    <row r="42" ht="45.75" customHeight="1" s="1025" thickBot="1">
      <c r="A42" s="633" t="n"/>
      <c r="B42" s="634" t="n"/>
      <c r="C42" s="635" t="n"/>
      <c r="D42" s="636" t="n"/>
      <c r="E42" s="637" t="n"/>
      <c r="F42" s="637" t="n"/>
      <c r="G42" s="637" t="n"/>
      <c r="H42" s="638" t="n"/>
      <c r="I42" s="637" t="n"/>
      <c r="J42" s="490" t="inlineStr">
        <is>
          <t>ASSAISONNEMENT</t>
        </is>
      </c>
      <c r="K42" s="645" t="inlineStr">
        <is>
          <t>Mêlée de 150 kg</t>
        </is>
      </c>
      <c r="L42" s="645" t="inlineStr">
        <is>
          <t>Poids cumulés</t>
        </is>
      </c>
      <c r="M42" s="492" t="inlineStr">
        <is>
          <t>U</t>
        </is>
      </c>
      <c r="N42" s="554" t="inlineStr">
        <is>
          <t>%</t>
        </is>
      </c>
      <c r="P42" s="490" t="inlineStr">
        <is>
          <t>ASSAISONNEMENT</t>
        </is>
      </c>
      <c r="Q42" s="645" t="inlineStr">
        <is>
          <t>Mêlée de 150 kg</t>
        </is>
      </c>
      <c r="R42" s="645" t="inlineStr">
        <is>
          <t>Poids cumulés</t>
        </is>
      </c>
      <c r="S42" s="492" t="inlineStr">
        <is>
          <t>U</t>
        </is>
      </c>
      <c r="T42" s="554" t="inlineStr">
        <is>
          <t>%</t>
        </is>
      </c>
      <c r="V42" s="490" t="inlineStr">
        <is>
          <t>ASSAISONNEMENT</t>
        </is>
      </c>
      <c r="W42" s="645" t="inlineStr">
        <is>
          <t>Mêlée de 150 kg</t>
        </is>
      </c>
      <c r="X42" s="645" t="inlineStr">
        <is>
          <t>Poids cumulés</t>
        </is>
      </c>
      <c r="Y42" s="492" t="inlineStr">
        <is>
          <t>U</t>
        </is>
      </c>
      <c r="Z42" s="554" t="inlineStr">
        <is>
          <t>%</t>
        </is>
      </c>
      <c r="AB42" s="663" t="inlineStr">
        <is>
          <t>ASSAISONNEMENT</t>
        </is>
      </c>
      <c r="AC42" s="645" t="inlineStr">
        <is>
          <t>Mêlée de 150 kg</t>
        </is>
      </c>
      <c r="AD42" s="645" t="inlineStr">
        <is>
          <t>Poids cumulés</t>
        </is>
      </c>
      <c r="AE42" s="492" t="inlineStr">
        <is>
          <t>U</t>
        </is>
      </c>
      <c r="AF42" s="554" t="inlineStr">
        <is>
          <t>%</t>
        </is>
      </c>
      <c r="AH42" s="490" t="inlineStr">
        <is>
          <t>ASSAISONNEMENT</t>
        </is>
      </c>
      <c r="AI42" s="645" t="inlineStr">
        <is>
          <t>Mêlée de 150 kg</t>
        </is>
      </c>
      <c r="AJ42" s="645" t="inlineStr">
        <is>
          <t>Poids cumulés</t>
        </is>
      </c>
      <c r="AK42" s="492" t="inlineStr">
        <is>
          <t>U</t>
        </is>
      </c>
      <c r="AL42" s="493" t="inlineStr">
        <is>
          <t>%</t>
        </is>
      </c>
    </row>
    <row r="43">
      <c r="J43" s="661" t="inlineStr">
        <is>
          <t xml:space="preserve">SEL </t>
        </is>
      </c>
      <c r="K43" s="652">
        <f>'Viande francaise'!N7</f>
        <v/>
      </c>
      <c r="L43" s="652">
        <f>K43</f>
        <v/>
      </c>
      <c r="M43" s="653" t="inlineStr">
        <is>
          <t>kg</t>
        </is>
      </c>
      <c r="N43" s="656">
        <f>K43*100/($K$39+SUM($K$43:$K$48))</f>
        <v/>
      </c>
      <c r="P43" s="662" t="inlineStr">
        <is>
          <t xml:space="preserve">SEL </t>
        </is>
      </c>
      <c r="Q43" s="620">
        <f>'Viande francaise'!B7</f>
        <v/>
      </c>
      <c r="R43" s="620">
        <f>Q43</f>
        <v/>
      </c>
      <c r="S43" s="646" t="inlineStr">
        <is>
          <t>kg</t>
        </is>
      </c>
      <c r="T43" s="658">
        <f>Q43*100/($K$39+SUM($K$43:$K$48))</f>
        <v/>
      </c>
      <c r="V43" s="662" t="inlineStr">
        <is>
          <t xml:space="preserve">SEL </t>
        </is>
      </c>
      <c r="W43" s="620">
        <f>'Viande francaise'!B22</f>
        <v/>
      </c>
      <c r="X43" s="620">
        <f>W43</f>
        <v/>
      </c>
      <c r="Y43" s="646" t="inlineStr">
        <is>
          <t>kg</t>
        </is>
      </c>
      <c r="Z43" s="658">
        <f>W43*100/($W$39+SUM($W$43:$W$48))</f>
        <v/>
      </c>
      <c r="AB43" s="662" t="inlineStr">
        <is>
          <t xml:space="preserve">SEL </t>
        </is>
      </c>
      <c r="AC43" s="620">
        <f>'Viande francaise'!H7</f>
        <v/>
      </c>
      <c r="AD43" s="620">
        <f>AC43</f>
        <v/>
      </c>
      <c r="AE43" s="646" t="inlineStr">
        <is>
          <t>kg</t>
        </is>
      </c>
      <c r="AF43" s="658">
        <f>AC43*100/($W$39+SUM($W$43:$W$48))</f>
        <v/>
      </c>
      <c r="AH43" s="667" t="inlineStr">
        <is>
          <t xml:space="preserve">SEL </t>
        </is>
      </c>
      <c r="AI43" s="620">
        <f>'Viande francaise'!H22</f>
        <v/>
      </c>
      <c r="AJ43" s="620">
        <f>AI43</f>
        <v/>
      </c>
      <c r="AK43" s="646" t="inlineStr">
        <is>
          <t>kg</t>
        </is>
      </c>
      <c r="AL43" s="675">
        <f>AI43*100/($AI$39+SUM($AI$43:$AI$48,$AI$50))</f>
        <v/>
      </c>
    </row>
    <row r="44">
      <c r="J44" s="591" t="inlineStr">
        <is>
          <t>NITRATE DE POTASSIUM</t>
        </is>
      </c>
      <c r="K44" s="621">
        <f>'Viande francaise'!N8</f>
        <v/>
      </c>
      <c r="L44" s="621">
        <f>L43+K44</f>
        <v/>
      </c>
      <c r="M44" s="647" t="inlineStr">
        <is>
          <t>kg</t>
        </is>
      </c>
      <c r="N44" s="657">
        <f>K44*100/($K$39+SUM($K$43:$K$48))</f>
        <v/>
      </c>
      <c r="P44" s="591" t="inlineStr">
        <is>
          <t>NITRATE DE POTASSIUM</t>
        </is>
      </c>
      <c r="Q44" s="621">
        <f>'Viande francaise'!B8</f>
        <v/>
      </c>
      <c r="R44" s="621">
        <f>R43+Q44</f>
        <v/>
      </c>
      <c r="S44" s="647" t="inlineStr">
        <is>
          <t>kg</t>
        </is>
      </c>
      <c r="T44" s="657">
        <f>Q44*100/($K$39+SUM($K$43:$K$48))</f>
        <v/>
      </c>
      <c r="V44" s="591" t="inlineStr">
        <is>
          <t>NITRATE DE POTASSIUM</t>
        </is>
      </c>
      <c r="W44" s="621">
        <f>'Viande francaise'!B23</f>
        <v/>
      </c>
      <c r="X44" s="621">
        <f>X43+W44</f>
        <v/>
      </c>
      <c r="Y44" s="647" t="inlineStr">
        <is>
          <t>kg</t>
        </is>
      </c>
      <c r="Z44" s="657">
        <f>W44*100/($W$39+SUM($W$43:$W$48))</f>
        <v/>
      </c>
      <c r="AB44" s="591" t="inlineStr">
        <is>
          <t>NITRATE DE POTASSIUM</t>
        </is>
      </c>
      <c r="AC44" s="621">
        <f>'Viande francaise'!H8</f>
        <v/>
      </c>
      <c r="AD44" s="621">
        <f>AD43+AC44</f>
        <v/>
      </c>
      <c r="AE44" s="647" t="inlineStr">
        <is>
          <t>kg</t>
        </is>
      </c>
      <c r="AF44" s="657">
        <f>AC44*100/($W$39+SUM($W$43:$W$48))</f>
        <v/>
      </c>
      <c r="AH44" s="591" t="inlineStr">
        <is>
          <t>NITRATE DE POTASSIUM</t>
        </is>
      </c>
      <c r="AI44" s="621">
        <f>'Viande francaise'!H23</f>
        <v/>
      </c>
      <c r="AJ44" s="621">
        <f>AJ43+AI44</f>
        <v/>
      </c>
      <c r="AK44" s="647" t="inlineStr">
        <is>
          <t>kg</t>
        </is>
      </c>
      <c r="AL44" s="676">
        <f>AI44*100/($AI$39+SUM($AI$43:$AI$48,$AI$50))</f>
        <v/>
      </c>
    </row>
    <row r="45">
      <c r="J45" s="524" t="inlineStr">
        <is>
          <t>LACTOSE</t>
        </is>
      </c>
      <c r="K45" s="618">
        <f>'Viande francaise'!N9</f>
        <v/>
      </c>
      <c r="L45" s="618">
        <f>L44+K45</f>
        <v/>
      </c>
      <c r="M45" s="648" t="inlineStr">
        <is>
          <t>kg</t>
        </is>
      </c>
      <c r="N45" s="658">
        <f>K45*100/($K$39+SUM($K$43:$K$48))</f>
        <v/>
      </c>
      <c r="P45" s="524" t="inlineStr">
        <is>
          <t>LACTOSE</t>
        </is>
      </c>
      <c r="Q45" s="618">
        <f>'Viande francaise'!B9</f>
        <v/>
      </c>
      <c r="R45" s="618">
        <f>R44+Q45</f>
        <v/>
      </c>
      <c r="S45" s="648" t="inlineStr">
        <is>
          <t>kg</t>
        </is>
      </c>
      <c r="T45" s="658">
        <f>Q45*100/($K$39+SUM($K$43:$K$48))</f>
        <v/>
      </c>
      <c r="V45" s="524" t="inlineStr">
        <is>
          <t>LACTOSE</t>
        </is>
      </c>
      <c r="W45" s="618">
        <f>'Viande francaise'!B24</f>
        <v/>
      </c>
      <c r="X45" s="618">
        <f>X44+W45</f>
        <v/>
      </c>
      <c r="Y45" s="648" t="inlineStr">
        <is>
          <t>kg</t>
        </is>
      </c>
      <c r="Z45" s="658">
        <f>W45*100/($W$39+SUM($W$43:$W$48))</f>
        <v/>
      </c>
      <c r="AB45" s="524" t="inlineStr">
        <is>
          <t>LACTOSE</t>
        </is>
      </c>
      <c r="AC45" s="618">
        <f>'Viande francaise'!H9</f>
        <v/>
      </c>
      <c r="AD45" s="618">
        <f>AD44+AC45</f>
        <v/>
      </c>
      <c r="AE45" s="648" t="inlineStr">
        <is>
          <t>kg</t>
        </is>
      </c>
      <c r="AF45" s="658">
        <f>AC45*100/($W$39+SUM($W$43:$W$48))</f>
        <v/>
      </c>
      <c r="AH45" s="524" t="inlineStr">
        <is>
          <t>LACTOSE</t>
        </is>
      </c>
      <c r="AI45" s="618">
        <f>'Viande francaise'!H24</f>
        <v/>
      </c>
      <c r="AJ45" s="618">
        <f>AJ44+AI45</f>
        <v/>
      </c>
      <c r="AK45" s="648" t="inlineStr">
        <is>
          <t>kg</t>
        </is>
      </c>
      <c r="AL45" s="675">
        <f>AI45*100/($AI$39+SUM($AI$43:$AI$48,$AI$50))</f>
        <v/>
      </c>
    </row>
    <row r="46">
      <c r="J46" s="591" t="inlineStr">
        <is>
          <t>DEXTROSE</t>
        </is>
      </c>
      <c r="K46" s="621">
        <f>'Viande francaise'!N10</f>
        <v/>
      </c>
      <c r="L46" s="621">
        <f>L45+K46</f>
        <v/>
      </c>
      <c r="M46" s="647" t="inlineStr">
        <is>
          <t>kg</t>
        </is>
      </c>
      <c r="N46" s="657">
        <f>K46*100/($K$39+SUM($K$43:$K$48))</f>
        <v/>
      </c>
      <c r="P46" s="591" t="inlineStr">
        <is>
          <t>DEXTROSE</t>
        </is>
      </c>
      <c r="Q46" s="621">
        <f>'Viande francaise'!B10</f>
        <v/>
      </c>
      <c r="R46" s="621">
        <f>R45+Q46</f>
        <v/>
      </c>
      <c r="S46" s="647" t="inlineStr">
        <is>
          <t>kg</t>
        </is>
      </c>
      <c r="T46" s="657">
        <f>Q46*100/($K$39+SUM($K$43:$K$48))</f>
        <v/>
      </c>
      <c r="V46" s="591" t="inlineStr">
        <is>
          <t>DEXTROSE</t>
        </is>
      </c>
      <c r="W46" s="621">
        <f>'Viande francaise'!B25</f>
        <v/>
      </c>
      <c r="X46" s="621">
        <f>X45+W46</f>
        <v/>
      </c>
      <c r="Y46" s="647" t="inlineStr">
        <is>
          <t>kg</t>
        </is>
      </c>
      <c r="Z46" s="657">
        <f>W46*100/($W$39+SUM($W$43:$W$48))</f>
        <v/>
      </c>
      <c r="AB46" s="591" t="inlineStr">
        <is>
          <t>DEXTROSE</t>
        </is>
      </c>
      <c r="AC46" s="621">
        <f>'Viande francaise'!H10</f>
        <v/>
      </c>
      <c r="AD46" s="621">
        <f>AD45+AC46</f>
        <v/>
      </c>
      <c r="AE46" s="647" t="inlineStr">
        <is>
          <t>kg</t>
        </is>
      </c>
      <c r="AF46" s="657">
        <f>AC46*100/($W$39+SUM($W$43:$W$48))</f>
        <v/>
      </c>
      <c r="AH46" s="591" t="inlineStr">
        <is>
          <t>DEXTROSE</t>
        </is>
      </c>
      <c r="AI46" s="621">
        <f>'Viande francaise'!H25</f>
        <v/>
      </c>
      <c r="AJ46" s="621">
        <f>AJ45+AI46</f>
        <v/>
      </c>
      <c r="AK46" s="647" t="inlineStr">
        <is>
          <t>kg</t>
        </is>
      </c>
      <c r="AL46" s="676">
        <f>AI46*100/($AI$39+SUM($AI$43:$AI$48,$AI$50))</f>
        <v/>
      </c>
    </row>
    <row r="47">
      <c r="J47" s="524" t="inlineStr">
        <is>
          <t>POIVRE BLANC MOULU</t>
        </is>
      </c>
      <c r="K47" s="618">
        <f>'Viande francaise'!N11</f>
        <v/>
      </c>
      <c r="L47" s="618">
        <f>L46+K47</f>
        <v/>
      </c>
      <c r="M47" s="648" t="inlineStr">
        <is>
          <t>kg</t>
        </is>
      </c>
      <c r="N47" s="658">
        <f>K47*100/($K$39+SUM($K$43:$K$48))</f>
        <v/>
      </c>
      <c r="P47" s="524" t="inlineStr">
        <is>
          <t>POIVRE BLANC MOULU</t>
        </is>
      </c>
      <c r="Q47" s="618">
        <f>'Viande francaise'!B11</f>
        <v/>
      </c>
      <c r="R47" s="618">
        <f>R46+Q47</f>
        <v/>
      </c>
      <c r="S47" s="648" t="inlineStr">
        <is>
          <t>kg</t>
        </is>
      </c>
      <c r="T47" s="658">
        <f>Q47*100/($K$39+SUM($K$43:$K$48))</f>
        <v/>
      </c>
      <c r="V47" s="524" t="inlineStr">
        <is>
          <t>POIVRE BLANC MOULU</t>
        </is>
      </c>
      <c r="W47" s="618">
        <f>'Viande francaise'!B26</f>
        <v/>
      </c>
      <c r="X47" s="618">
        <f>X46+W47</f>
        <v/>
      </c>
      <c r="Y47" s="648" t="inlineStr">
        <is>
          <t>kg</t>
        </is>
      </c>
      <c r="Z47" s="658">
        <f>W47*100/($W$39+SUM($W$43:$W$48))</f>
        <v/>
      </c>
      <c r="AB47" s="524" t="inlineStr">
        <is>
          <t>POIVRE BLANC MOULU</t>
        </is>
      </c>
      <c r="AC47" s="618">
        <f>'Viande francaise'!H11</f>
        <v/>
      </c>
      <c r="AD47" s="618">
        <f>AD46+AC47</f>
        <v/>
      </c>
      <c r="AE47" s="648" t="inlineStr">
        <is>
          <t>kg</t>
        </is>
      </c>
      <c r="AF47" s="658">
        <f>AC47*100/($W$39+SUM($W$43:$W$48))</f>
        <v/>
      </c>
      <c r="AH47" s="524" t="inlineStr">
        <is>
          <t>POIVRE BLANC MOULU</t>
        </is>
      </c>
      <c r="AI47" s="618">
        <f>'Viande francaise'!H26</f>
        <v/>
      </c>
      <c r="AJ47" s="618">
        <f>AJ46+AI47</f>
        <v/>
      </c>
      <c r="AK47" s="648" t="inlineStr">
        <is>
          <t>kg</t>
        </is>
      </c>
      <c r="AL47" s="675">
        <f>AI47*100/($AI$39+SUM($AI$43:$AI$48,$AI$50))</f>
        <v/>
      </c>
    </row>
    <row r="48" ht="26.25" customHeight="1" s="1025" thickBot="1">
      <c r="J48" s="526" t="inlineStr">
        <is>
          <t>AIL SEMOULE</t>
        </is>
      </c>
      <c r="K48" s="619">
        <f>'Viande francaise'!N12</f>
        <v/>
      </c>
      <c r="L48" s="628">
        <f>L47+K48</f>
        <v/>
      </c>
      <c r="M48" s="649" t="inlineStr">
        <is>
          <t>kg</t>
        </is>
      </c>
      <c r="N48" s="659">
        <f>K48*100/($K$39+SUM($K$43:$K$48))</f>
        <v/>
      </c>
      <c r="P48" s="526" t="inlineStr">
        <is>
          <t>AIL SEMOULE</t>
        </is>
      </c>
      <c r="Q48" s="619">
        <f>'Viande francaise'!B12</f>
        <v/>
      </c>
      <c r="R48" s="628">
        <f>R47+Q48</f>
        <v/>
      </c>
      <c r="S48" s="649" t="inlineStr">
        <is>
          <t>kg</t>
        </is>
      </c>
      <c r="T48" s="659">
        <f>Q48*100/($K$39+SUM($K$43:$K$48))</f>
        <v/>
      </c>
      <c r="V48" s="526" t="inlineStr">
        <is>
          <t>AIL SEMOULE</t>
        </is>
      </c>
      <c r="W48" s="619">
        <f>'Viande francaise'!B27</f>
        <v/>
      </c>
      <c r="X48" s="628">
        <f>X47+W48</f>
        <v/>
      </c>
      <c r="Y48" s="649" t="inlineStr">
        <is>
          <t>kg</t>
        </is>
      </c>
      <c r="Z48" s="659">
        <f>W48*100/($W$39+SUM($W$43:$W$48))</f>
        <v/>
      </c>
      <c r="AB48" s="526" t="inlineStr">
        <is>
          <t>AIL SEMOULE</t>
        </is>
      </c>
      <c r="AC48" s="619">
        <f>'Viande francaise'!H12</f>
        <v/>
      </c>
      <c r="AD48" s="628">
        <f>AD47+AC48</f>
        <v/>
      </c>
      <c r="AE48" s="649" t="inlineStr">
        <is>
          <t>kg</t>
        </is>
      </c>
      <c r="AF48" s="659">
        <f>AC48*100/($W$39+SUM($W$43:$W$48))</f>
        <v/>
      </c>
      <c r="AH48" s="526" t="inlineStr">
        <is>
          <t>AIL SEMOULE</t>
        </is>
      </c>
      <c r="AI48" s="619">
        <f>'Viande francaise'!H27</f>
        <v/>
      </c>
      <c r="AJ48" s="628">
        <f>AJ47+AI48</f>
        <v/>
      </c>
      <c r="AK48" s="649" t="inlineStr">
        <is>
          <t>kg</t>
        </is>
      </c>
      <c r="AL48" s="572">
        <f>AI48*100/($AI$39+SUM($AI$43:$AI$48,$AI$50))</f>
        <v/>
      </c>
    </row>
    <row r="49" ht="27" customHeight="1" s="1025" thickBot="1" thickTop="1">
      <c r="J49" s="592" t="inlineStr">
        <is>
          <t>FERMENT MF 244</t>
        </is>
      </c>
      <c r="K49" s="650">
        <f>'Viande francaise'!N13</f>
        <v/>
      </c>
      <c r="L49" s="651">
        <f>K49</f>
        <v/>
      </c>
      <c r="M49" s="598" t="inlineStr">
        <is>
          <t>scht</t>
        </is>
      </c>
      <c r="N49" s="660" t="n"/>
      <c r="P49" s="592" t="inlineStr">
        <is>
          <t>FERMENT MF 244</t>
        </is>
      </c>
      <c r="Q49" s="650">
        <f>'Viande francaise'!B13</f>
        <v/>
      </c>
      <c r="R49" s="651">
        <f>Q49</f>
        <v/>
      </c>
      <c r="S49" s="598" t="inlineStr">
        <is>
          <t>scht</t>
        </is>
      </c>
      <c r="T49" s="660" t="n"/>
      <c r="V49" s="592" t="inlineStr">
        <is>
          <t>FERMENT MF 244</t>
        </is>
      </c>
      <c r="W49" s="650">
        <f>'Viande francaise'!B28</f>
        <v/>
      </c>
      <c r="X49" s="651">
        <f>W49</f>
        <v/>
      </c>
      <c r="Y49" s="598" t="inlineStr">
        <is>
          <t>scht</t>
        </is>
      </c>
      <c r="Z49" s="660" t="n"/>
      <c r="AB49" s="592" t="inlineStr">
        <is>
          <t>FERMENT MF 244</t>
        </is>
      </c>
      <c r="AC49" s="665">
        <f>'Viande francaise'!H13</f>
        <v/>
      </c>
      <c r="AD49" s="651">
        <f>AC49</f>
        <v/>
      </c>
      <c r="AE49" s="598" t="inlineStr">
        <is>
          <t>scht</t>
        </is>
      </c>
      <c r="AF49" s="660" t="n"/>
      <c r="AH49" s="670" t="inlineStr">
        <is>
          <t>FERMENT MF 244</t>
        </is>
      </c>
      <c r="AI49" s="671">
        <f>'Viande francaise'!H28</f>
        <v/>
      </c>
      <c r="AJ49" s="673">
        <f>AI49</f>
        <v/>
      </c>
      <c r="AK49" s="672" t="inlineStr">
        <is>
          <t>scht</t>
        </is>
      </c>
      <c r="AL49" s="573">
        <f>AI49*100/($AI$39+SUM($AI$43:$AI$48,$AI$50))</f>
        <v/>
      </c>
    </row>
    <row r="50" ht="26.25" customHeight="1" s="1025" thickBot="1">
      <c r="J50" s="574" t="inlineStr">
        <is>
          <t>% Assaisonnement = Ingrédient Concerné X 100 / (Total Assaisonnement sauf Ferment + Total Viandes)</t>
        </is>
      </c>
      <c r="P50" s="574" t="inlineStr">
        <is>
          <t>% Assaisonnement = Ingrédient Concerné X 100 / (Total Assaisonnement sauf Ferment + Total Viandes)</t>
        </is>
      </c>
      <c r="V50" s="574" t="inlineStr">
        <is>
          <t>% Assaisonnement = Ingrédient Concerné X 100 / (Total Assaisonnement sauf Ferment + Total Viandes)</t>
        </is>
      </c>
      <c r="AB50" s="574" t="inlineStr">
        <is>
          <t>% Assaisonnement = Ingrédient Concerné X 100 / (Total Assaisonnement sauf Ferment + Total Viandes)</t>
        </is>
      </c>
      <c r="AH50" s="668" t="inlineStr">
        <is>
          <t>Ingrédient</t>
        </is>
      </c>
      <c r="AI50" s="669">
        <f>'Viande francaise'!H29</f>
        <v/>
      </c>
      <c r="AJ50" s="674">
        <f>AI50</f>
        <v/>
      </c>
      <c r="AK50" s="669" t="inlineStr">
        <is>
          <t>kg</t>
        </is>
      </c>
      <c r="AL50" s="677">
        <f>AI50*100/($AI$39+SUM($AI$43:$AI$48,$AI$50))</f>
        <v/>
      </c>
    </row>
    <row r="51">
      <c r="AH51" s="574" t="inlineStr">
        <is>
          <t>% Assaisonnement = Ingrédient Concerné X 100 / (Total Assaisonnement sauf Ferment + Total Viandes)</t>
        </is>
      </c>
    </row>
    <row r="53" ht="26.25" customHeight="1" s="1025" thickBot="1"/>
    <row r="54" ht="30" customHeight="1" s="1025" thickBot="1">
      <c r="J54" s="678" t="inlineStr">
        <is>
          <t>GAMME LE TERROIR</t>
        </is>
      </c>
      <c r="V54" s="559" t="n"/>
    </row>
    <row r="55">
      <c r="V55" s="559" t="n"/>
      <c r="W55" s="559" t="n"/>
    </row>
    <row r="56" ht="26.25" customHeight="1" s="1025" thickBot="1">
      <c r="J56" s="575" t="inlineStr">
        <is>
          <t>PLU : 102 / 10217 / 174 / 128 / 5012 / 5022 / 5039 / 5040 / 5050 / 5055</t>
        </is>
      </c>
      <c r="P56" s="575" t="inlineStr">
        <is>
          <t>PLU : 170 / 141</t>
        </is>
      </c>
      <c r="R56" s="488" t="n"/>
      <c r="S56" s="995" t="n"/>
      <c r="V56" s="575" t="inlineStr">
        <is>
          <t>PLU : 171</t>
        </is>
      </c>
      <c r="X56" s="488" t="n"/>
      <c r="Y56" s="995" t="n"/>
      <c r="AB56" s="575" t="inlineStr">
        <is>
          <t>PLU : 178 / 1781</t>
        </is>
      </c>
      <c r="AD56" s="488" t="n"/>
      <c r="AE56" s="995" t="n"/>
      <c r="AH56" s="575" t="inlineStr">
        <is>
          <t>PLU : 179 / 273 / 5031</t>
        </is>
      </c>
      <c r="AJ56" s="488" t="n"/>
      <c r="AK56" s="995" t="n"/>
      <c r="AN56" s="575" t="inlineStr">
        <is>
          <t>PLU : 226</t>
        </is>
      </c>
      <c r="AP56" s="488" t="n"/>
      <c r="AQ56" s="995" t="n"/>
      <c r="AT56" s="575" t="inlineStr">
        <is>
          <t>PLU : 102V-167 / 102 / 1671</t>
        </is>
      </c>
      <c r="AV56" s="488" t="n"/>
      <c r="AW56" s="995" t="n"/>
    </row>
    <row r="57" ht="19.5" customFormat="1" customHeight="1" s="1075" thickBot="1">
      <c r="B57" s="759" t="n"/>
      <c r="C57" s="760" t="n"/>
      <c r="D57" s="761" t="n"/>
      <c r="H57" s="574" t="n"/>
      <c r="J57" s="1064" t="inlineStr">
        <is>
          <t>BN 200</t>
        </is>
      </c>
      <c r="K57" s="919" t="n"/>
      <c r="L57" s="919" t="n"/>
      <c r="M57" s="919" t="n"/>
      <c r="N57" s="932" t="n"/>
      <c r="P57" s="1079" t="inlineStr">
        <is>
          <t>ROSETTE KILO</t>
        </is>
      </c>
      <c r="Q57" s="919" t="n"/>
      <c r="R57" s="919" t="n"/>
      <c r="S57" s="919" t="n"/>
      <c r="T57" s="932" t="n"/>
      <c r="V57" s="1079" t="inlineStr">
        <is>
          <t>HM 650g</t>
        </is>
      </c>
      <c r="W57" s="919" t="n"/>
      <c r="X57" s="919" t="n"/>
      <c r="Y57" s="919" t="n"/>
      <c r="Z57" s="932" t="n"/>
      <c r="AB57" s="1079" t="inlineStr">
        <is>
          <t>SAUCISSE DROITE</t>
        </is>
      </c>
      <c r="AC57" s="919" t="n"/>
      <c r="AD57" s="919" t="n"/>
      <c r="AE57" s="919" t="n"/>
      <c r="AF57" s="932" t="n"/>
      <c r="AH57" s="1079" t="inlineStr">
        <is>
          <t>MINI-ROSETTE</t>
        </is>
      </c>
      <c r="AI57" s="919" t="n"/>
      <c r="AJ57" s="919" t="n"/>
      <c r="AK57" s="919" t="n"/>
      <c r="AL57" s="932" t="n"/>
      <c r="AN57" s="1066" t="inlineStr">
        <is>
          <t>HM 7-800g</t>
        </is>
      </c>
      <c r="AO57" s="919" t="n"/>
      <c r="AP57" s="919" t="n"/>
      <c r="AQ57" s="919" t="n"/>
      <c r="AR57" s="919" t="n"/>
      <c r="AT57" s="1066" t="inlineStr">
        <is>
          <t>HM 3-400g</t>
        </is>
      </c>
      <c r="AU57" s="919" t="n"/>
      <c r="AV57" s="919" t="n"/>
      <c r="AW57" s="919" t="n"/>
      <c r="AX57" s="919" t="n"/>
    </row>
    <row r="58" ht="45.75" customHeight="1" s="1025" thickBot="1">
      <c r="J58" s="490" t="inlineStr">
        <is>
          <t>VIANDES</t>
        </is>
      </c>
      <c r="K58" s="491" t="inlineStr">
        <is>
          <t>Mêlée de 150 KG</t>
        </is>
      </c>
      <c r="L58" s="491" t="inlineStr">
        <is>
          <t>Poids cumulés</t>
        </is>
      </c>
      <c r="M58" s="492" t="inlineStr">
        <is>
          <t>U</t>
        </is>
      </c>
      <c r="N58" s="532" t="inlineStr">
        <is>
          <t>%</t>
        </is>
      </c>
      <c r="P58" s="490" t="inlineStr">
        <is>
          <t>VIANDES</t>
        </is>
      </c>
      <c r="Q58" s="491" t="inlineStr">
        <is>
          <t>Mêlée de 150 KG</t>
        </is>
      </c>
      <c r="R58" s="491" t="inlineStr">
        <is>
          <t>Poids cumulés</t>
        </is>
      </c>
      <c r="S58" s="492" t="inlineStr">
        <is>
          <t>U</t>
        </is>
      </c>
      <c r="T58" s="532" t="inlineStr">
        <is>
          <t>%</t>
        </is>
      </c>
      <c r="V58" s="490" t="inlineStr">
        <is>
          <t>VIANDES</t>
        </is>
      </c>
      <c r="W58" s="491" t="inlineStr">
        <is>
          <t>Mêlée de 150 KG</t>
        </is>
      </c>
      <c r="X58" s="491" t="inlineStr">
        <is>
          <t>Poids cumulés</t>
        </is>
      </c>
      <c r="Y58" s="492" t="inlineStr">
        <is>
          <t>U</t>
        </is>
      </c>
      <c r="Z58" s="532" t="inlineStr">
        <is>
          <t>%</t>
        </is>
      </c>
      <c r="AB58" s="490" t="inlineStr">
        <is>
          <t>VIANDES</t>
        </is>
      </c>
      <c r="AC58" s="491" t="inlineStr">
        <is>
          <t>Mêlée de 150 KG</t>
        </is>
      </c>
      <c r="AD58" s="491" t="inlineStr">
        <is>
          <t>Poids cumulés</t>
        </is>
      </c>
      <c r="AE58" s="492" t="inlineStr">
        <is>
          <t>U</t>
        </is>
      </c>
      <c r="AF58" s="532" t="inlineStr">
        <is>
          <t>%</t>
        </is>
      </c>
      <c r="AH58" s="490" t="inlineStr">
        <is>
          <t>VIANDES</t>
        </is>
      </c>
      <c r="AI58" s="491" t="inlineStr">
        <is>
          <t>Mêlée de 150 KG</t>
        </is>
      </c>
      <c r="AJ58" s="491" t="inlineStr">
        <is>
          <t>Poids cumulés</t>
        </is>
      </c>
      <c r="AK58" s="492" t="inlineStr">
        <is>
          <t>U</t>
        </is>
      </c>
      <c r="AL58" s="532" t="inlineStr">
        <is>
          <t>%</t>
        </is>
      </c>
      <c r="AN58" s="490" t="inlineStr">
        <is>
          <t>VIANDES</t>
        </is>
      </c>
      <c r="AO58" s="491" t="inlineStr">
        <is>
          <t>Mêlée de 150 KG</t>
        </is>
      </c>
      <c r="AP58" s="491" t="inlineStr">
        <is>
          <t>Poids cumulés</t>
        </is>
      </c>
      <c r="AQ58" s="492" t="inlineStr">
        <is>
          <t>U</t>
        </is>
      </c>
      <c r="AR58" s="532" t="inlineStr">
        <is>
          <t>%</t>
        </is>
      </c>
      <c r="AT58" s="490" t="inlineStr">
        <is>
          <t>VIANDES</t>
        </is>
      </c>
      <c r="AU58" s="491" t="inlineStr">
        <is>
          <t>Mêlée de 150 KG</t>
        </is>
      </c>
      <c r="AV58" s="491" t="inlineStr">
        <is>
          <t>Poids cumulés</t>
        </is>
      </c>
      <c r="AW58" s="492" t="inlineStr">
        <is>
          <t>U</t>
        </is>
      </c>
      <c r="AX58" s="532" t="inlineStr">
        <is>
          <t>%</t>
        </is>
      </c>
    </row>
    <row r="59">
      <c r="J59" s="538" t="inlineStr">
        <is>
          <t>ÉPAULE 3D</t>
        </is>
      </c>
      <c r="K59" s="512">
        <f>'Recette viandes'!R22</f>
        <v/>
      </c>
      <c r="L59" s="539">
        <f>K59</f>
        <v/>
      </c>
      <c r="M59" s="513" t="inlineStr">
        <is>
          <t>kg</t>
        </is>
      </c>
      <c r="N59" s="511">
        <f>K59*100/K62</f>
        <v/>
      </c>
      <c r="P59" s="538" t="inlineStr">
        <is>
          <t>ÉPAULE 3D</t>
        </is>
      </c>
      <c r="Q59" s="512">
        <f>'Recette viandes'!P22</f>
        <v/>
      </c>
      <c r="R59" s="539">
        <f>Q59</f>
        <v/>
      </c>
      <c r="S59" s="513" t="inlineStr">
        <is>
          <t>kg</t>
        </is>
      </c>
      <c r="T59" s="511">
        <f>Q59*100/Q62</f>
        <v/>
      </c>
      <c r="V59" s="538" t="inlineStr">
        <is>
          <t>ÉPAULE 3D</t>
        </is>
      </c>
      <c r="W59" s="512">
        <f>'Recette viandes'!P22</f>
        <v/>
      </c>
      <c r="X59" s="539">
        <f>W59</f>
        <v/>
      </c>
      <c r="Y59" s="513" t="inlineStr">
        <is>
          <t>kg</t>
        </is>
      </c>
      <c r="Z59" s="511">
        <f>W59*100/W62</f>
        <v/>
      </c>
      <c r="AB59" s="538" t="inlineStr">
        <is>
          <t>ÉPAULE 3D</t>
        </is>
      </c>
      <c r="AC59" s="512">
        <f>'Recette viandes'!P22</f>
        <v/>
      </c>
      <c r="AD59" s="539">
        <f>AC59</f>
        <v/>
      </c>
      <c r="AE59" s="513" t="inlineStr">
        <is>
          <t>kg</t>
        </is>
      </c>
      <c r="AF59" s="511">
        <f>AC59*100/AC62</f>
        <v/>
      </c>
      <c r="AH59" s="538" t="inlineStr">
        <is>
          <t>ÉPAULE 3D</t>
        </is>
      </c>
      <c r="AI59" s="512">
        <f>'Recette viandes'!P22</f>
        <v/>
      </c>
      <c r="AJ59" s="539">
        <f>AI59</f>
        <v/>
      </c>
      <c r="AK59" s="513" t="inlineStr">
        <is>
          <t>kg</t>
        </is>
      </c>
      <c r="AL59" s="511">
        <f>AI59*100/AI62</f>
        <v/>
      </c>
      <c r="AN59" s="538" t="inlineStr">
        <is>
          <t>ÉPAULE 3D</t>
        </is>
      </c>
      <c r="AO59" s="512">
        <f>'Recette viandes'!Z22</f>
        <v/>
      </c>
      <c r="AP59" s="539">
        <f>AO59</f>
        <v/>
      </c>
      <c r="AQ59" s="513" t="inlineStr">
        <is>
          <t>kg</t>
        </is>
      </c>
      <c r="AR59" s="511">
        <f>AO59*100/AO62</f>
        <v/>
      </c>
      <c r="AT59" s="538" t="inlineStr">
        <is>
          <t>ÉPAULE 3D</t>
        </is>
      </c>
      <c r="AU59" s="512">
        <f>'Recette viandes'!X22</f>
        <v/>
      </c>
      <c r="AV59" s="539">
        <f>AU59</f>
        <v/>
      </c>
      <c r="AW59" s="513" t="inlineStr">
        <is>
          <t>kg</t>
        </is>
      </c>
      <c r="AX59" s="511">
        <f>AU59*100/AU62</f>
        <v/>
      </c>
    </row>
    <row r="60">
      <c r="J60" s="542" t="inlineStr">
        <is>
          <t xml:space="preserve">GRAS </t>
        </is>
      </c>
      <c r="K60" s="518">
        <f>'Recette viandes'!R23</f>
        <v/>
      </c>
      <c r="L60" s="543">
        <f>L59+K60</f>
        <v/>
      </c>
      <c r="M60" s="519" t="inlineStr">
        <is>
          <t>kg</t>
        </is>
      </c>
      <c r="N60" s="679">
        <f>K60*100/K62</f>
        <v/>
      </c>
      <c r="P60" s="542" t="inlineStr">
        <is>
          <t xml:space="preserve">GRAS </t>
        </is>
      </c>
      <c r="Q60" s="518">
        <f>'Recette viandes'!P23</f>
        <v/>
      </c>
      <c r="R60" s="543">
        <f>R59+Q60</f>
        <v/>
      </c>
      <c r="S60" s="519" t="inlineStr">
        <is>
          <t>kg</t>
        </is>
      </c>
      <c r="T60" s="679">
        <f>Q60*100/Q62</f>
        <v/>
      </c>
      <c r="V60" s="542" t="inlineStr">
        <is>
          <t xml:space="preserve">GRAS </t>
        </is>
      </c>
      <c r="W60" s="518">
        <f>'Recette viandes'!P23</f>
        <v/>
      </c>
      <c r="X60" s="543">
        <f>X59+W60</f>
        <v/>
      </c>
      <c r="Y60" s="519" t="inlineStr">
        <is>
          <t>kg</t>
        </is>
      </c>
      <c r="Z60" s="679">
        <f>W60*100/W62</f>
        <v/>
      </c>
      <c r="AB60" s="542" t="inlineStr">
        <is>
          <t xml:space="preserve">GRAS </t>
        </is>
      </c>
      <c r="AC60" s="518">
        <f>'Recette viandes'!P23</f>
        <v/>
      </c>
      <c r="AD60" s="543">
        <f>AD59+AC60</f>
        <v/>
      </c>
      <c r="AE60" s="519" t="inlineStr">
        <is>
          <t>kg</t>
        </is>
      </c>
      <c r="AF60" s="679">
        <f>AC60*100/AC62</f>
        <v/>
      </c>
      <c r="AH60" s="542" t="inlineStr">
        <is>
          <t xml:space="preserve">GRAS </t>
        </is>
      </c>
      <c r="AI60" s="518">
        <f>'Recette viandes'!P23</f>
        <v/>
      </c>
      <c r="AJ60" s="543">
        <f>AJ59+AI60</f>
        <v/>
      </c>
      <c r="AK60" s="519" t="inlineStr">
        <is>
          <t>kg</t>
        </is>
      </c>
      <c r="AL60" s="679">
        <f>AI60*100/AI62</f>
        <v/>
      </c>
      <c r="AN60" s="542" t="inlineStr">
        <is>
          <t xml:space="preserve">GRAS </t>
        </is>
      </c>
      <c r="AO60" s="518">
        <f>'Recette viandes'!Z23</f>
        <v/>
      </c>
      <c r="AP60" s="543">
        <f>AP59+AO60</f>
        <v/>
      </c>
      <c r="AQ60" s="519" t="inlineStr">
        <is>
          <t>kg</t>
        </is>
      </c>
      <c r="AR60" s="679">
        <f>AO60*100/AO62</f>
        <v/>
      </c>
      <c r="AT60" s="542" t="inlineStr">
        <is>
          <t xml:space="preserve">GRAS </t>
        </is>
      </c>
      <c r="AU60" s="518">
        <f>'Recette viandes'!X23</f>
        <v/>
      </c>
      <c r="AV60" s="543">
        <f>AV59+AU60</f>
        <v/>
      </c>
      <c r="AW60" s="519" t="inlineStr">
        <is>
          <t>kg</t>
        </is>
      </c>
      <c r="AX60" s="679">
        <f>AU60*100/AU62</f>
        <v/>
      </c>
    </row>
    <row r="61" ht="26.25" customHeight="1" s="1025" thickBot="1">
      <c r="J61" s="544" t="inlineStr">
        <is>
          <t>HAMPES</t>
        </is>
      </c>
      <c r="K61" s="643">
        <f>'Recette viandes'!R24</f>
        <v/>
      </c>
      <c r="L61" s="546">
        <f>L60+K61</f>
        <v/>
      </c>
      <c r="M61" s="587" t="inlineStr">
        <is>
          <t>kg</t>
        </is>
      </c>
      <c r="N61" s="680">
        <f>K61*100/K62</f>
        <v/>
      </c>
      <c r="P61" s="544" t="inlineStr">
        <is>
          <t>HAMPES</t>
        </is>
      </c>
      <c r="Q61" s="643">
        <f>'Recette viandes'!P24</f>
        <v/>
      </c>
      <c r="R61" s="546">
        <f>R60+Q61</f>
        <v/>
      </c>
      <c r="S61" s="587" t="inlineStr">
        <is>
          <t>kg</t>
        </is>
      </c>
      <c r="T61" s="680">
        <f>Q61*100/Q62</f>
        <v/>
      </c>
      <c r="V61" s="544" t="inlineStr">
        <is>
          <t>HAMPES</t>
        </is>
      </c>
      <c r="W61" s="643">
        <f>'Recette viandes'!P24</f>
        <v/>
      </c>
      <c r="X61" s="546">
        <f>X60+W61</f>
        <v/>
      </c>
      <c r="Y61" s="587" t="inlineStr">
        <is>
          <t>kg</t>
        </is>
      </c>
      <c r="Z61" s="680">
        <f>W61*100/W62</f>
        <v/>
      </c>
      <c r="AB61" s="544" t="inlineStr">
        <is>
          <t>HAMPES</t>
        </is>
      </c>
      <c r="AC61" s="643">
        <f>'Recette viandes'!P24</f>
        <v/>
      </c>
      <c r="AD61" s="546">
        <f>AD60+AC61</f>
        <v/>
      </c>
      <c r="AE61" s="587" t="inlineStr">
        <is>
          <t>kg</t>
        </is>
      </c>
      <c r="AF61" s="680">
        <f>AC61*100/AC62</f>
        <v/>
      </c>
      <c r="AH61" s="544" t="inlineStr">
        <is>
          <t>HAMPES</t>
        </is>
      </c>
      <c r="AI61" s="643">
        <f>'Recette viandes'!P24</f>
        <v/>
      </c>
      <c r="AJ61" s="546">
        <f>AJ60+AI61</f>
        <v/>
      </c>
      <c r="AK61" s="587" t="inlineStr">
        <is>
          <t>kg</t>
        </is>
      </c>
      <c r="AL61" s="680">
        <f>AI61*100/AI62</f>
        <v/>
      </c>
      <c r="AN61" s="544" t="inlineStr">
        <is>
          <t>HAMPES</t>
        </is>
      </c>
      <c r="AO61" s="643">
        <f>'Recette viandes'!Z24</f>
        <v/>
      </c>
      <c r="AP61" s="546">
        <f>AP60+AO61</f>
        <v/>
      </c>
      <c r="AQ61" s="587" t="inlineStr">
        <is>
          <t>kg</t>
        </is>
      </c>
      <c r="AR61" s="680">
        <f>AO61*100/AO62</f>
        <v/>
      </c>
      <c r="AT61" s="544" t="inlineStr">
        <is>
          <t>HAMPES</t>
        </is>
      </c>
      <c r="AU61" s="643">
        <f>'Recette viandes'!X24</f>
        <v/>
      </c>
      <c r="AV61" s="546">
        <f>AV60+AU61</f>
        <v/>
      </c>
      <c r="AW61" s="587" t="inlineStr">
        <is>
          <t>kg</t>
        </is>
      </c>
      <c r="AX61" s="680">
        <f>AU61*100/AU62</f>
        <v/>
      </c>
    </row>
    <row r="62" ht="26.25" customHeight="1" s="1025" thickBot="1">
      <c r="J62" s="490" t="inlineStr">
        <is>
          <t>TOTAL VIANDES</t>
        </is>
      </c>
      <c r="K62" s="563">
        <f>SUM(K59:K61)</f>
        <v/>
      </c>
      <c r="L62" s="564">
        <f>L61</f>
        <v/>
      </c>
      <c r="M62" s="492" t="inlineStr">
        <is>
          <t>kg</t>
        </is>
      </c>
      <c r="N62" s="565">
        <f>SUM(N59:N61)</f>
        <v/>
      </c>
      <c r="P62" s="490" t="inlineStr">
        <is>
          <t>TOTAL VIANDES</t>
        </is>
      </c>
      <c r="Q62" s="563">
        <f>SUM(Q59:Q61)</f>
        <v/>
      </c>
      <c r="R62" s="564">
        <f>R61</f>
        <v/>
      </c>
      <c r="S62" s="492" t="inlineStr">
        <is>
          <t>kg</t>
        </is>
      </c>
      <c r="T62" s="565">
        <f>SUM(T59:T61)</f>
        <v/>
      </c>
      <c r="V62" s="490" t="inlineStr">
        <is>
          <t>TOTAL VIANDES</t>
        </is>
      </c>
      <c r="W62" s="563">
        <f>SUM(W59:W61)</f>
        <v/>
      </c>
      <c r="X62" s="564">
        <f>X61</f>
        <v/>
      </c>
      <c r="Y62" s="492" t="inlineStr">
        <is>
          <t>kg</t>
        </is>
      </c>
      <c r="Z62" s="565">
        <f>SUM(Z59:Z61)</f>
        <v/>
      </c>
      <c r="AB62" s="490" t="inlineStr">
        <is>
          <t>TOTAL VIANDES</t>
        </is>
      </c>
      <c r="AC62" s="563">
        <f>SUM(AC59:AC61)</f>
        <v/>
      </c>
      <c r="AD62" s="564">
        <f>AD61</f>
        <v/>
      </c>
      <c r="AE62" s="492" t="inlineStr">
        <is>
          <t>kg</t>
        </is>
      </c>
      <c r="AF62" s="565">
        <f>SUM(AF59:AF61)</f>
        <v/>
      </c>
      <c r="AH62" s="490" t="inlineStr">
        <is>
          <t>TOTAL VIANDES</t>
        </is>
      </c>
      <c r="AI62" s="563">
        <f>SUM(AI59:AI61)</f>
        <v/>
      </c>
      <c r="AJ62" s="564">
        <f>AJ61</f>
        <v/>
      </c>
      <c r="AK62" s="492" t="inlineStr">
        <is>
          <t>kg</t>
        </is>
      </c>
      <c r="AL62" s="565">
        <f>SUM(AL59:AL61)</f>
        <v/>
      </c>
      <c r="AN62" s="490" t="inlineStr">
        <is>
          <t>TOTAL VIANDES</t>
        </is>
      </c>
      <c r="AO62" s="563">
        <f>SUM(AO59:AO61)</f>
        <v/>
      </c>
      <c r="AP62" s="564">
        <f>AP61</f>
        <v/>
      </c>
      <c r="AQ62" s="492" t="inlineStr">
        <is>
          <t>kg</t>
        </is>
      </c>
      <c r="AR62" s="565">
        <f>SUM(AR59:AR61)</f>
        <v/>
      </c>
      <c r="AT62" s="490" t="inlineStr">
        <is>
          <t>TOTAL VIANDES</t>
        </is>
      </c>
      <c r="AU62" s="563">
        <f>SUM(AU59:AU61)</f>
        <v/>
      </c>
      <c r="AV62" s="564">
        <f>AV61</f>
        <v/>
      </c>
      <c r="AW62" s="492" t="inlineStr">
        <is>
          <t>kg</t>
        </is>
      </c>
      <c r="AX62" s="565">
        <f>SUM(AX59:AX61)</f>
        <v/>
      </c>
    </row>
    <row r="63" customFormat="1" s="1075">
      <c r="B63" s="759" t="n"/>
      <c r="C63" s="760" t="n"/>
      <c r="D63" s="761" t="n"/>
      <c r="H63" s="574" t="n"/>
      <c r="J63" s="574" t="inlineStr">
        <is>
          <t>% Viandes = Viande Concernée X 100 / Total Viandes</t>
        </is>
      </c>
      <c r="P63" s="574" t="inlineStr">
        <is>
          <t>% Viandes = Viande Concernée X 100 / Total Viandes</t>
        </is>
      </c>
      <c r="V63" s="574" t="inlineStr">
        <is>
          <t>% Viandes = Viande Concernée X 100 / Total Viandes</t>
        </is>
      </c>
      <c r="AB63" s="574" t="inlineStr">
        <is>
          <t>% Viandes = Viande Concernée X 100 / Total Viandes</t>
        </is>
      </c>
      <c r="AH63" s="574" t="inlineStr">
        <is>
          <t>% Viandes = Viande Concernée X 100 / Total Viandes</t>
        </is>
      </c>
      <c r="AN63" s="574" t="inlineStr">
        <is>
          <t>% Viandes = Viande Concernée X 100 / Total Viandes</t>
        </is>
      </c>
      <c r="AT63" s="574" t="inlineStr">
        <is>
          <t>% Viandes = Viande Concernée X 100 / Total Viandes</t>
        </is>
      </c>
    </row>
    <row r="64" ht="26.25" customHeight="1" s="1025" thickBot="1"/>
    <row r="65" ht="45.75" customHeight="1" s="1025" thickBot="1">
      <c r="J65" s="490" t="inlineStr">
        <is>
          <t>ASSAISONNEMENT</t>
        </is>
      </c>
      <c r="K65" s="645" t="inlineStr">
        <is>
          <t>Mêlée de 150 kg</t>
        </is>
      </c>
      <c r="L65" s="645" t="inlineStr">
        <is>
          <t>Poids cumulés</t>
        </is>
      </c>
      <c r="M65" s="492" t="inlineStr">
        <is>
          <t>U</t>
        </is>
      </c>
      <c r="N65" s="493" t="inlineStr">
        <is>
          <t>%</t>
        </is>
      </c>
      <c r="P65" s="490" t="inlineStr">
        <is>
          <t>ASSAISONNEMENT</t>
        </is>
      </c>
      <c r="Q65" s="645" t="inlineStr">
        <is>
          <t>Mêlée de 150 kg</t>
        </is>
      </c>
      <c r="R65" s="645" t="inlineStr">
        <is>
          <t>Poids cumulés</t>
        </is>
      </c>
      <c r="S65" s="492" t="inlineStr">
        <is>
          <t>U</t>
        </is>
      </c>
      <c r="T65" s="532" t="inlineStr">
        <is>
          <t>%</t>
        </is>
      </c>
      <c r="V65" s="596" t="inlineStr">
        <is>
          <t>ASSAISONNEMENT</t>
        </is>
      </c>
      <c r="W65" s="683" t="inlineStr">
        <is>
          <t>Mêlée de 150 kg</t>
        </is>
      </c>
      <c r="X65" s="683" t="inlineStr">
        <is>
          <t>Poids cumulés</t>
        </is>
      </c>
      <c r="Y65" s="492" t="inlineStr">
        <is>
          <t>U</t>
        </is>
      </c>
      <c r="Z65" s="532" t="inlineStr">
        <is>
          <t>%</t>
        </is>
      </c>
      <c r="AB65" s="490" t="inlineStr">
        <is>
          <t>ASSAISONNEMENT</t>
        </is>
      </c>
      <c r="AC65" s="645" t="inlineStr">
        <is>
          <t>Mêlée de 150 kg</t>
        </is>
      </c>
      <c r="AD65" s="645" t="inlineStr">
        <is>
          <t>Poids cumulés</t>
        </is>
      </c>
      <c r="AE65" s="492" t="inlineStr">
        <is>
          <t>U</t>
        </is>
      </c>
      <c r="AF65" s="532" t="inlineStr">
        <is>
          <t>%</t>
        </is>
      </c>
      <c r="AH65" s="490" t="inlineStr">
        <is>
          <t>ASSAISONNEMENT</t>
        </is>
      </c>
      <c r="AI65" s="645" t="inlineStr">
        <is>
          <t>Mêlée de 150 kg</t>
        </is>
      </c>
      <c r="AJ65" s="645" t="inlineStr">
        <is>
          <t>Poids cumulés</t>
        </is>
      </c>
      <c r="AK65" s="492" t="inlineStr">
        <is>
          <t>U</t>
        </is>
      </c>
      <c r="AL65" s="532" t="inlineStr">
        <is>
          <t>%</t>
        </is>
      </c>
      <c r="AN65" s="490" t="inlineStr">
        <is>
          <t>ASSAISONNEMENT</t>
        </is>
      </c>
      <c r="AO65" s="645" t="inlineStr">
        <is>
          <t>Mêlée de 150 kg</t>
        </is>
      </c>
      <c r="AP65" s="645" t="inlineStr">
        <is>
          <t>Poids cumulés</t>
        </is>
      </c>
      <c r="AQ65" s="492" t="inlineStr">
        <is>
          <t>U</t>
        </is>
      </c>
      <c r="AR65" s="532" t="inlineStr">
        <is>
          <t>%</t>
        </is>
      </c>
      <c r="AT65" s="490" t="inlineStr">
        <is>
          <t>ASSAISONNEMENT</t>
        </is>
      </c>
      <c r="AU65" s="645" t="inlineStr">
        <is>
          <t>Mêlée de 150 kg</t>
        </is>
      </c>
      <c r="AV65" s="645" t="inlineStr">
        <is>
          <t>Poids cumulés</t>
        </is>
      </c>
      <c r="AW65" s="492" t="inlineStr">
        <is>
          <t>U</t>
        </is>
      </c>
      <c r="AX65" s="532" t="inlineStr">
        <is>
          <t>%</t>
        </is>
      </c>
    </row>
    <row r="66">
      <c r="J66" s="661" t="inlineStr">
        <is>
          <t>SEL NITRITE</t>
        </is>
      </c>
      <c r="K66" s="652">
        <f>'Haché Moyen'!$P$6</f>
        <v/>
      </c>
      <c r="L66" s="652">
        <f>K66</f>
        <v/>
      </c>
      <c r="M66" s="653" t="inlineStr">
        <is>
          <t>kg</t>
        </is>
      </c>
      <c r="N66" s="689">
        <f>K66*100/($K$62+SUM($K$66:$K$72))</f>
        <v/>
      </c>
      <c r="P66" s="661" t="inlineStr">
        <is>
          <t xml:space="preserve">SEL </t>
        </is>
      </c>
      <c r="Q66" s="652">
        <f>'Haché Moyen'!B6</f>
        <v/>
      </c>
      <c r="R66" s="652">
        <f>Q66</f>
        <v/>
      </c>
      <c r="S66" s="653" t="inlineStr">
        <is>
          <t>kg</t>
        </is>
      </c>
      <c r="T66" s="689">
        <f>Q66*100/($Q$62+SUM($Q$66:$Q$71))</f>
        <v/>
      </c>
      <c r="V66" s="654" t="inlineStr">
        <is>
          <t xml:space="preserve">SEL </t>
        </is>
      </c>
      <c r="W66" s="652">
        <f>'Haché Moyen'!J6</f>
        <v/>
      </c>
      <c r="X66" s="652">
        <f>W66</f>
        <v/>
      </c>
      <c r="Y66" s="653" t="inlineStr">
        <is>
          <t>kg</t>
        </is>
      </c>
      <c r="Z66" s="689">
        <f>W66*100/($W$62+SUM($W$66:$W$72))</f>
        <v/>
      </c>
      <c r="AB66" s="697" t="inlineStr">
        <is>
          <t xml:space="preserve">SEL </t>
        </is>
      </c>
      <c r="AC66" s="652">
        <f>'Haché Moyen'!J21</f>
        <v/>
      </c>
      <c r="AD66" s="652">
        <f>AC66</f>
        <v/>
      </c>
      <c r="AE66" s="653" t="inlineStr">
        <is>
          <t>kg</t>
        </is>
      </c>
      <c r="AF66" s="689">
        <f>AC66*100/($AC$62+SUM($AC$66:$AC$71))</f>
        <v/>
      </c>
      <c r="AH66" s="654" t="inlineStr">
        <is>
          <t xml:space="preserve">SEL </t>
        </is>
      </c>
      <c r="AI66" s="652">
        <f>'Haché Moyen'!B21</f>
        <v/>
      </c>
      <c r="AJ66" s="652">
        <f>AI66</f>
        <v/>
      </c>
      <c r="AK66" s="653" t="inlineStr">
        <is>
          <t>kg</t>
        </is>
      </c>
      <c r="AL66" s="689">
        <f>AI66*100/($AI$62+SUM($AI$66:$AI$71))</f>
        <v/>
      </c>
      <c r="AN66" s="654" t="inlineStr">
        <is>
          <t xml:space="preserve">SEL </t>
        </is>
      </c>
      <c r="AO66" s="652">
        <f>'Haché Moyen'!P34</f>
        <v/>
      </c>
      <c r="AP66" s="652">
        <f>AO66</f>
        <v/>
      </c>
      <c r="AQ66" s="653" t="inlineStr">
        <is>
          <t>kg</t>
        </is>
      </c>
      <c r="AR66" s="689">
        <f>AO66*100/($AO$62+SUM($AO$66:$AO$71))</f>
        <v/>
      </c>
      <c r="AT66" s="667" t="inlineStr">
        <is>
          <t xml:space="preserve">SEL </t>
        </is>
      </c>
      <c r="AU66" s="620">
        <f>'Haché Moyen'!P21</f>
        <v/>
      </c>
      <c r="AV66" s="620">
        <f>AU66</f>
        <v/>
      </c>
      <c r="AW66" s="646" t="inlineStr">
        <is>
          <t>kg</t>
        </is>
      </c>
      <c r="AX66" s="675">
        <f>AU66*100/($AU$62+SUM($AU$66:$AU$71))</f>
        <v/>
      </c>
    </row>
    <row r="67" ht="25.5" customHeight="1" s="1025">
      <c r="J67" s="591" t="inlineStr">
        <is>
          <t xml:space="preserve">SEL </t>
        </is>
      </c>
      <c r="K67" s="621">
        <f>'Haché Moyen'!$P$7</f>
        <v/>
      </c>
      <c r="L67" s="621">
        <f>L66+K67</f>
        <v/>
      </c>
      <c r="M67" s="647" t="inlineStr">
        <is>
          <t>kg</t>
        </is>
      </c>
      <c r="N67" s="690">
        <f>K67*100/($K$62+SUM($K$66:$K$72))</f>
        <v/>
      </c>
      <c r="P67" s="591" t="inlineStr">
        <is>
          <t>NITRATE DE POTASSIUM</t>
        </is>
      </c>
      <c r="Q67" s="621">
        <f>'Haché Moyen'!B7</f>
        <v/>
      </c>
      <c r="R67" s="621">
        <f>R66+Q67</f>
        <v/>
      </c>
      <c r="S67" s="647" t="inlineStr">
        <is>
          <t>kg</t>
        </is>
      </c>
      <c r="T67" s="690">
        <f>Q67*100/($Q$62+SUM($Q$66:$Q$71))</f>
        <v/>
      </c>
      <c r="V67" s="516" t="inlineStr">
        <is>
          <t>NITRATE DE POTASSIUM</t>
        </is>
      </c>
      <c r="W67" s="621">
        <f>'Haché Moyen'!J7</f>
        <v/>
      </c>
      <c r="X67" s="621">
        <f>X66+W67</f>
        <v/>
      </c>
      <c r="Y67" s="647" t="inlineStr">
        <is>
          <t>kg</t>
        </is>
      </c>
      <c r="Z67" s="690">
        <f>W67*100/($W$62+SUM($W$66:$W$72))</f>
        <v/>
      </c>
      <c r="AB67" s="591" t="inlineStr">
        <is>
          <t>NITRATE DE POTASSIUM</t>
        </is>
      </c>
      <c r="AC67" s="621">
        <f>'Haché Moyen'!J22</f>
        <v/>
      </c>
      <c r="AD67" s="621">
        <f>AD66+AC67</f>
        <v/>
      </c>
      <c r="AE67" s="647" t="inlineStr">
        <is>
          <t>kg</t>
        </is>
      </c>
      <c r="AF67" s="690">
        <f>AC67*100/($AC$62+SUM($AC$66:$AC$71))</f>
        <v/>
      </c>
      <c r="AH67" s="516" t="inlineStr">
        <is>
          <t>NITRATE DE POTASSIUM</t>
        </is>
      </c>
      <c r="AI67" s="621">
        <f>'Haché Moyen'!B22</f>
        <v/>
      </c>
      <c r="AJ67" s="621">
        <f>AJ66+AI67</f>
        <v/>
      </c>
      <c r="AK67" s="647" t="inlineStr">
        <is>
          <t>kg</t>
        </is>
      </c>
      <c r="AL67" s="690">
        <f>AI67*100/($AI$62+SUM($AI$66:$AI$71))</f>
        <v/>
      </c>
      <c r="AN67" s="516" t="inlineStr">
        <is>
          <t>NITRATE DE POTASSIUM</t>
        </is>
      </c>
      <c r="AO67" s="621">
        <f>'Haché Moyen'!P35</f>
        <v/>
      </c>
      <c r="AP67" s="621">
        <f>AP66+AO67</f>
        <v/>
      </c>
      <c r="AQ67" s="647" t="inlineStr">
        <is>
          <t>kg</t>
        </is>
      </c>
      <c r="AR67" s="690">
        <f>AO67*100/($AO$62+SUM($AO$66:$AO$71))</f>
        <v/>
      </c>
      <c r="AT67" s="698" t="inlineStr">
        <is>
          <t>NITRATE DE POTASSIUM</t>
        </is>
      </c>
      <c r="AU67" s="621">
        <f>'Haché Moyen'!P22</f>
        <v/>
      </c>
      <c r="AV67" s="621">
        <f>AV66+AU67</f>
        <v/>
      </c>
      <c r="AW67" s="647" t="inlineStr">
        <is>
          <t>kg</t>
        </is>
      </c>
      <c r="AX67" s="690">
        <f>AU67*100/($AU$62+SUM($AU$66:$AU$71))</f>
        <v/>
      </c>
    </row>
    <row r="68">
      <c r="J68" s="524" t="inlineStr">
        <is>
          <t>NITRATE DE POTASSIUM</t>
        </is>
      </c>
      <c r="K68" s="618">
        <f>'Haché Moyen'!$P$8</f>
        <v/>
      </c>
      <c r="L68" s="618">
        <f>L67+K68</f>
        <v/>
      </c>
      <c r="M68" s="648" t="inlineStr">
        <is>
          <t>kg</t>
        </is>
      </c>
      <c r="N68" s="691">
        <f>K68*100/($K$62+SUM($K$66:$K$72))</f>
        <v/>
      </c>
      <c r="P68" s="524" t="inlineStr">
        <is>
          <t>LACTOSE</t>
        </is>
      </c>
      <c r="Q68" s="618">
        <f>'Haché Moyen'!B8</f>
        <v/>
      </c>
      <c r="R68" s="618">
        <f>R67+Q68</f>
        <v/>
      </c>
      <c r="S68" s="648" t="inlineStr">
        <is>
          <t>kg</t>
        </is>
      </c>
      <c r="T68" s="691">
        <f>Q68*100/($Q$62+SUM($Q$66:$Q$71))</f>
        <v/>
      </c>
      <c r="V68" s="500" t="inlineStr">
        <is>
          <t>LACTOSE</t>
        </is>
      </c>
      <c r="W68" s="618">
        <f>'Haché Moyen'!J8</f>
        <v/>
      </c>
      <c r="X68" s="618">
        <f>X67+W68</f>
        <v/>
      </c>
      <c r="Y68" s="648" t="inlineStr">
        <is>
          <t>kg</t>
        </is>
      </c>
      <c r="Z68" s="691">
        <f>W68*100/($W$62+SUM($W$66:$W$72))</f>
        <v/>
      </c>
      <c r="AB68" s="524" t="inlineStr">
        <is>
          <t>LACTOSE</t>
        </is>
      </c>
      <c r="AC68" s="618">
        <f>'Haché Moyen'!J23</f>
        <v/>
      </c>
      <c r="AD68" s="618">
        <f>AD67+AC68</f>
        <v/>
      </c>
      <c r="AE68" s="648" t="inlineStr">
        <is>
          <t>kg</t>
        </is>
      </c>
      <c r="AF68" s="691">
        <f>AC68*100/($AC$62+SUM($AC$66:$AC$71))</f>
        <v/>
      </c>
      <c r="AH68" s="500" t="inlineStr">
        <is>
          <t>LACTOSE</t>
        </is>
      </c>
      <c r="AI68" s="618">
        <f>'Haché Moyen'!B23</f>
        <v/>
      </c>
      <c r="AJ68" s="618">
        <f>AJ67+AI68</f>
        <v/>
      </c>
      <c r="AK68" s="648" t="inlineStr">
        <is>
          <t>kg</t>
        </is>
      </c>
      <c r="AL68" s="691">
        <f>AI68*100/($AI$62+SUM($AI$66:$AI$71))</f>
        <v/>
      </c>
      <c r="AN68" s="500" t="inlineStr">
        <is>
          <t>LACTOSE</t>
        </is>
      </c>
      <c r="AO68" s="618">
        <f>'Haché Moyen'!P36</f>
        <v/>
      </c>
      <c r="AP68" s="618">
        <f>AP67+AO68</f>
        <v/>
      </c>
      <c r="AQ68" s="648" t="inlineStr">
        <is>
          <t>kg</t>
        </is>
      </c>
      <c r="AR68" s="691">
        <f>AO68*100/($AO$62+SUM($AO$66:$AO$71))</f>
        <v/>
      </c>
      <c r="AT68" s="666" t="inlineStr">
        <is>
          <t>LACTOSE</t>
        </is>
      </c>
      <c r="AU68" s="618">
        <f>'Haché Moyen'!P23</f>
        <v/>
      </c>
      <c r="AV68" s="618">
        <f>AV67+AU68</f>
        <v/>
      </c>
      <c r="AW68" s="648" t="inlineStr">
        <is>
          <t>kg</t>
        </is>
      </c>
      <c r="AX68" s="691">
        <f>AU68*100/($AU$62+SUM($AU$66:$AU$71))</f>
        <v/>
      </c>
    </row>
    <row r="69">
      <c r="J69" s="591" t="inlineStr">
        <is>
          <t>LACTOSE</t>
        </is>
      </c>
      <c r="K69" s="621">
        <f>'Haché Moyen'!$P$9</f>
        <v/>
      </c>
      <c r="L69" s="621">
        <f>L68+K69</f>
        <v/>
      </c>
      <c r="M69" s="647" t="inlineStr">
        <is>
          <t>kg</t>
        </is>
      </c>
      <c r="N69" s="690">
        <f>K69*100/($K$62+SUM($K$66:$K$72))</f>
        <v/>
      </c>
      <c r="P69" s="591" t="inlineStr">
        <is>
          <t>DEXTROSE</t>
        </is>
      </c>
      <c r="Q69" s="621">
        <f>'Haché Moyen'!B9</f>
        <v/>
      </c>
      <c r="R69" s="621">
        <f>R68+Q69</f>
        <v/>
      </c>
      <c r="S69" s="647" t="inlineStr">
        <is>
          <t>kg</t>
        </is>
      </c>
      <c r="T69" s="690">
        <f>Q69*100/($Q$62+SUM($Q$66:$Q$71))</f>
        <v/>
      </c>
      <c r="V69" s="516" t="inlineStr">
        <is>
          <t>DEXTROSE</t>
        </is>
      </c>
      <c r="W69" s="621">
        <f>'Haché Moyen'!J9</f>
        <v/>
      </c>
      <c r="X69" s="621">
        <f>X68+W69</f>
        <v/>
      </c>
      <c r="Y69" s="647" t="inlineStr">
        <is>
          <t>kg</t>
        </is>
      </c>
      <c r="Z69" s="690">
        <f>W69*100/($W$62+SUM($W$66:$W$72))</f>
        <v/>
      </c>
      <c r="AB69" s="591" t="inlineStr">
        <is>
          <t>DEXTROSE</t>
        </is>
      </c>
      <c r="AC69" s="621">
        <f>'Haché Moyen'!J24</f>
        <v/>
      </c>
      <c r="AD69" s="621">
        <f>AD68+AC69</f>
        <v/>
      </c>
      <c r="AE69" s="647" t="inlineStr">
        <is>
          <t>kg</t>
        </is>
      </c>
      <c r="AF69" s="690">
        <f>AC69*100/($AC$62+SUM($AC$66:$AC$71))</f>
        <v/>
      </c>
      <c r="AH69" s="516" t="inlineStr">
        <is>
          <t>DEXTROSE</t>
        </is>
      </c>
      <c r="AI69" s="621">
        <f>'Haché Moyen'!B24</f>
        <v/>
      </c>
      <c r="AJ69" s="621">
        <f>AJ68+AI69</f>
        <v/>
      </c>
      <c r="AK69" s="647" t="inlineStr">
        <is>
          <t>kg</t>
        </is>
      </c>
      <c r="AL69" s="690">
        <f>AI69*100/($AI$62+SUM($AI$66:$AI$71))</f>
        <v/>
      </c>
      <c r="AN69" s="516" t="inlineStr">
        <is>
          <t>DEXTROSE</t>
        </is>
      </c>
      <c r="AO69" s="621">
        <f>'Haché Moyen'!P37</f>
        <v/>
      </c>
      <c r="AP69" s="621">
        <f>AP68+AO69</f>
        <v/>
      </c>
      <c r="AQ69" s="647" t="inlineStr">
        <is>
          <t>kg</t>
        </is>
      </c>
      <c r="AR69" s="690">
        <f>AO69*100/($AO$62+SUM($AO$66:$AO$71))</f>
        <v/>
      </c>
      <c r="AT69" s="698" t="inlineStr">
        <is>
          <t xml:space="preserve">DEXTROSE </t>
        </is>
      </c>
      <c r="AU69" s="621">
        <f>'Haché Moyen'!P24</f>
        <v/>
      </c>
      <c r="AV69" s="621">
        <f>AV68+AU69</f>
        <v/>
      </c>
      <c r="AW69" s="647" t="inlineStr">
        <is>
          <t>kg</t>
        </is>
      </c>
      <c r="AX69" s="690">
        <f>AU69*100/($AU$62+SUM($AU$66:$AU$71))</f>
        <v/>
      </c>
    </row>
    <row r="70">
      <c r="J70" s="524" t="inlineStr">
        <is>
          <t>DEXTROSE</t>
        </is>
      </c>
      <c r="K70" s="618">
        <f>'Haché Moyen'!$P$10</f>
        <v/>
      </c>
      <c r="L70" s="618">
        <f>L69+K70</f>
        <v/>
      </c>
      <c r="M70" s="648" t="inlineStr">
        <is>
          <t>kg</t>
        </is>
      </c>
      <c r="N70" s="691">
        <f>K70*100/($K$62+SUM($K$66:$K$72))</f>
        <v/>
      </c>
      <c r="P70" s="524" t="inlineStr">
        <is>
          <t>POIVRE BLANC MOULU</t>
        </is>
      </c>
      <c r="Q70" s="618">
        <f>'Haché Moyen'!B10</f>
        <v/>
      </c>
      <c r="R70" s="618">
        <f>R69+Q70</f>
        <v/>
      </c>
      <c r="S70" s="648" t="inlineStr">
        <is>
          <t>kg</t>
        </is>
      </c>
      <c r="T70" s="691">
        <f>Q70*100/($Q$62+SUM($Q$66:$Q$71))</f>
        <v/>
      </c>
      <c r="V70" s="500" t="inlineStr">
        <is>
          <t>POIVRE BLANC MOULU</t>
        </is>
      </c>
      <c r="W70" s="618">
        <f>'Haché Moyen'!J10</f>
        <v/>
      </c>
      <c r="X70" s="618">
        <f>X69+W70</f>
        <v/>
      </c>
      <c r="Y70" s="648" t="inlineStr">
        <is>
          <t>kg</t>
        </is>
      </c>
      <c r="Z70" s="691">
        <f>W70*100/($W$62+SUM($W$66:$W$72))</f>
        <v/>
      </c>
      <c r="AB70" s="524" t="inlineStr">
        <is>
          <t>POIVRE BLANC MOULU</t>
        </is>
      </c>
      <c r="AC70" s="618">
        <f>'Haché Moyen'!J25</f>
        <v/>
      </c>
      <c r="AD70" s="618">
        <f>AD69+AC70</f>
        <v/>
      </c>
      <c r="AE70" s="648" t="inlineStr">
        <is>
          <t>kg</t>
        </is>
      </c>
      <c r="AF70" s="691">
        <f>AC70*100/($AC$62+SUM($AC$66:$AC$71))</f>
        <v/>
      </c>
      <c r="AH70" s="500" t="inlineStr">
        <is>
          <t>POIVRE BLANC MOULU</t>
        </is>
      </c>
      <c r="AI70" s="618">
        <f>'Haché Moyen'!B25</f>
        <v/>
      </c>
      <c r="AJ70" s="618">
        <f>AJ69+AI70</f>
        <v/>
      </c>
      <c r="AK70" s="648" t="inlineStr">
        <is>
          <t>kg</t>
        </is>
      </c>
      <c r="AL70" s="691">
        <f>AI70*100/($AI$62+SUM($AI$66:$AI$71))</f>
        <v/>
      </c>
      <c r="AN70" s="500" t="inlineStr">
        <is>
          <t>POIVRE BLANC MOULU</t>
        </is>
      </c>
      <c r="AO70" s="618">
        <f>'Haché Moyen'!P38</f>
        <v/>
      </c>
      <c r="AP70" s="618">
        <f>AP69+AO70</f>
        <v/>
      </c>
      <c r="AQ70" s="648" t="inlineStr">
        <is>
          <t>kg</t>
        </is>
      </c>
      <c r="AR70" s="691">
        <f>AO70*100/($AO$62+SUM($AO$66:$AO$71))</f>
        <v/>
      </c>
      <c r="AT70" s="666" t="inlineStr">
        <is>
          <t>POIVRE BLANC MOULU</t>
        </is>
      </c>
      <c r="AU70" s="618">
        <f>'Haché Moyen'!P25</f>
        <v/>
      </c>
      <c r="AV70" s="618">
        <f>AV69+AU70</f>
        <v/>
      </c>
      <c r="AW70" s="648" t="inlineStr">
        <is>
          <t>kg</t>
        </is>
      </c>
      <c r="AX70" s="691">
        <f>AU70*100/($AU$62+SUM($AU$66:$AU$71))</f>
        <v/>
      </c>
    </row>
    <row r="71" ht="26.25" customHeight="1" s="1025" thickBot="1">
      <c r="J71" s="591" t="inlineStr">
        <is>
          <t>POIVRE BLANC MOULU</t>
        </is>
      </c>
      <c r="K71" s="621">
        <f>'Haché Moyen'!$P$11</f>
        <v/>
      </c>
      <c r="L71" s="621">
        <f>L70+K71</f>
        <v/>
      </c>
      <c r="M71" s="647" t="inlineStr">
        <is>
          <t>kg</t>
        </is>
      </c>
      <c r="N71" s="690">
        <f>K71*100/($K$62+SUM($K$66:$K$72))</f>
        <v/>
      </c>
      <c r="P71" s="526" t="inlineStr">
        <is>
          <t>AIL SEMOULE</t>
        </is>
      </c>
      <c r="Q71" s="619">
        <f>'Haché Moyen'!B11</f>
        <v/>
      </c>
      <c r="R71" s="628">
        <f>R70+Q71</f>
        <v/>
      </c>
      <c r="S71" s="649" t="inlineStr">
        <is>
          <t>kg</t>
        </is>
      </c>
      <c r="T71" s="572">
        <f>Q71*100/($Q$62+SUM($Q$66:$Q$71))</f>
        <v/>
      </c>
      <c r="V71" s="516" t="inlineStr">
        <is>
          <t>SACCHAROSE</t>
        </is>
      </c>
      <c r="W71" s="621">
        <f>'Haché Moyen'!J11</f>
        <v/>
      </c>
      <c r="X71" s="621">
        <f>X70+W71</f>
        <v/>
      </c>
      <c r="Y71" s="647" t="inlineStr">
        <is>
          <t>kg</t>
        </is>
      </c>
      <c r="Z71" s="690">
        <f>W71*100/($W$62+SUM($W$66:$W$72))</f>
        <v/>
      </c>
      <c r="AB71" s="526" t="inlineStr">
        <is>
          <t>AIL SEMOULE</t>
        </is>
      </c>
      <c r="AC71" s="619">
        <f>'Haché Moyen'!J26</f>
        <v/>
      </c>
      <c r="AD71" s="628">
        <f>AD70+AC71</f>
        <v/>
      </c>
      <c r="AE71" s="649" t="inlineStr">
        <is>
          <t>kg</t>
        </is>
      </c>
      <c r="AF71" s="572">
        <f>AC71*100/($AC$62+SUM($AC$66:$AC$71))</f>
        <v/>
      </c>
      <c r="AH71" s="507" t="inlineStr">
        <is>
          <t>AIL SEMOULE</t>
        </is>
      </c>
      <c r="AI71" s="619">
        <f>'Haché Moyen'!B26</f>
        <v/>
      </c>
      <c r="AJ71" s="619">
        <f>AJ70+AI71</f>
        <v/>
      </c>
      <c r="AK71" s="649" t="inlineStr">
        <is>
          <t>kg</t>
        </is>
      </c>
      <c r="AL71" s="572">
        <f>AI71*100/($AI$62+SUM($AI$66:$AI$71))</f>
        <v/>
      </c>
      <c r="AN71" s="507" t="inlineStr">
        <is>
          <t>AIL SEMOULE</t>
        </is>
      </c>
      <c r="AO71" s="619">
        <f>'Haché Moyen'!P39</f>
        <v/>
      </c>
      <c r="AP71" s="628">
        <f>AP70+AO71</f>
        <v/>
      </c>
      <c r="AQ71" s="649" t="inlineStr">
        <is>
          <t>kg</t>
        </is>
      </c>
      <c r="AR71" s="572">
        <f>AO71*100/($AO$62+SUM($AO$66:$AO$71))</f>
        <v/>
      </c>
      <c r="AT71" s="700" t="inlineStr">
        <is>
          <t>AIL SEMOULE</t>
        </is>
      </c>
      <c r="AU71" s="619">
        <f>'Haché Moyen'!P26</f>
        <v/>
      </c>
      <c r="AV71" s="628">
        <f>AV70+AU71</f>
        <v/>
      </c>
      <c r="AW71" s="649" t="inlineStr">
        <is>
          <t>kg</t>
        </is>
      </c>
      <c r="AX71" s="572">
        <f>AU71*100/($AU$62+SUM($AU$66:$AU$71))</f>
        <v/>
      </c>
    </row>
    <row r="72" ht="27" customHeight="1" s="1025" thickBot="1" thickTop="1">
      <c r="J72" s="614" t="inlineStr">
        <is>
          <t>AIL SEMOULE</t>
        </is>
      </c>
      <c r="K72" s="687">
        <f>'Haché Moyen'!$P$12</f>
        <v/>
      </c>
      <c r="L72" s="631">
        <f>L71+K72</f>
        <v/>
      </c>
      <c r="M72" s="688" t="inlineStr">
        <is>
          <t>kg</t>
        </is>
      </c>
      <c r="N72" s="573">
        <f>K72*100/($K$62+SUM($K$66:$K$72))</f>
        <v/>
      </c>
      <c r="P72" s="592" t="inlineStr">
        <is>
          <t>FERMENT MF 244</t>
        </is>
      </c>
      <c r="Q72" s="650">
        <f>'Haché Moyen'!B12</f>
        <v/>
      </c>
      <c r="R72" s="651">
        <f>Q72</f>
        <v/>
      </c>
      <c r="S72" s="598" t="inlineStr">
        <is>
          <t>scht</t>
        </is>
      </c>
      <c r="T72" s="693" t="n"/>
      <c r="V72" s="570" t="inlineStr">
        <is>
          <t>AIL SEMOULE</t>
        </is>
      </c>
      <c r="W72" s="687">
        <f>'Haché Moyen'!J12</f>
        <v/>
      </c>
      <c r="X72" s="631">
        <f>X71+W72</f>
        <v/>
      </c>
      <c r="Y72" s="688" t="inlineStr">
        <is>
          <t>kg</t>
        </is>
      </c>
      <c r="Z72" s="573">
        <f>W72*100/($W$62+SUM($W$66:$W$72))</f>
        <v/>
      </c>
      <c r="AB72" s="592" t="inlineStr">
        <is>
          <t>FERMENT MF 244</t>
        </is>
      </c>
      <c r="AC72" s="650">
        <f>'Haché Moyen'!J27</f>
        <v/>
      </c>
      <c r="AD72" s="651">
        <f>AC72</f>
        <v/>
      </c>
      <c r="AE72" s="692" t="inlineStr">
        <is>
          <t>scht</t>
        </is>
      </c>
      <c r="AF72" s="693" t="n"/>
      <c r="AH72" s="655" t="inlineStr">
        <is>
          <t>FERMENT MF 244</t>
        </is>
      </c>
      <c r="AI72" s="650">
        <f>'Haché Moyen'!B27</f>
        <v/>
      </c>
      <c r="AJ72" s="650">
        <f>AI72</f>
        <v/>
      </c>
      <c r="AK72" s="692" t="inlineStr">
        <is>
          <t>scht</t>
        </is>
      </c>
      <c r="AL72" s="693" t="n"/>
      <c r="AN72" s="655" t="inlineStr">
        <is>
          <t>FERMENT MF 244</t>
        </is>
      </c>
      <c r="AO72" s="650">
        <f>'Haché Moyen'!P40</f>
        <v/>
      </c>
      <c r="AP72" s="651">
        <f>AO72</f>
        <v/>
      </c>
      <c r="AQ72" s="598" t="inlineStr">
        <is>
          <t>scht</t>
        </is>
      </c>
      <c r="AR72" s="693" t="n"/>
      <c r="AT72" s="699" t="inlineStr">
        <is>
          <t>FERMENT MF 244</t>
        </is>
      </c>
      <c r="AU72" s="650">
        <f>'Haché Moyen'!P27</f>
        <v/>
      </c>
      <c r="AV72" s="651">
        <f>AU72</f>
        <v/>
      </c>
      <c r="AW72" s="598" t="inlineStr">
        <is>
          <t>scht</t>
        </is>
      </c>
      <c r="AX72" s="693" t="n"/>
    </row>
    <row r="73" ht="27" customHeight="1" s="1025" thickBot="1" thickTop="1">
      <c r="J73" s="684" t="inlineStr">
        <is>
          <t>FERMENT MF 244</t>
        </is>
      </c>
      <c r="K73" s="681">
        <f>'Haché Moyen'!$P$13</f>
        <v/>
      </c>
      <c r="L73" s="686">
        <f>K73</f>
        <v/>
      </c>
      <c r="M73" s="682" t="inlineStr">
        <is>
          <t>scht</t>
        </is>
      </c>
      <c r="N73" s="685" t="n"/>
      <c r="P73" s="574" t="inlineStr">
        <is>
          <t>% Assaisonnement = Ingrédient Concerné X 100 / (Total Assaisonnement sauf Ferment + Total Viandes)</t>
        </is>
      </c>
      <c r="V73" s="695" t="inlineStr">
        <is>
          <t>FERMENT MF 244</t>
        </is>
      </c>
      <c r="W73" s="681">
        <f>'Haché Moyen'!J13</f>
        <v/>
      </c>
      <c r="X73" s="686">
        <f>W73</f>
        <v/>
      </c>
      <c r="Y73" s="694" t="inlineStr">
        <is>
          <t>scht</t>
        </is>
      </c>
      <c r="Z73" s="696" t="n"/>
      <c r="AB73" s="574" t="inlineStr">
        <is>
          <t>% Assaisonnement = Ingrédient Concerné X 100 / (Total Assaisonnement sauf Ferment + Total Viandes)</t>
        </is>
      </c>
      <c r="AH73" s="574" t="inlineStr">
        <is>
          <t>% Assaisonnement = Ingrédient Concerné X 100 / (Total Assaisonnement sauf Ferment + Total Viandes)</t>
        </is>
      </c>
      <c r="AN73" s="574" t="inlineStr">
        <is>
          <t>% Assaisonnement = Ingrédient Concerné X 100 / (Total Assaisonnement sauf Ferment + Total Viandes)</t>
        </is>
      </c>
      <c r="AT73" s="574" t="inlineStr">
        <is>
          <t>% Assaisonnement = Ingrédient Concerné X 100 / (Total Assaisonnement sauf Ferment + Total Viandes)</t>
        </is>
      </c>
    </row>
    <row r="74">
      <c r="J74" s="574" t="inlineStr">
        <is>
          <t>% Assaisonnement = Ingrédient Concerné X 100 / (Total Assaisonnement sauf Ferment + Total Viandes)</t>
        </is>
      </c>
      <c r="V74" s="574" t="inlineStr">
        <is>
          <t>% Assaisonnement = Ingrédient Concerné X 100 / (Total Assaisonnement sauf Ferment + Total Viandes)</t>
        </is>
      </c>
      <c r="AJ74" s="800" t="n"/>
    </row>
    <row r="76" ht="26.25" customHeight="1" s="1025" thickBot="1"/>
    <row r="77" ht="30" customHeight="1" s="1025" thickBot="1">
      <c r="J77" s="1065" t="inlineStr">
        <is>
          <t>GAMME SPÉCIALITÉS 200g</t>
        </is>
      </c>
      <c r="K77" s="932" t="n"/>
    </row>
    <row r="79" ht="26.25" customHeight="1" s="1025" thickBot="1">
      <c r="J79" s="575" t="inlineStr">
        <is>
          <t>PLU : 100</t>
        </is>
      </c>
      <c r="P79" s="575" t="inlineStr">
        <is>
          <t>PLU : 101</t>
        </is>
      </c>
      <c r="R79" s="488" t="n"/>
      <c r="S79" s="995" t="n"/>
      <c r="V79" s="737" t="inlineStr">
        <is>
          <t>PLU : 103 / 174326</t>
        </is>
      </c>
      <c r="X79" s="488" t="n"/>
      <c r="Y79" s="995" t="n"/>
      <c r="AB79" s="575" t="inlineStr">
        <is>
          <t>PLU : 104 / 174426</t>
        </is>
      </c>
      <c r="AD79" s="488" t="n"/>
      <c r="AE79" s="995" t="n"/>
      <c r="AH79" s="575" t="inlineStr">
        <is>
          <t>PLU : 105</t>
        </is>
      </c>
      <c r="AJ79" s="488" t="n"/>
      <c r="AK79" s="995" t="n"/>
      <c r="AN79" s="575" t="inlineStr">
        <is>
          <t>PLU : 108</t>
        </is>
      </c>
      <c r="AP79" s="488" t="n"/>
      <c r="AQ79" s="995" t="n"/>
      <c r="AT79" s="575" t="inlineStr">
        <is>
          <t>PLU : 110 / 5062</t>
        </is>
      </c>
      <c r="AV79" s="488" t="n"/>
      <c r="AW79" s="995" t="n"/>
      <c r="AZ79" s="575" t="inlineStr">
        <is>
          <t>PLU : 111 / 5050 / 5064</t>
        </is>
      </c>
      <c r="BB79" s="488" t="n"/>
      <c r="BC79" s="995" t="n"/>
      <c r="BF79" s="575" t="inlineStr">
        <is>
          <t>PLU : 112 / 5055 / 5064</t>
        </is>
      </c>
      <c r="BH79" s="488" t="n"/>
      <c r="BI79" s="995" t="n"/>
      <c r="BL79" s="575" t="inlineStr">
        <is>
          <t>PLU : 113</t>
        </is>
      </c>
      <c r="BN79" s="488" t="n"/>
      <c r="BO79" s="995" t="n"/>
      <c r="BR79" s="575" t="inlineStr">
        <is>
          <t>PLU : 114 / 5050 / 5064</t>
        </is>
      </c>
      <c r="BT79" s="488" t="n"/>
      <c r="BU79" s="995" t="n"/>
      <c r="BX79" s="575" t="inlineStr">
        <is>
          <t>PLU : 115</t>
        </is>
      </c>
      <c r="BZ79" s="488" t="n"/>
      <c r="CA79" s="995" t="n"/>
      <c r="CD79" s="575" t="inlineStr">
        <is>
          <t>PLU : 116</t>
        </is>
      </c>
      <c r="CF79" s="488" t="n"/>
      <c r="CG79" s="995" t="n"/>
      <c r="CJ79" s="575" t="inlineStr">
        <is>
          <t>PLU : 118</t>
        </is>
      </c>
      <c r="CL79" s="488" t="n"/>
      <c r="CM79" s="995" t="n"/>
      <c r="CP79" s="575" t="inlineStr">
        <is>
          <t>PLU : 119</t>
        </is>
      </c>
      <c r="CR79" s="488" t="n"/>
      <c r="CS79" s="995" t="n"/>
      <c r="CV79" s="575" t="inlineStr">
        <is>
          <t>PLU : 121</t>
        </is>
      </c>
      <c r="CX79" s="488" t="n"/>
      <c r="CY79" s="995" t="n"/>
      <c r="DB79" s="575" t="inlineStr">
        <is>
          <t>PLU : 123</t>
        </is>
      </c>
      <c r="DD79" s="488" t="n"/>
      <c r="DE79" s="995" t="n"/>
      <c r="DH79" s="575" t="inlineStr">
        <is>
          <t>PLU : 124</t>
        </is>
      </c>
      <c r="DJ79" s="488" t="n"/>
      <c r="DK79" s="995" t="n"/>
      <c r="DN79" s="575" t="inlineStr">
        <is>
          <t>PLU : 126 / 1260</t>
        </is>
      </c>
      <c r="DP79" s="488" t="n"/>
      <c r="DQ79" s="995" t="n"/>
      <c r="DT79" s="575" t="inlineStr">
        <is>
          <t>PLU : 138</t>
        </is>
      </c>
      <c r="DV79" s="488" t="n"/>
      <c r="DW79" s="995" t="n"/>
      <c r="DZ79" s="575" t="inlineStr">
        <is>
          <t>PLU : 139</t>
        </is>
      </c>
      <c r="EB79" s="488" t="n"/>
      <c r="EC79" s="995" t="n"/>
      <c r="EF79" s="575" t="inlineStr">
        <is>
          <t>PLU : 150 / 5063</t>
        </is>
      </c>
      <c r="EH79" s="488" t="n"/>
      <c r="EI79" s="995" t="n"/>
      <c r="EL79" s="575" t="inlineStr">
        <is>
          <t>PLU : 190</t>
        </is>
      </c>
      <c r="EN79" s="488" t="n"/>
      <c r="EO79" s="995" t="n"/>
      <c r="ER79" s="575" t="inlineStr">
        <is>
          <t>PLU : 193 / 5063</t>
        </is>
      </c>
      <c r="ET79" s="488" t="n"/>
      <c r="EU79" s="995" t="n"/>
      <c r="EX79" s="575" t="inlineStr">
        <is>
          <t>PLU : 215</t>
        </is>
      </c>
      <c r="EZ79" s="488" t="n"/>
      <c r="FA79" s="995" t="n"/>
      <c r="FD79" s="575" t="inlineStr">
        <is>
          <t>PLU : 218 / 5055 / 5062</t>
        </is>
      </c>
      <c r="FF79" s="488" t="n"/>
      <c r="FG79" s="995" t="n"/>
      <c r="FJ79" s="575" t="inlineStr">
        <is>
          <t>PLU : 228 / 5063</t>
        </is>
      </c>
      <c r="FL79" s="488" t="n"/>
      <c r="FM79" s="995" t="n"/>
    </row>
    <row r="80" ht="26.25" customFormat="1" customHeight="1" s="1075" thickBot="1">
      <c r="B80" s="759" t="n"/>
      <c r="C80" s="760" t="n"/>
      <c r="D80" s="761" t="n"/>
      <c r="H80" s="574" t="n"/>
      <c r="J80" s="1064" t="inlineStr">
        <is>
          <t>PIMENTÉ</t>
        </is>
      </c>
      <c r="K80" s="919" t="n"/>
      <c r="L80" s="919" t="n"/>
      <c r="M80" s="919" t="n"/>
      <c r="N80" s="932" t="n"/>
      <c r="P80" s="1064" t="inlineStr">
        <is>
          <t>FUMÉ</t>
        </is>
      </c>
      <c r="Q80" s="919" t="n"/>
      <c r="R80" s="919" t="n"/>
      <c r="S80" s="919" t="n"/>
      <c r="T80" s="932" t="n"/>
      <c r="V80" s="1064" t="inlineStr">
        <is>
          <t>ENROBÉ AUX HERBES DE PROVENCE</t>
        </is>
      </c>
      <c r="W80" s="919" t="n"/>
      <c r="X80" s="919" t="n"/>
      <c r="Y80" s="919" t="n"/>
      <c r="Z80" s="932" t="n"/>
      <c r="AB80" s="1064" t="inlineStr">
        <is>
          <t>ENROBÉ AU POIVRE NOIR</t>
        </is>
      </c>
      <c r="AC80" s="919" t="n"/>
      <c r="AD80" s="919" t="n"/>
      <c r="AE80" s="919" t="n"/>
      <c r="AF80" s="932" t="n"/>
      <c r="AH80" s="1064" t="inlineStr">
        <is>
          <t>CENDRÉ</t>
        </is>
      </c>
      <c r="AI80" s="919" t="n"/>
      <c r="AJ80" s="919" t="n"/>
      <c r="AK80" s="919" t="n"/>
      <c r="AL80" s="932" t="n"/>
      <c r="AN80" s="1064" t="inlineStr">
        <is>
          <t>LAVANDE</t>
        </is>
      </c>
      <c r="AO80" s="919" t="n"/>
      <c r="AP80" s="919" t="n"/>
      <c r="AQ80" s="919" t="n"/>
      <c r="AR80" s="932" t="n"/>
      <c r="AT80" s="1064" t="inlineStr">
        <is>
          <t>BEAUFORT</t>
        </is>
      </c>
      <c r="AU80" s="919" t="n"/>
      <c r="AV80" s="919" t="n"/>
      <c r="AW80" s="919" t="n"/>
      <c r="AX80" s="932" t="n"/>
      <c r="AZ80" s="1064" t="inlineStr">
        <is>
          <t>NOISETTES</t>
        </is>
      </c>
      <c r="BA80" s="919" t="n"/>
      <c r="BB80" s="919" t="n"/>
      <c r="BC80" s="919" t="n"/>
      <c r="BD80" s="932" t="n"/>
      <c r="BF80" s="1064" t="inlineStr">
        <is>
          <t>NOIX</t>
        </is>
      </c>
      <c r="BG80" s="919" t="n"/>
      <c r="BH80" s="919" t="n"/>
      <c r="BI80" s="919" t="n"/>
      <c r="BJ80" s="932" t="n"/>
      <c r="BL80" s="1064" t="inlineStr">
        <is>
          <t>ENROBÉ AU PIMENT CONCASSÉ</t>
        </is>
      </c>
      <c r="BM80" s="919" t="n"/>
      <c r="BN80" s="919" t="n"/>
      <c r="BO80" s="919" t="n"/>
      <c r="BP80" s="932" t="n"/>
      <c r="BR80" s="1064" t="inlineStr">
        <is>
          <t>CÈPES</t>
        </is>
      </c>
      <c r="BS80" s="919" t="n"/>
      <c r="BT80" s="919" t="n"/>
      <c r="BU80" s="919" t="n"/>
      <c r="BV80" s="932" t="n"/>
      <c r="BX80" s="1064" t="inlineStr">
        <is>
          <t>GÉNÉPI</t>
        </is>
      </c>
      <c r="BY80" s="919" t="n"/>
      <c r="BZ80" s="919" t="n"/>
      <c r="CA80" s="919" t="n"/>
      <c r="CB80" s="932" t="n"/>
      <c r="CD80" s="1064" t="inlineStr">
        <is>
          <t>MYRTILLES</t>
        </is>
      </c>
      <c r="CE80" s="919" t="n"/>
      <c r="CF80" s="919" t="n"/>
      <c r="CG80" s="919" t="n"/>
      <c r="CH80" s="932" t="n"/>
      <c r="CJ80" s="1064" t="inlineStr">
        <is>
          <t>OLIVES &amp; HUILE D"OLIVE</t>
        </is>
      </c>
      <c r="CK80" s="919" t="n"/>
      <c r="CL80" s="919" t="n"/>
      <c r="CM80" s="919" t="n"/>
      <c r="CN80" s="932" t="n"/>
      <c r="CP80" s="1064" t="inlineStr">
        <is>
          <t>HERBES INTÉRIEURES</t>
        </is>
      </c>
      <c r="CQ80" s="919" t="n"/>
      <c r="CR80" s="919" t="n"/>
      <c r="CS80" s="919" t="n"/>
      <c r="CT80" s="932" t="n"/>
      <c r="CV80" s="1064" t="inlineStr">
        <is>
          <t>FIGUE</t>
        </is>
      </c>
      <c r="CW80" s="919" t="n"/>
      <c r="CX80" s="919" t="n"/>
      <c r="CY80" s="919" t="n"/>
      <c r="CZ80" s="932" t="n"/>
      <c r="DB80" s="1064" t="inlineStr">
        <is>
          <t>AIL DES OURS</t>
        </is>
      </c>
      <c r="DC80" s="919" t="n"/>
      <c r="DD80" s="919" t="n"/>
      <c r="DE80" s="919" t="n"/>
      <c r="DF80" s="932" t="n"/>
      <c r="DH80" s="1064" t="inlineStr">
        <is>
          <t>FENOUIL</t>
        </is>
      </c>
      <c r="DI80" s="919" t="n"/>
      <c r="DJ80" s="919" t="n"/>
      <c r="DK80" s="919" t="n"/>
      <c r="DL80" s="932" t="n"/>
      <c r="DN80" s="1064" t="inlineStr">
        <is>
          <t>ENROBÉ AUX SAVEURS PROVENÇALES</t>
        </is>
      </c>
      <c r="DO80" s="919" t="n"/>
      <c r="DP80" s="919" t="n"/>
      <c r="DQ80" s="919" t="n"/>
      <c r="DR80" s="932" t="n"/>
      <c r="DT80" s="1068" t="inlineStr">
        <is>
          <t>TAUREAU</t>
        </is>
      </c>
      <c r="DU80" s="919" t="n"/>
      <c r="DV80" s="919" t="n"/>
      <c r="DW80" s="919" t="n"/>
      <c r="DX80" s="932" t="n"/>
      <c r="DZ80" s="1064" t="inlineStr">
        <is>
          <t>ROQUEFORT</t>
        </is>
      </c>
      <c r="EA80" s="919" t="n"/>
      <c r="EB80" s="919" t="n"/>
      <c r="EC80" s="919" t="n"/>
      <c r="ED80" s="932" t="n"/>
      <c r="EF80" s="1068" t="inlineStr">
        <is>
          <t>SANGLIER</t>
        </is>
      </c>
      <c r="EG80" s="919" t="n"/>
      <c r="EH80" s="919" t="n"/>
      <c r="EI80" s="919" t="n"/>
      <c r="EJ80" s="932" t="n"/>
      <c r="EL80" s="1064" t="inlineStr">
        <is>
          <t>AIL</t>
        </is>
      </c>
      <c r="EM80" s="919" t="n"/>
      <c r="EN80" s="919" t="n"/>
      <c r="EO80" s="919" t="n"/>
      <c r="EP80" s="932" t="n"/>
      <c r="ER80" s="1068" t="inlineStr">
        <is>
          <t>CANARD</t>
        </is>
      </c>
      <c r="ES80" s="919" t="n"/>
      <c r="ET80" s="919" t="n"/>
      <c r="EU80" s="919" t="n"/>
      <c r="EV80" s="932" t="n"/>
      <c r="EX80" s="1064" t="inlineStr">
        <is>
          <t>SAUCI'FLETTE</t>
        </is>
      </c>
      <c r="EY80" s="919" t="n"/>
      <c r="EZ80" s="919" t="n"/>
      <c r="FA80" s="919" t="n"/>
      <c r="FB80" s="932" t="n"/>
      <c r="FD80" s="1064" t="inlineStr">
        <is>
          <t>FROMAGE DE CHÈVRE</t>
        </is>
      </c>
      <c r="FE80" s="919" t="n"/>
      <c r="FF80" s="919" t="n"/>
      <c r="FG80" s="919" t="n"/>
      <c r="FH80" s="932" t="n"/>
      <c r="FJ80" s="1068" t="inlineStr">
        <is>
          <t>CERF</t>
        </is>
      </c>
      <c r="FK80" s="919" t="n"/>
      <c r="FL80" s="919" t="n"/>
      <c r="FM80" s="919" t="n"/>
      <c r="FN80" s="932" t="n"/>
    </row>
    <row r="81" ht="45.75" customHeight="1" s="1025" thickBot="1">
      <c r="J81" s="490" t="inlineStr">
        <is>
          <t>VIANDES</t>
        </is>
      </c>
      <c r="K81" s="491" t="inlineStr">
        <is>
          <t>Mêlée de 150 KG</t>
        </is>
      </c>
      <c r="L81" s="491" t="inlineStr">
        <is>
          <t>Poids cumulés</t>
        </is>
      </c>
      <c r="M81" s="492" t="inlineStr">
        <is>
          <t>U</t>
        </is>
      </c>
      <c r="N81" s="532" t="inlineStr">
        <is>
          <t>%</t>
        </is>
      </c>
      <c r="P81" s="490" t="inlineStr">
        <is>
          <t>VIANDES</t>
        </is>
      </c>
      <c r="Q81" s="491" t="inlineStr">
        <is>
          <t>Mêlée de 150 KG</t>
        </is>
      </c>
      <c r="R81" s="491" t="inlineStr">
        <is>
          <t>Poids cumulés</t>
        </is>
      </c>
      <c r="S81" s="492" t="inlineStr">
        <is>
          <t>U</t>
        </is>
      </c>
      <c r="T81" s="532" t="inlineStr">
        <is>
          <t>%</t>
        </is>
      </c>
      <c r="V81" s="490" t="inlineStr">
        <is>
          <t>VIANDES</t>
        </is>
      </c>
      <c r="W81" s="491" t="inlineStr">
        <is>
          <t>Mêlée de 150 KG</t>
        </is>
      </c>
      <c r="X81" s="491" t="inlineStr">
        <is>
          <t>Poids cumulés</t>
        </is>
      </c>
      <c r="Y81" s="492" t="inlineStr">
        <is>
          <t>U</t>
        </is>
      </c>
      <c r="Z81" s="532" t="inlineStr">
        <is>
          <t>%</t>
        </is>
      </c>
      <c r="AB81" s="490" t="inlineStr">
        <is>
          <t>VIANDES</t>
        </is>
      </c>
      <c r="AC81" s="491" t="inlineStr">
        <is>
          <t>Mêlée de 150 KG</t>
        </is>
      </c>
      <c r="AD81" s="491" t="inlineStr">
        <is>
          <t>Poids cumulés</t>
        </is>
      </c>
      <c r="AE81" s="492" t="inlineStr">
        <is>
          <t>U</t>
        </is>
      </c>
      <c r="AF81" s="532" t="inlineStr">
        <is>
          <t>%</t>
        </is>
      </c>
      <c r="AH81" s="490" t="inlineStr">
        <is>
          <t>VIANDES</t>
        </is>
      </c>
      <c r="AI81" s="491" t="inlineStr">
        <is>
          <t>Mêlée de 150 KG</t>
        </is>
      </c>
      <c r="AJ81" s="491" t="inlineStr">
        <is>
          <t>Poids cumulés</t>
        </is>
      </c>
      <c r="AK81" s="492" t="inlineStr">
        <is>
          <t>U</t>
        </is>
      </c>
      <c r="AL81" s="532" t="inlineStr">
        <is>
          <t>%</t>
        </is>
      </c>
      <c r="AN81" s="490" t="inlineStr">
        <is>
          <t>VIANDES</t>
        </is>
      </c>
      <c r="AO81" s="491" t="inlineStr">
        <is>
          <t>Mêlée de 150 KG</t>
        </is>
      </c>
      <c r="AP81" s="491" t="inlineStr">
        <is>
          <t>Poids cumulés</t>
        </is>
      </c>
      <c r="AQ81" s="492" t="inlineStr">
        <is>
          <t>U</t>
        </is>
      </c>
      <c r="AR81" s="532" t="inlineStr">
        <is>
          <t>%</t>
        </is>
      </c>
      <c r="AT81" s="490" t="inlineStr">
        <is>
          <t>VIANDES</t>
        </is>
      </c>
      <c r="AU81" s="491" t="inlineStr">
        <is>
          <t>Mêlée de 150 KG</t>
        </is>
      </c>
      <c r="AV81" s="491" t="inlineStr">
        <is>
          <t>Poids cumulés</t>
        </is>
      </c>
      <c r="AW81" s="492" t="inlineStr">
        <is>
          <t>U</t>
        </is>
      </c>
      <c r="AX81" s="532" t="inlineStr">
        <is>
          <t>%</t>
        </is>
      </c>
      <c r="AZ81" s="490" t="inlineStr">
        <is>
          <t>VIANDES</t>
        </is>
      </c>
      <c r="BA81" s="491" t="inlineStr">
        <is>
          <t>Mêlée de 150 KG</t>
        </is>
      </c>
      <c r="BB81" s="491" t="inlineStr">
        <is>
          <t>Poids cumulés</t>
        </is>
      </c>
      <c r="BC81" s="492" t="inlineStr">
        <is>
          <t>U</t>
        </is>
      </c>
      <c r="BD81" s="532" t="inlineStr">
        <is>
          <t>%</t>
        </is>
      </c>
      <c r="BF81" s="490" t="inlineStr">
        <is>
          <t>VIANDES</t>
        </is>
      </c>
      <c r="BG81" s="491" t="inlineStr">
        <is>
          <t>Mêlée de 150 KG</t>
        </is>
      </c>
      <c r="BH81" s="491" t="inlineStr">
        <is>
          <t>Poids cumulés</t>
        </is>
      </c>
      <c r="BI81" s="492" t="inlineStr">
        <is>
          <t>U</t>
        </is>
      </c>
      <c r="BJ81" s="532" t="inlineStr">
        <is>
          <t>%</t>
        </is>
      </c>
      <c r="BL81" s="490" t="inlineStr">
        <is>
          <t>VIANDES</t>
        </is>
      </c>
      <c r="BM81" s="491" t="inlineStr">
        <is>
          <t>Mêlée de 150 KG</t>
        </is>
      </c>
      <c r="BN81" s="491" t="inlineStr">
        <is>
          <t>Poids cumulés</t>
        </is>
      </c>
      <c r="BO81" s="492" t="inlineStr">
        <is>
          <t>U</t>
        </is>
      </c>
      <c r="BP81" s="532" t="inlineStr">
        <is>
          <t>%</t>
        </is>
      </c>
      <c r="BR81" s="490" t="inlineStr">
        <is>
          <t>VIANDES</t>
        </is>
      </c>
      <c r="BS81" s="491" t="inlineStr">
        <is>
          <t>Mêlée de 150 KG</t>
        </is>
      </c>
      <c r="BT81" s="491" t="inlineStr">
        <is>
          <t>Poids cumulés</t>
        </is>
      </c>
      <c r="BU81" s="492" t="inlineStr">
        <is>
          <t>U</t>
        </is>
      </c>
      <c r="BV81" s="532" t="inlineStr">
        <is>
          <t>%</t>
        </is>
      </c>
      <c r="BX81" s="490" t="inlineStr">
        <is>
          <t>VIANDES</t>
        </is>
      </c>
      <c r="BY81" s="491" t="inlineStr">
        <is>
          <t>Mêlée de 150 KG</t>
        </is>
      </c>
      <c r="BZ81" s="491" t="inlineStr">
        <is>
          <t>Poids cumulés</t>
        </is>
      </c>
      <c r="CA81" s="492" t="inlineStr">
        <is>
          <t>U</t>
        </is>
      </c>
      <c r="CB81" s="532" t="inlineStr">
        <is>
          <t>%</t>
        </is>
      </c>
      <c r="CD81" s="490" t="inlineStr">
        <is>
          <t>VIANDES</t>
        </is>
      </c>
      <c r="CE81" s="491" t="inlineStr">
        <is>
          <t>Mêlée de 150 KG</t>
        </is>
      </c>
      <c r="CF81" s="491" t="inlineStr">
        <is>
          <t>Poids cumulés</t>
        </is>
      </c>
      <c r="CG81" s="492" t="inlineStr">
        <is>
          <t>U</t>
        </is>
      </c>
      <c r="CH81" s="532" t="inlineStr">
        <is>
          <t>%</t>
        </is>
      </c>
      <c r="CJ81" s="490" t="inlineStr">
        <is>
          <t>VIANDES</t>
        </is>
      </c>
      <c r="CK81" s="491" t="inlineStr">
        <is>
          <t>Mêlée de 150 KG</t>
        </is>
      </c>
      <c r="CL81" s="491" t="inlineStr">
        <is>
          <t>Poids cumulés</t>
        </is>
      </c>
      <c r="CM81" s="492" t="inlineStr">
        <is>
          <t>U</t>
        </is>
      </c>
      <c r="CN81" s="532" t="inlineStr">
        <is>
          <t>%</t>
        </is>
      </c>
      <c r="CP81" s="490" t="inlineStr">
        <is>
          <t>VIANDES</t>
        </is>
      </c>
      <c r="CQ81" s="491" t="inlineStr">
        <is>
          <t>Mêlée de 150 KG</t>
        </is>
      </c>
      <c r="CR81" s="491" t="inlineStr">
        <is>
          <t>Poids cumulés</t>
        </is>
      </c>
      <c r="CS81" s="492" t="inlineStr">
        <is>
          <t>U</t>
        </is>
      </c>
      <c r="CT81" s="532" t="inlineStr">
        <is>
          <t>%</t>
        </is>
      </c>
      <c r="CV81" s="490" t="inlineStr">
        <is>
          <t>VIANDES</t>
        </is>
      </c>
      <c r="CW81" s="491" t="inlineStr">
        <is>
          <t>Mêlée de 150 KG</t>
        </is>
      </c>
      <c r="CX81" s="491" t="inlineStr">
        <is>
          <t>Poids cumulés</t>
        </is>
      </c>
      <c r="CY81" s="492" t="inlineStr">
        <is>
          <t>U</t>
        </is>
      </c>
      <c r="CZ81" s="532" t="inlineStr">
        <is>
          <t>%</t>
        </is>
      </c>
      <c r="DB81" s="490" t="inlineStr">
        <is>
          <t>VIANDES</t>
        </is>
      </c>
      <c r="DC81" s="491" t="inlineStr">
        <is>
          <t>Mêlée de 150 KG</t>
        </is>
      </c>
      <c r="DD81" s="491" t="inlineStr">
        <is>
          <t>Poids cumulés</t>
        </is>
      </c>
      <c r="DE81" s="492" t="inlineStr">
        <is>
          <t>U</t>
        </is>
      </c>
      <c r="DF81" s="532" t="inlineStr">
        <is>
          <t>%</t>
        </is>
      </c>
      <c r="DH81" s="490" t="inlineStr">
        <is>
          <t>VIANDES</t>
        </is>
      </c>
      <c r="DI81" s="491" t="inlineStr">
        <is>
          <t>Mêlée de 150 KG</t>
        </is>
      </c>
      <c r="DJ81" s="491" t="inlineStr">
        <is>
          <t>Poids cumulés</t>
        </is>
      </c>
      <c r="DK81" s="492" t="inlineStr">
        <is>
          <t>U</t>
        </is>
      </c>
      <c r="DL81" s="532" t="inlineStr">
        <is>
          <t>%</t>
        </is>
      </c>
      <c r="DN81" s="490" t="inlineStr">
        <is>
          <t>VIANDES</t>
        </is>
      </c>
      <c r="DO81" s="491" t="inlineStr">
        <is>
          <t>Mêlée de 150 KG</t>
        </is>
      </c>
      <c r="DP81" s="491" t="inlineStr">
        <is>
          <t>Poids cumulés</t>
        </is>
      </c>
      <c r="DQ81" s="492" t="inlineStr">
        <is>
          <t>U</t>
        </is>
      </c>
      <c r="DR81" s="532" t="inlineStr">
        <is>
          <t>%</t>
        </is>
      </c>
      <c r="DT81" s="490" t="inlineStr">
        <is>
          <t>VIANDES</t>
        </is>
      </c>
      <c r="DU81" s="491" t="inlineStr">
        <is>
          <t>Mêlée de 150 KG</t>
        </is>
      </c>
      <c r="DV81" s="491" t="inlineStr">
        <is>
          <t>Poids cumulés</t>
        </is>
      </c>
      <c r="DW81" s="492" t="inlineStr">
        <is>
          <t>U</t>
        </is>
      </c>
      <c r="DX81" s="532" t="inlineStr">
        <is>
          <t>%</t>
        </is>
      </c>
      <c r="DZ81" s="490" t="inlineStr">
        <is>
          <t>VIANDES</t>
        </is>
      </c>
      <c r="EA81" s="491" t="inlineStr">
        <is>
          <t>Mêlée de 150 KG</t>
        </is>
      </c>
      <c r="EB81" s="491" t="inlineStr">
        <is>
          <t>Poids cumulés</t>
        </is>
      </c>
      <c r="EC81" s="492" t="inlineStr">
        <is>
          <t>U</t>
        </is>
      </c>
      <c r="ED81" s="532" t="inlineStr">
        <is>
          <t>%</t>
        </is>
      </c>
      <c r="EF81" s="490" t="inlineStr">
        <is>
          <t>VIANDES</t>
        </is>
      </c>
      <c r="EG81" s="491" t="inlineStr">
        <is>
          <t>Mêlée de 150 KG</t>
        </is>
      </c>
      <c r="EH81" s="491" t="inlineStr">
        <is>
          <t>Poids cumulés</t>
        </is>
      </c>
      <c r="EI81" s="492" t="inlineStr">
        <is>
          <t>U</t>
        </is>
      </c>
      <c r="EJ81" s="532" t="inlineStr">
        <is>
          <t>%</t>
        </is>
      </c>
      <c r="EL81" s="490" t="inlineStr">
        <is>
          <t>VIANDES</t>
        </is>
      </c>
      <c r="EM81" s="491" t="inlineStr">
        <is>
          <t>Mêlée de 150 KG</t>
        </is>
      </c>
      <c r="EN81" s="491" t="inlineStr">
        <is>
          <t>Poids cumulés</t>
        </is>
      </c>
      <c r="EO81" s="492" t="inlineStr">
        <is>
          <t>U</t>
        </is>
      </c>
      <c r="EP81" s="532" t="inlineStr">
        <is>
          <t>%</t>
        </is>
      </c>
      <c r="ER81" s="490" t="inlineStr">
        <is>
          <t>VIANDES</t>
        </is>
      </c>
      <c r="ES81" s="491" t="inlineStr">
        <is>
          <t>Mêlée de 150 KG</t>
        </is>
      </c>
      <c r="ET81" s="491" t="inlineStr">
        <is>
          <t>Poids cumulés</t>
        </is>
      </c>
      <c r="EU81" s="492" t="inlineStr">
        <is>
          <t>U</t>
        </is>
      </c>
      <c r="EV81" s="532" t="inlineStr">
        <is>
          <t>%</t>
        </is>
      </c>
      <c r="EX81" s="490" t="inlineStr">
        <is>
          <t>VIANDES</t>
        </is>
      </c>
      <c r="EY81" s="491" t="inlineStr">
        <is>
          <t>Mêlée de 150 KG</t>
        </is>
      </c>
      <c r="EZ81" s="491" t="inlineStr">
        <is>
          <t>Poids cumulés</t>
        </is>
      </c>
      <c r="FA81" s="492" t="inlineStr">
        <is>
          <t>U</t>
        </is>
      </c>
      <c r="FB81" s="532" t="inlineStr">
        <is>
          <t>%</t>
        </is>
      </c>
      <c r="FD81" s="490" t="inlineStr">
        <is>
          <t>VIANDES</t>
        </is>
      </c>
      <c r="FE81" s="491" t="inlineStr">
        <is>
          <t>Mêlée de 150 KG</t>
        </is>
      </c>
      <c r="FF81" s="491" t="inlineStr">
        <is>
          <t>Poids cumulés</t>
        </is>
      </c>
      <c r="FG81" s="492" t="inlineStr">
        <is>
          <t>U</t>
        </is>
      </c>
      <c r="FH81" s="532" t="inlineStr">
        <is>
          <t>%</t>
        </is>
      </c>
      <c r="FJ81" s="490" t="inlineStr">
        <is>
          <t>VIANDES</t>
        </is>
      </c>
      <c r="FK81" s="491" t="inlineStr">
        <is>
          <t>Mêlée de 150 KG</t>
        </is>
      </c>
      <c r="FL81" s="491" t="inlineStr">
        <is>
          <t>Poids cumulés</t>
        </is>
      </c>
      <c r="FM81" s="492" t="inlineStr">
        <is>
          <t>U</t>
        </is>
      </c>
      <c r="FN81" s="532" t="inlineStr">
        <is>
          <t>%</t>
        </is>
      </c>
    </row>
    <row r="82">
      <c r="J82" s="538" t="inlineStr">
        <is>
          <t>ÉPAULE 3D</t>
        </is>
      </c>
      <c r="K82" s="512">
        <f>'Recette viandes'!$S$6</f>
        <v/>
      </c>
      <c r="L82" s="539">
        <f>K82</f>
        <v/>
      </c>
      <c r="M82" s="513" t="inlineStr">
        <is>
          <t>kg</t>
        </is>
      </c>
      <c r="N82" s="511">
        <f>K82*100/K85</f>
        <v/>
      </c>
      <c r="P82" s="538" t="inlineStr">
        <is>
          <t>ÉPAULE 3D</t>
        </is>
      </c>
      <c r="Q82" s="512">
        <f>'Recette viandes'!R22</f>
        <v/>
      </c>
      <c r="R82" s="539">
        <f>Q82</f>
        <v/>
      </c>
      <c r="S82" s="513" t="inlineStr">
        <is>
          <t>kg</t>
        </is>
      </c>
      <c r="T82" s="511">
        <f>Q82*100/Q85</f>
        <v/>
      </c>
      <c r="V82" s="538" t="inlineStr">
        <is>
          <t>ÉPAULE 3D</t>
        </is>
      </c>
      <c r="W82" s="512">
        <f>'Recette viandes'!R22</f>
        <v/>
      </c>
      <c r="X82" s="539">
        <f>W82</f>
        <v/>
      </c>
      <c r="Y82" s="513" t="inlineStr">
        <is>
          <t>kg</t>
        </is>
      </c>
      <c r="Z82" s="511">
        <f>W82*100/W85</f>
        <v/>
      </c>
      <c r="AB82" s="538" t="inlineStr">
        <is>
          <t>ÉPAULE 3D</t>
        </is>
      </c>
      <c r="AC82" s="512">
        <f>'Recette viandes'!R22</f>
        <v/>
      </c>
      <c r="AD82" s="539">
        <f>AC82</f>
        <v/>
      </c>
      <c r="AE82" s="513" t="inlineStr">
        <is>
          <t>kg</t>
        </is>
      </c>
      <c r="AF82" s="511">
        <f>AC82*100/AC85</f>
        <v/>
      </c>
      <c r="AH82" s="538" t="inlineStr">
        <is>
          <t>ÉPAULE 3D</t>
        </is>
      </c>
      <c r="AI82" s="512">
        <f>'Recette viandes'!R22</f>
        <v/>
      </c>
      <c r="AJ82" s="539">
        <f>AI82</f>
        <v/>
      </c>
      <c r="AK82" s="513" t="inlineStr">
        <is>
          <t>kg</t>
        </is>
      </c>
      <c r="AL82" s="511">
        <f>AI82*100/AI85</f>
        <v/>
      </c>
      <c r="AN82" s="538" t="inlineStr">
        <is>
          <t>ÉPAULE 3D</t>
        </is>
      </c>
      <c r="AO82" s="512">
        <f>'Recette viandes'!S6</f>
        <v/>
      </c>
      <c r="AP82" s="539">
        <f>AO82</f>
        <v/>
      </c>
      <c r="AQ82" s="513" t="inlineStr">
        <is>
          <t>kg</t>
        </is>
      </c>
      <c r="AR82" s="511">
        <f>AO82*100/AO85</f>
        <v/>
      </c>
      <c r="AT82" s="538" t="inlineStr">
        <is>
          <t>ÉPAULE 3D</t>
        </is>
      </c>
      <c r="AU82" s="512">
        <f>'Recette viandes'!$S$6</f>
        <v/>
      </c>
      <c r="AV82" s="539">
        <f>AU82</f>
        <v/>
      </c>
      <c r="AW82" s="513" t="inlineStr">
        <is>
          <t>kg</t>
        </is>
      </c>
      <c r="AX82" s="511">
        <f>AU82*100/AU85</f>
        <v/>
      </c>
      <c r="AZ82" s="538" t="inlineStr">
        <is>
          <t>ÉPAULE 3D</t>
        </is>
      </c>
      <c r="BA82" s="512">
        <f>'Recette viandes'!$S$6</f>
        <v/>
      </c>
      <c r="BB82" s="539">
        <f>BA82</f>
        <v/>
      </c>
      <c r="BC82" s="513" t="inlineStr">
        <is>
          <t>kg</t>
        </is>
      </c>
      <c r="BD82" s="511">
        <f>BA82*100/BA85</f>
        <v/>
      </c>
      <c r="BF82" s="538" t="inlineStr">
        <is>
          <t>ÉPAULE 3D</t>
        </is>
      </c>
      <c r="BG82" s="512">
        <f>'Recette viandes'!$S$6</f>
        <v/>
      </c>
      <c r="BH82" s="539">
        <f>BG82</f>
        <v/>
      </c>
      <c r="BI82" s="513" t="inlineStr">
        <is>
          <t>kg</t>
        </is>
      </c>
      <c r="BJ82" s="511">
        <f>BG82*100/BG85</f>
        <v/>
      </c>
      <c r="BL82" s="538" t="inlineStr">
        <is>
          <t>ÉPAULE 3D</t>
        </is>
      </c>
      <c r="BM82" s="512">
        <f>'Recette viandes'!$R$22</f>
        <v/>
      </c>
      <c r="BN82" s="539">
        <f>BM82</f>
        <v/>
      </c>
      <c r="BO82" s="513" t="inlineStr">
        <is>
          <t>kg</t>
        </is>
      </c>
      <c r="BP82" s="511">
        <f>BM82*100/BM85</f>
        <v/>
      </c>
      <c r="BR82" s="538" t="inlineStr">
        <is>
          <t>ÉPAULE 3D</t>
        </is>
      </c>
      <c r="BS82" s="512">
        <f>'Recette viandes'!$S$6</f>
        <v/>
      </c>
      <c r="BT82" s="539">
        <f>BS82</f>
        <v/>
      </c>
      <c r="BU82" s="513" t="inlineStr">
        <is>
          <t>kg</t>
        </is>
      </c>
      <c r="BV82" s="511">
        <f>BS82*100/BS85</f>
        <v/>
      </c>
      <c r="BX82" s="538" t="inlineStr">
        <is>
          <t>ÉPAULE 3D</t>
        </is>
      </c>
      <c r="BY82" s="512">
        <f>'Recette viandes'!$S$6</f>
        <v/>
      </c>
      <c r="BZ82" s="539">
        <f>BY82</f>
        <v/>
      </c>
      <c r="CA82" s="513" t="inlineStr">
        <is>
          <t>kg</t>
        </is>
      </c>
      <c r="CB82" s="511">
        <f>BY82*100/BY85</f>
        <v/>
      </c>
      <c r="CD82" s="538" t="inlineStr">
        <is>
          <t>ÉPAULE 3D</t>
        </is>
      </c>
      <c r="CE82" s="512">
        <f>'Recette viandes'!$S$6</f>
        <v/>
      </c>
      <c r="CF82" s="539">
        <f>CE82</f>
        <v/>
      </c>
      <c r="CG82" s="513" t="inlineStr">
        <is>
          <t>kg</t>
        </is>
      </c>
      <c r="CH82" s="511">
        <f>CE82*100/CE85</f>
        <v/>
      </c>
      <c r="CJ82" s="538" t="inlineStr">
        <is>
          <t>ÉPAULE 3D</t>
        </is>
      </c>
      <c r="CK82" s="512">
        <f>'Recette viandes'!$S$6</f>
        <v/>
      </c>
      <c r="CL82" s="539">
        <f>CK82</f>
        <v/>
      </c>
      <c r="CM82" s="513" t="inlineStr">
        <is>
          <t>kg</t>
        </is>
      </c>
      <c r="CN82" s="511">
        <f>CK82*100/CK85</f>
        <v/>
      </c>
      <c r="CP82" s="538" t="inlineStr">
        <is>
          <t>ÉPAULE 3D</t>
        </is>
      </c>
      <c r="CQ82" s="512">
        <f>'Recette viandes'!$S$6</f>
        <v/>
      </c>
      <c r="CR82" s="539">
        <f>CQ82</f>
        <v/>
      </c>
      <c r="CS82" s="513" t="inlineStr">
        <is>
          <t>kg</t>
        </is>
      </c>
      <c r="CT82" s="511">
        <f>CQ82*100/CQ85</f>
        <v/>
      </c>
      <c r="CV82" s="538" t="inlineStr">
        <is>
          <t>ÉPAULE 3D</t>
        </is>
      </c>
      <c r="CW82" s="512">
        <f>'Recette viandes'!$S$6</f>
        <v/>
      </c>
      <c r="CX82" s="539">
        <f>CW82</f>
        <v/>
      </c>
      <c r="CY82" s="513" t="inlineStr">
        <is>
          <t>kg</t>
        </is>
      </c>
      <c r="CZ82" s="511">
        <f>CW82*100/CW85</f>
        <v/>
      </c>
      <c r="DB82" s="538" t="inlineStr">
        <is>
          <t>ÉPAULE 3D</t>
        </is>
      </c>
      <c r="DC82" s="512">
        <f>'Recette viandes'!$S$6</f>
        <v/>
      </c>
      <c r="DD82" s="539">
        <f>DC82</f>
        <v/>
      </c>
      <c r="DE82" s="513" t="inlineStr">
        <is>
          <t>kg</t>
        </is>
      </c>
      <c r="DF82" s="511">
        <f>DC82*100/DC85</f>
        <v/>
      </c>
      <c r="DH82" s="538" t="inlineStr">
        <is>
          <t>ÉPAULE 3D</t>
        </is>
      </c>
      <c r="DI82" s="512">
        <f>'Recette viandes'!$S$6</f>
        <v/>
      </c>
      <c r="DJ82" s="539">
        <f>DI82</f>
        <v/>
      </c>
      <c r="DK82" s="513" t="inlineStr">
        <is>
          <t>kg</t>
        </is>
      </c>
      <c r="DL82" s="511">
        <f>DI82*100/DI85</f>
        <v/>
      </c>
      <c r="DN82" s="538" t="inlineStr">
        <is>
          <t>ÉPAULE 3D</t>
        </is>
      </c>
      <c r="DO82" s="512">
        <f>'Recette viandes'!$R$22</f>
        <v/>
      </c>
      <c r="DP82" s="539">
        <f>DO82</f>
        <v/>
      </c>
      <c r="DQ82" s="513" t="inlineStr">
        <is>
          <t>kg</t>
        </is>
      </c>
      <c r="DR82" s="511">
        <f>DO82*100/DO85</f>
        <v/>
      </c>
      <c r="DT82" s="538" t="inlineStr">
        <is>
          <t>ÉPAULE 3D</t>
        </is>
      </c>
      <c r="DU82" s="512">
        <f>+'Recette viandes'!U6</f>
        <v/>
      </c>
      <c r="DV82" s="539">
        <f>DU82</f>
        <v/>
      </c>
      <c r="DW82" s="513" t="inlineStr">
        <is>
          <t>kg</t>
        </is>
      </c>
      <c r="DX82" s="511">
        <f>DU82*100/DU86</f>
        <v/>
      </c>
      <c r="DZ82" s="538" t="inlineStr">
        <is>
          <t>ÉPAULE 3D</t>
        </is>
      </c>
      <c r="EA82" s="512">
        <f>'Recette viandes'!$S$6</f>
        <v/>
      </c>
      <c r="EB82" s="539">
        <f>EA82</f>
        <v/>
      </c>
      <c r="EC82" s="513" t="inlineStr">
        <is>
          <t>kg</t>
        </is>
      </c>
      <c r="ED82" s="511">
        <f>EA82*100/EA85</f>
        <v/>
      </c>
      <c r="EF82" s="538" t="inlineStr">
        <is>
          <t>ÉPAULE 3D</t>
        </is>
      </c>
      <c r="EG82" s="512">
        <f>'Recette viandes'!AA6</f>
        <v/>
      </c>
      <c r="EH82" s="539">
        <f>EG82</f>
        <v/>
      </c>
      <c r="EI82" s="513" t="inlineStr">
        <is>
          <t>kg</t>
        </is>
      </c>
      <c r="EJ82" s="511">
        <f>EG82*100/EG86</f>
        <v/>
      </c>
      <c r="EL82" s="538" t="inlineStr">
        <is>
          <t>ÉPAULE 3D</t>
        </is>
      </c>
      <c r="EM82" s="512">
        <f>'Recette viandes'!$S$6</f>
        <v/>
      </c>
      <c r="EN82" s="539">
        <f>EM82</f>
        <v/>
      </c>
      <c r="EO82" s="513" t="inlineStr">
        <is>
          <t>kg</t>
        </is>
      </c>
      <c r="EP82" s="511">
        <f>EM82*100/EM85</f>
        <v/>
      </c>
      <c r="ER82" s="538" t="inlineStr">
        <is>
          <t>ÉPAULE 3D</t>
        </is>
      </c>
      <c r="ES82" s="512">
        <f>'Recette viandes'!W6</f>
        <v/>
      </c>
      <c r="ET82" s="539">
        <f>ES82</f>
        <v/>
      </c>
      <c r="EU82" s="513" t="inlineStr">
        <is>
          <t>kg</t>
        </is>
      </c>
      <c r="EV82" s="511">
        <f>ES82*10/ES86</f>
        <v/>
      </c>
      <c r="EX82" s="538" t="inlineStr">
        <is>
          <t>ÉPAULE 3D</t>
        </is>
      </c>
      <c r="EY82" s="512">
        <f>'Recette viandes'!$S$6</f>
        <v/>
      </c>
      <c r="EZ82" s="539">
        <f>EY82</f>
        <v/>
      </c>
      <c r="FA82" s="513" t="inlineStr">
        <is>
          <t>kg</t>
        </is>
      </c>
      <c r="FB82" s="511">
        <f>EY82*100/EY85</f>
        <v/>
      </c>
      <c r="FD82" s="538" t="inlineStr">
        <is>
          <t>ÉPAULE 3D</t>
        </is>
      </c>
      <c r="FE82" s="512">
        <f>'Recette viandes'!$S$6</f>
        <v/>
      </c>
      <c r="FF82" s="539">
        <f>FE82</f>
        <v/>
      </c>
      <c r="FG82" s="513" t="inlineStr">
        <is>
          <t>kg</t>
        </is>
      </c>
      <c r="FH82" s="511">
        <f>FE82*100/FE85</f>
        <v/>
      </c>
      <c r="FJ82" s="538" t="inlineStr">
        <is>
          <t>ÉPAULE 3D</t>
        </is>
      </c>
      <c r="FK82" s="512">
        <f>'Recette viandes'!Y6</f>
        <v/>
      </c>
      <c r="FL82" s="539">
        <f>FK82</f>
        <v/>
      </c>
      <c r="FM82" s="513" t="inlineStr">
        <is>
          <t>kg</t>
        </is>
      </c>
      <c r="FN82" s="511">
        <f>FK82*100/FK86</f>
        <v/>
      </c>
    </row>
    <row r="83">
      <c r="J83" s="542" t="inlineStr">
        <is>
          <t xml:space="preserve">GRAS </t>
        </is>
      </c>
      <c r="K83" s="518">
        <f>'Recette viandes'!$S$9</f>
        <v/>
      </c>
      <c r="L83" s="543">
        <f>L82+K83</f>
        <v/>
      </c>
      <c r="M83" s="519" t="inlineStr">
        <is>
          <t>kg</t>
        </is>
      </c>
      <c r="N83" s="679">
        <f>K83*100/K85</f>
        <v/>
      </c>
      <c r="P83" s="542" t="inlineStr">
        <is>
          <t xml:space="preserve">GRAS </t>
        </is>
      </c>
      <c r="Q83" s="518">
        <f>'Recette viandes'!R23</f>
        <v/>
      </c>
      <c r="R83" s="543">
        <f>R82+Q83</f>
        <v/>
      </c>
      <c r="S83" s="519" t="inlineStr">
        <is>
          <t>kg</t>
        </is>
      </c>
      <c r="T83" s="679">
        <f>Q83*100/Q85</f>
        <v/>
      </c>
      <c r="V83" s="542" t="inlineStr">
        <is>
          <t xml:space="preserve">GRAS </t>
        </is>
      </c>
      <c r="W83" s="518">
        <f>'Recette viandes'!R23</f>
        <v/>
      </c>
      <c r="X83" s="543">
        <f>X82+W83</f>
        <v/>
      </c>
      <c r="Y83" s="519" t="inlineStr">
        <is>
          <t>kg</t>
        </is>
      </c>
      <c r="Z83" s="679">
        <f>W83*100/W85</f>
        <v/>
      </c>
      <c r="AB83" s="542" t="inlineStr">
        <is>
          <t xml:space="preserve">GRAS </t>
        </is>
      </c>
      <c r="AC83" s="518">
        <f>'Recette viandes'!R23</f>
        <v/>
      </c>
      <c r="AD83" s="543">
        <f>AD82+AC83</f>
        <v/>
      </c>
      <c r="AE83" s="519" t="inlineStr">
        <is>
          <t>kg</t>
        </is>
      </c>
      <c r="AF83" s="679">
        <f>AC83*100/AC85</f>
        <v/>
      </c>
      <c r="AH83" s="542" t="inlineStr">
        <is>
          <t xml:space="preserve">GRAS </t>
        </is>
      </c>
      <c r="AI83" s="518">
        <f>'Recette viandes'!R23</f>
        <v/>
      </c>
      <c r="AJ83" s="543">
        <f>AJ82+AI83</f>
        <v/>
      </c>
      <c r="AK83" s="519" t="inlineStr">
        <is>
          <t>kg</t>
        </is>
      </c>
      <c r="AL83" s="679">
        <f>AI83*100/AI85</f>
        <v/>
      </c>
      <c r="AN83" s="542" t="inlineStr">
        <is>
          <t xml:space="preserve">GRAS </t>
        </is>
      </c>
      <c r="AO83" s="518">
        <f>'Recette viandes'!S9</f>
        <v/>
      </c>
      <c r="AP83" s="543">
        <f>AP82+AO83</f>
        <v/>
      </c>
      <c r="AQ83" s="519" t="inlineStr">
        <is>
          <t>kg</t>
        </is>
      </c>
      <c r="AR83" s="679">
        <f>AO83*100/AO85</f>
        <v/>
      </c>
      <c r="AT83" s="542" t="inlineStr">
        <is>
          <t xml:space="preserve">GRAS </t>
        </is>
      </c>
      <c r="AU83" s="518">
        <f>'Recette viandes'!$S$9</f>
        <v/>
      </c>
      <c r="AV83" s="543">
        <f>AV82+AU83</f>
        <v/>
      </c>
      <c r="AW83" s="519" t="inlineStr">
        <is>
          <t>kg</t>
        </is>
      </c>
      <c r="AX83" s="679">
        <f>AU83*100/AU85</f>
        <v/>
      </c>
      <c r="AZ83" s="542" t="inlineStr">
        <is>
          <t xml:space="preserve">GRAS </t>
        </is>
      </c>
      <c r="BA83" s="518">
        <f>'Recette viandes'!$S$9</f>
        <v/>
      </c>
      <c r="BB83" s="543">
        <f>BB82+BA83</f>
        <v/>
      </c>
      <c r="BC83" s="519" t="inlineStr">
        <is>
          <t>kg</t>
        </is>
      </c>
      <c r="BD83" s="679">
        <f>BA83*100/BA85</f>
        <v/>
      </c>
      <c r="BF83" s="542" t="inlineStr">
        <is>
          <t xml:space="preserve">GRAS </t>
        </is>
      </c>
      <c r="BG83" s="518">
        <f>'Recette viandes'!$S$9</f>
        <v/>
      </c>
      <c r="BH83" s="543">
        <f>BH82+BG83</f>
        <v/>
      </c>
      <c r="BI83" s="519" t="inlineStr">
        <is>
          <t>kg</t>
        </is>
      </c>
      <c r="BJ83" s="679">
        <f>BG83*100/BG85</f>
        <v/>
      </c>
      <c r="BL83" s="542" t="inlineStr">
        <is>
          <t xml:space="preserve">GRAS </t>
        </is>
      </c>
      <c r="BM83" s="518">
        <f>'Recette viandes'!$R$23</f>
        <v/>
      </c>
      <c r="BN83" s="543">
        <f>BN82+BM83</f>
        <v/>
      </c>
      <c r="BO83" s="519" t="inlineStr">
        <is>
          <t>kg</t>
        </is>
      </c>
      <c r="BP83" s="679">
        <f>BM83*100/BM85</f>
        <v/>
      </c>
      <c r="BR83" s="542" t="inlineStr">
        <is>
          <t xml:space="preserve">GRAS </t>
        </is>
      </c>
      <c r="BS83" s="518">
        <f>'Recette viandes'!$S$9</f>
        <v/>
      </c>
      <c r="BT83" s="543">
        <f>BT82+BS83</f>
        <v/>
      </c>
      <c r="BU83" s="519" t="inlineStr">
        <is>
          <t>kg</t>
        </is>
      </c>
      <c r="BV83" s="679">
        <f>BS83*100/BS85</f>
        <v/>
      </c>
      <c r="BX83" s="542" t="inlineStr">
        <is>
          <t xml:space="preserve">GRAS </t>
        </is>
      </c>
      <c r="BY83" s="518">
        <f>'Recette viandes'!$S$9</f>
        <v/>
      </c>
      <c r="BZ83" s="543">
        <f>BZ82+BY83</f>
        <v/>
      </c>
      <c r="CA83" s="519" t="inlineStr">
        <is>
          <t>kg</t>
        </is>
      </c>
      <c r="CB83" s="679">
        <f>BY83*100/BY85</f>
        <v/>
      </c>
      <c r="CD83" s="542" t="inlineStr">
        <is>
          <t xml:space="preserve">GRAS </t>
        </is>
      </c>
      <c r="CE83" s="518">
        <f>'Recette viandes'!$S$9</f>
        <v/>
      </c>
      <c r="CF83" s="543">
        <f>CF82+CE83</f>
        <v/>
      </c>
      <c r="CG83" s="519" t="inlineStr">
        <is>
          <t>kg</t>
        </is>
      </c>
      <c r="CH83" s="679">
        <f>CE83*100/CE85</f>
        <v/>
      </c>
      <c r="CJ83" s="542" t="inlineStr">
        <is>
          <t xml:space="preserve">GRAS </t>
        </is>
      </c>
      <c r="CK83" s="518">
        <f>'Recette viandes'!$S$9</f>
        <v/>
      </c>
      <c r="CL83" s="543">
        <f>CL82+CK83</f>
        <v/>
      </c>
      <c r="CM83" s="519" t="inlineStr">
        <is>
          <t>kg</t>
        </is>
      </c>
      <c r="CN83" s="679">
        <f>CK83*100/CK85</f>
        <v/>
      </c>
      <c r="CP83" s="542" t="inlineStr">
        <is>
          <t xml:space="preserve">GRAS </t>
        </is>
      </c>
      <c r="CQ83" s="518">
        <f>'Recette viandes'!$S$9</f>
        <v/>
      </c>
      <c r="CR83" s="543">
        <f>CR82+CQ83</f>
        <v/>
      </c>
      <c r="CS83" s="519" t="inlineStr">
        <is>
          <t>kg</t>
        </is>
      </c>
      <c r="CT83" s="679">
        <f>CQ83*100/CQ85</f>
        <v/>
      </c>
      <c r="CV83" s="542" t="inlineStr">
        <is>
          <t xml:space="preserve">GRAS </t>
        </is>
      </c>
      <c r="CW83" s="518">
        <f>'Recette viandes'!$S$9</f>
        <v/>
      </c>
      <c r="CX83" s="543">
        <f>CX82+CW83</f>
        <v/>
      </c>
      <c r="CY83" s="519" t="inlineStr">
        <is>
          <t>kg</t>
        </is>
      </c>
      <c r="CZ83" s="679">
        <f>CW83*100/CW85</f>
        <v/>
      </c>
      <c r="DB83" s="542" t="inlineStr">
        <is>
          <t xml:space="preserve">GRAS </t>
        </is>
      </c>
      <c r="DC83" s="518">
        <f>'Recette viandes'!$S$9</f>
        <v/>
      </c>
      <c r="DD83" s="543">
        <f>DD82+DC83</f>
        <v/>
      </c>
      <c r="DE83" s="519" t="inlineStr">
        <is>
          <t>kg</t>
        </is>
      </c>
      <c r="DF83" s="679">
        <f>DC83*100/DC85</f>
        <v/>
      </c>
      <c r="DH83" s="542" t="inlineStr">
        <is>
          <t xml:space="preserve">GRAS </t>
        </is>
      </c>
      <c r="DI83" s="518">
        <f>'Recette viandes'!$S$9</f>
        <v/>
      </c>
      <c r="DJ83" s="543">
        <f>DJ82+DI83</f>
        <v/>
      </c>
      <c r="DK83" s="519" t="inlineStr">
        <is>
          <t>kg</t>
        </is>
      </c>
      <c r="DL83" s="679">
        <f>DI83*100/DI85</f>
        <v/>
      </c>
      <c r="DN83" s="542" t="inlineStr">
        <is>
          <t xml:space="preserve">GRAS </t>
        </is>
      </c>
      <c r="DO83" s="518">
        <f>'Recette viandes'!$R$23</f>
        <v/>
      </c>
      <c r="DP83" s="543">
        <f>DP82+DO83</f>
        <v/>
      </c>
      <c r="DQ83" s="519" t="inlineStr">
        <is>
          <t>kg</t>
        </is>
      </c>
      <c r="DR83" s="679">
        <f>DO83*100/DO85</f>
        <v/>
      </c>
      <c r="DT83" s="542" t="inlineStr">
        <is>
          <t xml:space="preserve">GRAS </t>
        </is>
      </c>
      <c r="DU83" s="518">
        <f>'Recette viandes'!U9</f>
        <v/>
      </c>
      <c r="DV83" s="543">
        <f>DV82+DU83</f>
        <v/>
      </c>
      <c r="DW83" s="519" t="inlineStr">
        <is>
          <t>kg</t>
        </is>
      </c>
      <c r="DX83" s="679">
        <f>DU83*100/DU86</f>
        <v/>
      </c>
      <c r="DZ83" s="542" t="inlineStr">
        <is>
          <t xml:space="preserve">GRAS </t>
        </is>
      </c>
      <c r="EA83" s="518">
        <f>'Recette viandes'!$S$9</f>
        <v/>
      </c>
      <c r="EB83" s="543">
        <f>EB82+EA83</f>
        <v/>
      </c>
      <c r="EC83" s="519" t="inlineStr">
        <is>
          <t>kg</t>
        </is>
      </c>
      <c r="ED83" s="679">
        <f>EA83*100/EA85</f>
        <v/>
      </c>
      <c r="EF83" s="542" t="inlineStr">
        <is>
          <t xml:space="preserve">GRAS </t>
        </is>
      </c>
      <c r="EG83" s="518">
        <f>'Recette viandes'!AA9</f>
        <v/>
      </c>
      <c r="EH83" s="543">
        <f>EH82+EG83</f>
        <v/>
      </c>
      <c r="EI83" s="519" t="inlineStr">
        <is>
          <t>kg</t>
        </is>
      </c>
      <c r="EJ83" s="679">
        <f>EG83*100/EG86</f>
        <v/>
      </c>
      <c r="EL83" s="542" t="inlineStr">
        <is>
          <t xml:space="preserve">GRAS </t>
        </is>
      </c>
      <c r="EM83" s="518">
        <f>'Recette viandes'!$S$9</f>
        <v/>
      </c>
      <c r="EN83" s="543">
        <f>EN82+EM83</f>
        <v/>
      </c>
      <c r="EO83" s="519" t="inlineStr">
        <is>
          <t>kg</t>
        </is>
      </c>
      <c r="EP83" s="679">
        <f>EM83*100/EM85</f>
        <v/>
      </c>
      <c r="ER83" s="542" t="inlineStr">
        <is>
          <t xml:space="preserve">GRAS </t>
        </is>
      </c>
      <c r="ES83" s="518">
        <f>'Recette viandes'!W9</f>
        <v/>
      </c>
      <c r="ET83" s="543">
        <f>ET82+ES83</f>
        <v/>
      </c>
      <c r="EU83" s="519" t="inlineStr">
        <is>
          <t>kg</t>
        </is>
      </c>
      <c r="EV83" s="679">
        <f>ES83*100/ES86</f>
        <v/>
      </c>
      <c r="EX83" s="542" t="inlineStr">
        <is>
          <t xml:space="preserve">GRAS </t>
        </is>
      </c>
      <c r="EY83" s="518">
        <f>'Recette viandes'!$S$9</f>
        <v/>
      </c>
      <c r="EZ83" s="543">
        <f>EZ82+EY83</f>
        <v/>
      </c>
      <c r="FA83" s="519" t="inlineStr">
        <is>
          <t>kg</t>
        </is>
      </c>
      <c r="FB83" s="679">
        <f>EY83*100/EY85</f>
        <v/>
      </c>
      <c r="FD83" s="542" t="inlineStr">
        <is>
          <t xml:space="preserve">GRAS </t>
        </is>
      </c>
      <c r="FE83" s="518">
        <f>'Recette viandes'!$S$9</f>
        <v/>
      </c>
      <c r="FF83" s="543">
        <f>FF82+FE83</f>
        <v/>
      </c>
      <c r="FG83" s="519" t="inlineStr">
        <is>
          <t>kg</t>
        </is>
      </c>
      <c r="FH83" s="679">
        <f>FE83*100/FE85</f>
        <v/>
      </c>
      <c r="FJ83" s="542" t="inlineStr">
        <is>
          <t xml:space="preserve">GRAS </t>
        </is>
      </c>
      <c r="FK83" s="518">
        <f>'Recette viandes'!Y9</f>
        <v/>
      </c>
      <c r="FL83" s="543">
        <f>FL82+FK83</f>
        <v/>
      </c>
      <c r="FM83" s="519" t="inlineStr">
        <is>
          <t>kg</t>
        </is>
      </c>
      <c r="FN83" s="679">
        <f>FK83*100/FK86</f>
        <v/>
      </c>
    </row>
    <row r="84" ht="26.25" customHeight="1" s="1025" thickBot="1">
      <c r="J84" s="544" t="inlineStr">
        <is>
          <t>HAMPES</t>
        </is>
      </c>
      <c r="K84" s="643">
        <f>'Recette viandes'!$S$7</f>
        <v/>
      </c>
      <c r="L84" s="546">
        <f>L83+K84</f>
        <v/>
      </c>
      <c r="M84" s="587" t="inlineStr">
        <is>
          <t>kg</t>
        </is>
      </c>
      <c r="N84" s="680">
        <f>K84*100/K85</f>
        <v/>
      </c>
      <c r="P84" s="544" t="inlineStr">
        <is>
          <t>HAMPES</t>
        </is>
      </c>
      <c r="Q84" s="643">
        <f>'Recette viandes'!R24</f>
        <v/>
      </c>
      <c r="R84" s="546">
        <f>R83+Q84</f>
        <v/>
      </c>
      <c r="S84" s="587" t="inlineStr">
        <is>
          <t>kg</t>
        </is>
      </c>
      <c r="T84" s="680">
        <f>Q84*100/Q85</f>
        <v/>
      </c>
      <c r="V84" s="544" t="inlineStr">
        <is>
          <t>HAMPES</t>
        </is>
      </c>
      <c r="W84" s="643">
        <f>'Recette viandes'!R24</f>
        <v/>
      </c>
      <c r="X84" s="546">
        <f>X83+W84</f>
        <v/>
      </c>
      <c r="Y84" s="587" t="inlineStr">
        <is>
          <t>kg</t>
        </is>
      </c>
      <c r="Z84" s="680">
        <f>W84*100/W85</f>
        <v/>
      </c>
      <c r="AB84" s="544" t="inlineStr">
        <is>
          <t>HAMPES</t>
        </is>
      </c>
      <c r="AC84" s="643">
        <f>'Recette viandes'!R24</f>
        <v/>
      </c>
      <c r="AD84" s="546">
        <f>AD83+AC84</f>
        <v/>
      </c>
      <c r="AE84" s="587" t="inlineStr">
        <is>
          <t>kg</t>
        </is>
      </c>
      <c r="AF84" s="680">
        <f>AC84*100/AC85</f>
        <v/>
      </c>
      <c r="AH84" s="544" t="inlineStr">
        <is>
          <t>HAMPES</t>
        </is>
      </c>
      <c r="AI84" s="643">
        <f>'Recette viandes'!R24</f>
        <v/>
      </c>
      <c r="AJ84" s="546">
        <f>AJ83+AI84</f>
        <v/>
      </c>
      <c r="AK84" s="587" t="inlineStr">
        <is>
          <t>kg</t>
        </is>
      </c>
      <c r="AL84" s="680">
        <f>AI84*100/AI85</f>
        <v/>
      </c>
      <c r="AN84" s="544" t="inlineStr">
        <is>
          <t>HAMPES</t>
        </is>
      </c>
      <c r="AO84" s="643">
        <f>'Recette viandes'!S7</f>
        <v/>
      </c>
      <c r="AP84" s="546">
        <f>AP83+AO84</f>
        <v/>
      </c>
      <c r="AQ84" s="587" t="inlineStr">
        <is>
          <t>kg</t>
        </is>
      </c>
      <c r="AR84" s="680">
        <f>AO84*100/AO85</f>
        <v/>
      </c>
      <c r="AT84" s="544" t="inlineStr">
        <is>
          <t>HAMPES</t>
        </is>
      </c>
      <c r="AU84" s="643">
        <f>'Recette viandes'!$S$7</f>
        <v/>
      </c>
      <c r="AV84" s="546">
        <f>AV83+AU84</f>
        <v/>
      </c>
      <c r="AW84" s="587" t="inlineStr">
        <is>
          <t>kg</t>
        </is>
      </c>
      <c r="AX84" s="680">
        <f>AU84*100/AU85</f>
        <v/>
      </c>
      <c r="AZ84" s="544" t="inlineStr">
        <is>
          <t>HAMPES</t>
        </is>
      </c>
      <c r="BA84" s="643">
        <f>'Recette viandes'!$S$7</f>
        <v/>
      </c>
      <c r="BB84" s="546">
        <f>BB83+BA84</f>
        <v/>
      </c>
      <c r="BC84" s="587" t="inlineStr">
        <is>
          <t>kg</t>
        </is>
      </c>
      <c r="BD84" s="680">
        <f>BA84*100/BA85</f>
        <v/>
      </c>
      <c r="BF84" s="544" t="inlineStr">
        <is>
          <t>HAMPES</t>
        </is>
      </c>
      <c r="BG84" s="643">
        <f>'Recette viandes'!$S$7</f>
        <v/>
      </c>
      <c r="BH84" s="546">
        <f>BH83+BG84</f>
        <v/>
      </c>
      <c r="BI84" s="587" t="inlineStr">
        <is>
          <t>kg</t>
        </is>
      </c>
      <c r="BJ84" s="680">
        <f>BG84*100/BG85</f>
        <v/>
      </c>
      <c r="BL84" s="544" t="inlineStr">
        <is>
          <t>HAMPES</t>
        </is>
      </c>
      <c r="BM84" s="643">
        <f>'Recette viandes'!$R$24</f>
        <v/>
      </c>
      <c r="BN84" s="546">
        <f>BN83+BM84</f>
        <v/>
      </c>
      <c r="BO84" s="587" t="inlineStr">
        <is>
          <t>kg</t>
        </is>
      </c>
      <c r="BP84" s="680">
        <f>BM84*100/BM85</f>
        <v/>
      </c>
      <c r="BR84" s="544" t="inlineStr">
        <is>
          <t>HAMPES</t>
        </is>
      </c>
      <c r="BS84" s="643">
        <f>'Recette viandes'!$S$7</f>
        <v/>
      </c>
      <c r="BT84" s="546">
        <f>BT83+BS84</f>
        <v/>
      </c>
      <c r="BU84" s="587" t="inlineStr">
        <is>
          <t>kg</t>
        </is>
      </c>
      <c r="BV84" s="680">
        <f>BS84*100/BS85</f>
        <v/>
      </c>
      <c r="BX84" s="544" t="inlineStr">
        <is>
          <t>HAMPES</t>
        </is>
      </c>
      <c r="BY84" s="643">
        <f>'Recette viandes'!$S$7</f>
        <v/>
      </c>
      <c r="BZ84" s="546">
        <f>BZ83+BY84</f>
        <v/>
      </c>
      <c r="CA84" s="587" t="inlineStr">
        <is>
          <t>kg</t>
        </is>
      </c>
      <c r="CB84" s="680">
        <f>BY84*100/BY85</f>
        <v/>
      </c>
      <c r="CD84" s="544" t="inlineStr">
        <is>
          <t>HAMPES</t>
        </is>
      </c>
      <c r="CE84" s="643">
        <f>'Recette viandes'!$S$7</f>
        <v/>
      </c>
      <c r="CF84" s="546">
        <f>CF83+CE84</f>
        <v/>
      </c>
      <c r="CG84" s="587" t="inlineStr">
        <is>
          <t>kg</t>
        </is>
      </c>
      <c r="CH84" s="680">
        <f>CE84*100/CE85</f>
        <v/>
      </c>
      <c r="CJ84" s="544" t="inlineStr">
        <is>
          <t>HAMPES</t>
        </is>
      </c>
      <c r="CK84" s="643">
        <f>'Recette viandes'!$S$7</f>
        <v/>
      </c>
      <c r="CL84" s="546">
        <f>CL83+CK84</f>
        <v/>
      </c>
      <c r="CM84" s="587" t="inlineStr">
        <is>
          <t>kg</t>
        </is>
      </c>
      <c r="CN84" s="680">
        <f>CK84*100/CK85</f>
        <v/>
      </c>
      <c r="CP84" s="544" t="inlineStr">
        <is>
          <t>HAMPES</t>
        </is>
      </c>
      <c r="CQ84" s="643">
        <f>'Recette viandes'!$S$7</f>
        <v/>
      </c>
      <c r="CR84" s="546">
        <f>CR83+CQ84</f>
        <v/>
      </c>
      <c r="CS84" s="587" t="inlineStr">
        <is>
          <t>kg</t>
        </is>
      </c>
      <c r="CT84" s="680">
        <f>CQ84*100/CQ85</f>
        <v/>
      </c>
      <c r="CV84" s="544" t="inlineStr">
        <is>
          <t>HAMPES</t>
        </is>
      </c>
      <c r="CW84" s="643">
        <f>'Recette viandes'!$S$7</f>
        <v/>
      </c>
      <c r="CX84" s="546">
        <f>CX83+CW84</f>
        <v/>
      </c>
      <c r="CY84" s="587" t="inlineStr">
        <is>
          <t>kg</t>
        </is>
      </c>
      <c r="CZ84" s="680">
        <f>CW84*100/CW85</f>
        <v/>
      </c>
      <c r="DB84" s="544" t="inlineStr">
        <is>
          <t>HAMPES</t>
        </is>
      </c>
      <c r="DC84" s="643">
        <f>'Recette viandes'!$S$7</f>
        <v/>
      </c>
      <c r="DD84" s="546">
        <f>DD83+DC84</f>
        <v/>
      </c>
      <c r="DE84" s="587" t="inlineStr">
        <is>
          <t>kg</t>
        </is>
      </c>
      <c r="DF84" s="680">
        <f>DC84*100/DC85</f>
        <v/>
      </c>
      <c r="DH84" s="544" t="inlineStr">
        <is>
          <t>HAMPES</t>
        </is>
      </c>
      <c r="DI84" s="643">
        <f>'Recette viandes'!$S$7</f>
        <v/>
      </c>
      <c r="DJ84" s="546">
        <f>DJ83+DI84</f>
        <v/>
      </c>
      <c r="DK84" s="587" t="inlineStr">
        <is>
          <t>kg</t>
        </is>
      </c>
      <c r="DL84" s="680">
        <f>DI84*100/DI85</f>
        <v/>
      </c>
      <c r="DN84" s="544" t="inlineStr">
        <is>
          <t>HAMPES</t>
        </is>
      </c>
      <c r="DO84" s="643">
        <f>'Recette viandes'!$R$24</f>
        <v/>
      </c>
      <c r="DP84" s="546">
        <f>DP83+DO84</f>
        <v/>
      </c>
      <c r="DQ84" s="587" t="inlineStr">
        <is>
          <t>kg</t>
        </is>
      </c>
      <c r="DR84" s="680">
        <f>DO84*100/DO85</f>
        <v/>
      </c>
      <c r="DT84" s="544" t="inlineStr">
        <is>
          <t>HAMPES</t>
        </is>
      </c>
      <c r="DU84" s="643">
        <f>'Recette viandes'!U7</f>
        <v/>
      </c>
      <c r="DV84" s="546">
        <f>DV83+DU84</f>
        <v/>
      </c>
      <c r="DW84" s="587" t="inlineStr">
        <is>
          <t>kg</t>
        </is>
      </c>
      <c r="DX84" s="680">
        <f>DU84*100/DU86</f>
        <v/>
      </c>
      <c r="DZ84" s="544" t="inlineStr">
        <is>
          <t>HAMPES</t>
        </is>
      </c>
      <c r="EA84" s="643">
        <f>'Recette viandes'!$S$7</f>
        <v/>
      </c>
      <c r="EB84" s="546">
        <f>EB83+EA84</f>
        <v/>
      </c>
      <c r="EC84" s="587" t="inlineStr">
        <is>
          <t>kg</t>
        </is>
      </c>
      <c r="ED84" s="680">
        <f>EA84*100/EA85</f>
        <v/>
      </c>
      <c r="EF84" s="544" t="inlineStr">
        <is>
          <t>HAMPES</t>
        </is>
      </c>
      <c r="EG84" s="643">
        <f>'Recette viandes'!AA7</f>
        <v/>
      </c>
      <c r="EH84" s="546">
        <f>EH83+EG84</f>
        <v/>
      </c>
      <c r="EI84" s="587" t="inlineStr">
        <is>
          <t>kg</t>
        </is>
      </c>
      <c r="EJ84" s="680">
        <f>EG84*100/EG86</f>
        <v/>
      </c>
      <c r="EL84" s="544" t="inlineStr">
        <is>
          <t>HAMPES</t>
        </is>
      </c>
      <c r="EM84" s="643">
        <f>'Recette viandes'!$S$7</f>
        <v/>
      </c>
      <c r="EN84" s="546">
        <f>EN83+EM84</f>
        <v/>
      </c>
      <c r="EO84" s="587" t="inlineStr">
        <is>
          <t>kg</t>
        </is>
      </c>
      <c r="EP84" s="680">
        <f>EM84*100/EM85</f>
        <v/>
      </c>
      <c r="ER84" s="544" t="inlineStr">
        <is>
          <t>HAMPES</t>
        </is>
      </c>
      <c r="ES84" s="643">
        <f>'Recette viandes'!W7</f>
        <v/>
      </c>
      <c r="ET84" s="546">
        <f>ET83+ES84</f>
        <v/>
      </c>
      <c r="EU84" s="587" t="inlineStr">
        <is>
          <t>kg</t>
        </is>
      </c>
      <c r="EV84" s="680">
        <f>ES84*100/ES86</f>
        <v/>
      </c>
      <c r="EX84" s="544" t="inlineStr">
        <is>
          <t>HAMPES</t>
        </is>
      </c>
      <c r="EY84" s="643">
        <f>'Recette viandes'!$S$7</f>
        <v/>
      </c>
      <c r="EZ84" s="546">
        <f>EZ83+EY84</f>
        <v/>
      </c>
      <c r="FA84" s="587" t="inlineStr">
        <is>
          <t>kg</t>
        </is>
      </c>
      <c r="FB84" s="680">
        <f>EY84*100/EY85</f>
        <v/>
      </c>
      <c r="FD84" s="544" t="inlineStr">
        <is>
          <t>HAMPES</t>
        </is>
      </c>
      <c r="FE84" s="643">
        <f>'Recette viandes'!$S$7</f>
        <v/>
      </c>
      <c r="FF84" s="546">
        <f>FF83+FE84</f>
        <v/>
      </c>
      <c r="FG84" s="587" t="inlineStr">
        <is>
          <t>kg</t>
        </is>
      </c>
      <c r="FH84" s="680">
        <f>FE84*100/FE85</f>
        <v/>
      </c>
      <c r="FJ84" s="544" t="inlineStr">
        <is>
          <t>HAMPES</t>
        </is>
      </c>
      <c r="FK84" s="643">
        <f>'Recette viandes'!Y7</f>
        <v/>
      </c>
      <c r="FL84" s="546">
        <f>FL83+FK84</f>
        <v/>
      </c>
      <c r="FM84" s="587" t="inlineStr">
        <is>
          <t>kg</t>
        </is>
      </c>
      <c r="FN84" s="680">
        <f>FK84*100/FK86</f>
        <v/>
      </c>
    </row>
    <row r="85" ht="26.25" customHeight="1" s="1025" thickBot="1">
      <c r="J85" s="490" t="inlineStr">
        <is>
          <t>TOTAL VIANDES</t>
        </is>
      </c>
      <c r="K85" s="563">
        <f>SUM(K82:K84)</f>
        <v/>
      </c>
      <c r="L85" s="564">
        <f>L84</f>
        <v/>
      </c>
      <c r="M85" s="492" t="inlineStr">
        <is>
          <t>kg</t>
        </is>
      </c>
      <c r="N85" s="565">
        <f>SUM(N82:N84)</f>
        <v/>
      </c>
      <c r="P85" s="490" t="inlineStr">
        <is>
          <t>TOTAL VIANDES</t>
        </is>
      </c>
      <c r="Q85" s="563">
        <f>SUM(Q82:Q84)</f>
        <v/>
      </c>
      <c r="R85" s="564">
        <f>R84</f>
        <v/>
      </c>
      <c r="S85" s="492" t="inlineStr">
        <is>
          <t>kg</t>
        </is>
      </c>
      <c r="T85" s="565">
        <f>SUM(T82:T84)</f>
        <v/>
      </c>
      <c r="V85" s="490" t="inlineStr">
        <is>
          <t>TOTAL VIANDES</t>
        </is>
      </c>
      <c r="W85" s="563">
        <f>SUM(W82:W84)</f>
        <v/>
      </c>
      <c r="X85" s="564">
        <f>X84</f>
        <v/>
      </c>
      <c r="Y85" s="492" t="inlineStr">
        <is>
          <t>kg</t>
        </is>
      </c>
      <c r="Z85" s="565">
        <f>SUM(Z82:Z84)</f>
        <v/>
      </c>
      <c r="AB85" s="490" t="inlineStr">
        <is>
          <t>TOTAL VIANDES</t>
        </is>
      </c>
      <c r="AC85" s="563">
        <f>SUM(AC82:AC84)</f>
        <v/>
      </c>
      <c r="AD85" s="564">
        <f>AD84</f>
        <v/>
      </c>
      <c r="AE85" s="492" t="inlineStr">
        <is>
          <t>kg</t>
        </is>
      </c>
      <c r="AF85" s="565">
        <f>SUM(AF82:AF84)</f>
        <v/>
      </c>
      <c r="AH85" s="490" t="inlineStr">
        <is>
          <t>TOTAL VIANDES</t>
        </is>
      </c>
      <c r="AI85" s="563">
        <f>SUM(AI82:AI84)</f>
        <v/>
      </c>
      <c r="AJ85" s="564">
        <f>AJ84</f>
        <v/>
      </c>
      <c r="AK85" s="492" t="inlineStr">
        <is>
          <t>kg</t>
        </is>
      </c>
      <c r="AL85" s="565">
        <f>SUM(AL82:AL84)</f>
        <v/>
      </c>
      <c r="AN85" s="490" t="inlineStr">
        <is>
          <t>TOTAL VIANDES</t>
        </is>
      </c>
      <c r="AO85" s="563">
        <f>SUM(AO82:AO84)</f>
        <v/>
      </c>
      <c r="AP85" s="564">
        <f>AP84</f>
        <v/>
      </c>
      <c r="AQ85" s="492" t="inlineStr">
        <is>
          <t>kg</t>
        </is>
      </c>
      <c r="AR85" s="565">
        <f>SUM(AR82:AR84)</f>
        <v/>
      </c>
      <c r="AT85" s="490" t="inlineStr">
        <is>
          <t>TOTAL VIANDES</t>
        </is>
      </c>
      <c r="AU85" s="563">
        <f>SUM(AU82:AU84)</f>
        <v/>
      </c>
      <c r="AV85" s="564">
        <f>AV84</f>
        <v/>
      </c>
      <c r="AW85" s="492" t="inlineStr">
        <is>
          <t>kg</t>
        </is>
      </c>
      <c r="AX85" s="565">
        <f>SUM(AX82:AX84)</f>
        <v/>
      </c>
      <c r="AZ85" s="490" t="inlineStr">
        <is>
          <t>TOTAL VIANDES</t>
        </is>
      </c>
      <c r="BA85" s="563">
        <f>SUM(BA82:BA84)</f>
        <v/>
      </c>
      <c r="BB85" s="564">
        <f>BB84</f>
        <v/>
      </c>
      <c r="BC85" s="492" t="inlineStr">
        <is>
          <t>kg</t>
        </is>
      </c>
      <c r="BD85" s="565">
        <f>SUM(BD82:BD84)</f>
        <v/>
      </c>
      <c r="BF85" s="490" t="inlineStr">
        <is>
          <t>TOTAL VIANDES</t>
        </is>
      </c>
      <c r="BG85" s="563">
        <f>SUM(BG82:BG84)</f>
        <v/>
      </c>
      <c r="BH85" s="564">
        <f>BH84</f>
        <v/>
      </c>
      <c r="BI85" s="492" t="inlineStr">
        <is>
          <t>kg</t>
        </is>
      </c>
      <c r="BJ85" s="565">
        <f>SUM(BJ82:BJ84)</f>
        <v/>
      </c>
      <c r="BL85" s="490" t="inlineStr">
        <is>
          <t>TOTAL VIANDES</t>
        </is>
      </c>
      <c r="BM85" s="563">
        <f>SUM(BM82:BM84)</f>
        <v/>
      </c>
      <c r="BN85" s="564">
        <f>BN84</f>
        <v/>
      </c>
      <c r="BO85" s="492" t="inlineStr">
        <is>
          <t>kg</t>
        </is>
      </c>
      <c r="BP85" s="565">
        <f>SUM(BP82:BP84)</f>
        <v/>
      </c>
      <c r="BR85" s="490" t="inlineStr">
        <is>
          <t>TOTAL VIANDES</t>
        </is>
      </c>
      <c r="BS85" s="563">
        <f>SUM(BS82:BS84)</f>
        <v/>
      </c>
      <c r="BT85" s="564">
        <f>BT84</f>
        <v/>
      </c>
      <c r="BU85" s="492" t="inlineStr">
        <is>
          <t>kg</t>
        </is>
      </c>
      <c r="BV85" s="565">
        <f>SUM(BV82:BV84)</f>
        <v/>
      </c>
      <c r="BX85" s="490" t="inlineStr">
        <is>
          <t>TOTAL VIANDES</t>
        </is>
      </c>
      <c r="BY85" s="563">
        <f>SUM(BY82:BY84)</f>
        <v/>
      </c>
      <c r="BZ85" s="564">
        <f>BZ84</f>
        <v/>
      </c>
      <c r="CA85" s="492" t="inlineStr">
        <is>
          <t>kg</t>
        </is>
      </c>
      <c r="CB85" s="565">
        <f>SUM(CB82:CB84)</f>
        <v/>
      </c>
      <c r="CD85" s="490" t="inlineStr">
        <is>
          <t>TOTAL VIANDES</t>
        </is>
      </c>
      <c r="CE85" s="563">
        <f>SUM(CE82:CE84)</f>
        <v/>
      </c>
      <c r="CF85" s="564">
        <f>CF84</f>
        <v/>
      </c>
      <c r="CG85" s="492" t="inlineStr">
        <is>
          <t>kg</t>
        </is>
      </c>
      <c r="CH85" s="565">
        <f>SUM(CH82:CH84)</f>
        <v/>
      </c>
      <c r="CJ85" s="490" t="inlineStr">
        <is>
          <t>TOTAL VIANDES</t>
        </is>
      </c>
      <c r="CK85" s="563">
        <f>SUM(CK82:CK84)</f>
        <v/>
      </c>
      <c r="CL85" s="564">
        <f>CL84</f>
        <v/>
      </c>
      <c r="CM85" s="492" t="inlineStr">
        <is>
          <t>kg</t>
        </is>
      </c>
      <c r="CN85" s="565">
        <f>SUM(CN82:CN84)</f>
        <v/>
      </c>
      <c r="CP85" s="490" t="inlineStr">
        <is>
          <t>TOTAL VIANDES</t>
        </is>
      </c>
      <c r="CQ85" s="563">
        <f>SUM(CQ82:CQ84)</f>
        <v/>
      </c>
      <c r="CR85" s="564">
        <f>CR84</f>
        <v/>
      </c>
      <c r="CS85" s="492" t="inlineStr">
        <is>
          <t>kg</t>
        </is>
      </c>
      <c r="CT85" s="565">
        <f>SUM(CT82:CT84)</f>
        <v/>
      </c>
      <c r="CV85" s="490" t="inlineStr">
        <is>
          <t>TOTAL VIANDES</t>
        </is>
      </c>
      <c r="CW85" s="563">
        <f>SUM(CW82:CW84)</f>
        <v/>
      </c>
      <c r="CX85" s="564">
        <f>CX84</f>
        <v/>
      </c>
      <c r="CY85" s="492" t="inlineStr">
        <is>
          <t>kg</t>
        </is>
      </c>
      <c r="CZ85" s="565">
        <f>SUM(CZ82:CZ84)</f>
        <v/>
      </c>
      <c r="DB85" s="490" t="inlineStr">
        <is>
          <t>TOTAL VIANDES</t>
        </is>
      </c>
      <c r="DC85" s="563">
        <f>SUM(DC82:DC84)</f>
        <v/>
      </c>
      <c r="DD85" s="564">
        <f>DD84</f>
        <v/>
      </c>
      <c r="DE85" s="492" t="inlineStr">
        <is>
          <t>kg</t>
        </is>
      </c>
      <c r="DF85" s="565">
        <f>SUM(DF82:DF84)</f>
        <v/>
      </c>
      <c r="DH85" s="490" t="inlineStr">
        <is>
          <t>TOTAL VIANDES</t>
        </is>
      </c>
      <c r="DI85" s="563">
        <f>SUM(DI82:DI84)</f>
        <v/>
      </c>
      <c r="DJ85" s="564">
        <f>DJ84</f>
        <v/>
      </c>
      <c r="DK85" s="492" t="inlineStr">
        <is>
          <t>kg</t>
        </is>
      </c>
      <c r="DL85" s="565">
        <f>SUM(DL82:DL84)</f>
        <v/>
      </c>
      <c r="DN85" s="490" t="inlineStr">
        <is>
          <t>TOTAL VIANDES</t>
        </is>
      </c>
      <c r="DO85" s="563">
        <f>SUM(DO82:DO84)</f>
        <v/>
      </c>
      <c r="DP85" s="564">
        <f>DP84</f>
        <v/>
      </c>
      <c r="DQ85" s="492" t="inlineStr">
        <is>
          <t>kg</t>
        </is>
      </c>
      <c r="DR85" s="565">
        <f>SUM(DR82:DR84)</f>
        <v/>
      </c>
      <c r="DT85" s="782" t="inlineStr">
        <is>
          <t>TAUREAU</t>
        </is>
      </c>
      <c r="DU85" s="783">
        <f>'Recette viandes'!U10</f>
        <v/>
      </c>
      <c r="DV85" s="784">
        <f>DV84+DU85</f>
        <v/>
      </c>
      <c r="DW85" s="785" t="inlineStr">
        <is>
          <t>kg</t>
        </is>
      </c>
      <c r="DX85" s="786">
        <f>DU85*100/DU86</f>
        <v/>
      </c>
      <c r="DZ85" s="490" t="inlineStr">
        <is>
          <t>TOTAL VIANDES</t>
        </is>
      </c>
      <c r="EA85" s="563">
        <f>SUM(EA82:EA84)</f>
        <v/>
      </c>
      <c r="EB85" s="564">
        <f>EB84</f>
        <v/>
      </c>
      <c r="EC85" s="492" t="inlineStr">
        <is>
          <t>kg</t>
        </is>
      </c>
      <c r="ED85" s="565">
        <f>SUM(ED82:ED84)</f>
        <v/>
      </c>
      <c r="EF85" s="782" t="inlineStr">
        <is>
          <t>SANGLIER</t>
        </is>
      </c>
      <c r="EG85" s="783">
        <f>'Recette viandes'!AA13</f>
        <v/>
      </c>
      <c r="EH85" s="784">
        <f>EH84+EG85</f>
        <v/>
      </c>
      <c r="EI85" s="785" t="inlineStr">
        <is>
          <t>kg</t>
        </is>
      </c>
      <c r="EJ85" s="786">
        <f>EG85*100/EG86</f>
        <v/>
      </c>
      <c r="EL85" s="490" t="inlineStr">
        <is>
          <t>TOTAL VIANDES</t>
        </is>
      </c>
      <c r="EM85" s="563">
        <f>SUM(EM82:EM84)</f>
        <v/>
      </c>
      <c r="EN85" s="564">
        <f>EN84</f>
        <v/>
      </c>
      <c r="EO85" s="492" t="inlineStr">
        <is>
          <t>kg</t>
        </is>
      </c>
      <c r="EP85" s="565">
        <f>SUM(EP82:EP84)</f>
        <v/>
      </c>
      <c r="ER85" s="782" t="inlineStr">
        <is>
          <t>CANARD</t>
        </is>
      </c>
      <c r="ES85" s="783">
        <f>'Recette viandes'!W11</f>
        <v/>
      </c>
      <c r="ET85" s="784">
        <f>ET84+ES85</f>
        <v/>
      </c>
      <c r="EU85" s="785" t="inlineStr">
        <is>
          <t>kg</t>
        </is>
      </c>
      <c r="EV85" s="786">
        <f>ES85*100/ES86</f>
        <v/>
      </c>
      <c r="EX85" s="490" t="inlineStr">
        <is>
          <t>TOTAL VIANDES</t>
        </is>
      </c>
      <c r="EY85" s="563">
        <f>SUM(EY82:EY84)</f>
        <v/>
      </c>
      <c r="EZ85" s="564">
        <f>EZ84</f>
        <v/>
      </c>
      <c r="FA85" s="492" t="inlineStr">
        <is>
          <t>kg</t>
        </is>
      </c>
      <c r="FB85" s="565">
        <f>SUM(FB82:FB84)</f>
        <v/>
      </c>
      <c r="FD85" s="490" t="inlineStr">
        <is>
          <t>TOTAL VIANDES</t>
        </is>
      </c>
      <c r="FE85" s="563">
        <f>SUM(FE82:FE84)</f>
        <v/>
      </c>
      <c r="FF85" s="564">
        <f>FF84</f>
        <v/>
      </c>
      <c r="FG85" s="492" t="inlineStr">
        <is>
          <t>kg</t>
        </is>
      </c>
      <c r="FH85" s="565">
        <f>SUM(FH82:FH84)</f>
        <v/>
      </c>
      <c r="FJ85" s="782" t="inlineStr">
        <is>
          <t>CERF</t>
        </is>
      </c>
      <c r="FK85" s="783">
        <f>'Recette viandes'!Y12</f>
        <v/>
      </c>
      <c r="FL85" s="784">
        <f>FL84+FK85</f>
        <v/>
      </c>
      <c r="FM85" s="785" t="inlineStr">
        <is>
          <t>kg</t>
        </is>
      </c>
      <c r="FN85" s="786">
        <f>FK85*100/FK86</f>
        <v/>
      </c>
    </row>
    <row r="86" ht="26.25" customFormat="1" customHeight="1" s="1075" thickBot="1">
      <c r="B86" s="759" t="n"/>
      <c r="C86" s="760" t="n"/>
      <c r="D86" s="761" t="n"/>
      <c r="H86" s="574" t="n"/>
      <c r="J86" s="574" t="inlineStr">
        <is>
          <t>% Viandes = Viande Concernée X 100 / Total Viandes</t>
        </is>
      </c>
      <c r="P86" s="574" t="inlineStr">
        <is>
          <t>% Viandes = Viande Concernée X 100 / Total Viandes</t>
        </is>
      </c>
      <c r="V86" s="574" t="inlineStr">
        <is>
          <t>% Viandes = Viande Concernée X 100 / Total Viandes</t>
        </is>
      </c>
      <c r="AB86" s="574" t="inlineStr">
        <is>
          <t>% Viandes = Viande Concernée X 100 / Total Viandes</t>
        </is>
      </c>
      <c r="AH86" s="574" t="inlineStr">
        <is>
          <t>% Viandes = Viande Concernée X 100 / Total Viandes</t>
        </is>
      </c>
      <c r="AN86" s="574" t="inlineStr">
        <is>
          <t>% Viandes = Viande Concernée X 100 / Total Viandes</t>
        </is>
      </c>
      <c r="AT86" s="574" t="inlineStr">
        <is>
          <t>% Viandes = Viande Concernée X 100 / Total Viandes</t>
        </is>
      </c>
      <c r="AZ86" s="574" t="inlineStr">
        <is>
          <t>% Viandes = Viande Concernée X 100 / Total Viandes</t>
        </is>
      </c>
      <c r="BF86" s="574" t="inlineStr">
        <is>
          <t>% Viandes = Viande Concernée X 100 / Total Viandes</t>
        </is>
      </c>
      <c r="BL86" s="574" t="inlineStr">
        <is>
          <t>% Viandes = Viande Concernée X 100 / Total Viandes</t>
        </is>
      </c>
      <c r="BR86" s="574" t="inlineStr">
        <is>
          <t>% Viandes = Viande Concernée X 100 / Total Viandes</t>
        </is>
      </c>
      <c r="BX86" s="574" t="inlineStr">
        <is>
          <t>% Viandes = Viande Concernée X 100 / Total Viandes</t>
        </is>
      </c>
      <c r="CD86" s="574" t="inlineStr">
        <is>
          <t>% Viandes = Viande Concernée X 100 / Total Viandes</t>
        </is>
      </c>
      <c r="CJ86" s="574" t="inlineStr">
        <is>
          <t>% Viandes = Viande Concernée X 100 / Total Viandes</t>
        </is>
      </c>
      <c r="CP86" s="574" t="inlineStr">
        <is>
          <t>% Viandes = Viande Concernée X 100 / Total Viandes</t>
        </is>
      </c>
      <c r="CV86" s="574" t="inlineStr">
        <is>
          <t>% Viandes = Viande Concernée X 100 / Total Viandes</t>
        </is>
      </c>
      <c r="DB86" s="574" t="inlineStr">
        <is>
          <t>% Viandes = Viande Concernée X 100 / Total Viandes</t>
        </is>
      </c>
      <c r="DH86" s="574" t="inlineStr">
        <is>
          <t>% Viandes = Viande Concernée X 100 / Total Viandes</t>
        </is>
      </c>
      <c r="DN86" s="574" t="inlineStr">
        <is>
          <t>% Viandes = Viande Concernée X 100 / Total Viandes</t>
        </is>
      </c>
      <c r="DT86" s="490" t="inlineStr">
        <is>
          <t>TOTAL VIANDES</t>
        </is>
      </c>
      <c r="DU86" s="563">
        <f>SUM(DU82:DU85)</f>
        <v/>
      </c>
      <c r="DV86" s="564">
        <f>DV85</f>
        <v/>
      </c>
      <c r="DW86" s="492" t="inlineStr">
        <is>
          <t>kg</t>
        </is>
      </c>
      <c r="DX86" s="565">
        <f>SUM(DX82:DX85)</f>
        <v/>
      </c>
      <c r="DZ86" s="574" t="inlineStr">
        <is>
          <t>% Viandes = Viande Concernée X 100 / Total Viandes</t>
        </is>
      </c>
      <c r="EF86" s="490" t="inlineStr">
        <is>
          <t>TOTAL VIANDES</t>
        </is>
      </c>
      <c r="EG86" s="563">
        <f>SUM(EG82:EG85)</f>
        <v/>
      </c>
      <c r="EH86" s="564">
        <f>EH85</f>
        <v/>
      </c>
      <c r="EI86" s="492" t="inlineStr">
        <is>
          <t>kg</t>
        </is>
      </c>
      <c r="EJ86" s="565">
        <f>SUM(EJ82:EJ85)</f>
        <v/>
      </c>
      <c r="EL86" s="574" t="inlineStr">
        <is>
          <t>% Viandes = Viande Concernée X 100 / Total Viandes</t>
        </is>
      </c>
      <c r="ER86" s="490" t="inlineStr">
        <is>
          <t>TOTAL VIANDES</t>
        </is>
      </c>
      <c r="ES86" s="563">
        <f>SUM(ES82:ES85)</f>
        <v/>
      </c>
      <c r="ET86" s="564">
        <f>ET85</f>
        <v/>
      </c>
      <c r="EU86" s="492" t="inlineStr">
        <is>
          <t>kg</t>
        </is>
      </c>
      <c r="EV86" s="565">
        <f>SUM(EV82:EV85)</f>
        <v/>
      </c>
      <c r="EX86" s="574" t="inlineStr">
        <is>
          <t>% Viandes = Viande Concernée X 100 / Total Viandes</t>
        </is>
      </c>
      <c r="FD86" s="574" t="inlineStr">
        <is>
          <t>% Viandes = Viande Concernée X 100 / Total Viandes</t>
        </is>
      </c>
      <c r="FJ86" s="490" t="inlineStr">
        <is>
          <t>TOTAL VIANDES</t>
        </is>
      </c>
      <c r="FK86" s="563">
        <f>SUM(FK82:FK85)</f>
        <v/>
      </c>
      <c r="FL86" s="564">
        <f>FL85</f>
        <v/>
      </c>
      <c r="FM86" s="492" t="inlineStr">
        <is>
          <t>kg</t>
        </is>
      </c>
      <c r="FN86" s="565">
        <f>SUM(FN82:FN85)</f>
        <v/>
      </c>
    </row>
    <row r="87" customFormat="1" s="1075">
      <c r="B87" s="759" t="n"/>
      <c r="C87" s="760" t="n"/>
      <c r="D87" s="761" t="n"/>
      <c r="H87" s="574" t="n"/>
      <c r="J87" s="574" t="n"/>
      <c r="P87" s="574" t="n"/>
      <c r="V87" s="574" t="n"/>
      <c r="AB87" s="574" t="n"/>
      <c r="AH87" s="574" t="n"/>
      <c r="AN87" s="574" t="n"/>
      <c r="AT87" s="574" t="n"/>
      <c r="AZ87" s="574" t="n"/>
      <c r="BF87" s="574" t="n"/>
      <c r="BL87" s="574" t="n"/>
      <c r="BR87" s="574" t="n"/>
      <c r="BX87" s="574" t="n"/>
      <c r="CD87" s="574" t="n"/>
      <c r="CJ87" s="574" t="n"/>
      <c r="CP87" s="574" t="n"/>
      <c r="CV87" s="574" t="n"/>
      <c r="DB87" s="574" t="n"/>
      <c r="DH87" s="574" t="n"/>
      <c r="DN87" s="574" t="n"/>
      <c r="DT87" s="574" t="inlineStr">
        <is>
          <t>% Viandes = Viande Concernée X 100 / Total Viandes</t>
        </is>
      </c>
      <c r="DU87" s="787" t="n"/>
      <c r="DV87" s="788" t="n"/>
      <c r="DW87" s="789" t="n"/>
      <c r="DX87" s="787" t="n"/>
      <c r="DZ87" s="574" t="n"/>
      <c r="EF87" s="574" t="inlineStr">
        <is>
          <t>% Viandes = Viande Concernée X 100 / Total Viandes</t>
        </is>
      </c>
      <c r="EG87" s="787" t="n"/>
      <c r="EH87" s="788" t="n"/>
      <c r="EI87" s="789" t="n"/>
      <c r="EJ87" s="787" t="n"/>
      <c r="EL87" s="574" t="n"/>
      <c r="ER87" s="574" t="inlineStr">
        <is>
          <t>% Viandes = Viande Concernée X 100 / Total Viandes</t>
        </is>
      </c>
      <c r="ES87" s="787" t="n"/>
      <c r="ET87" s="788" t="n"/>
      <c r="EU87" s="789" t="n"/>
      <c r="EV87" s="787" t="n"/>
      <c r="EX87" s="574" t="n"/>
      <c r="FD87" s="574" t="n"/>
      <c r="FJ87" s="574" t="inlineStr">
        <is>
          <t>% Viandes = Viande Concernée X 100 / Total Viandes</t>
        </is>
      </c>
      <c r="FK87" s="787" t="n"/>
      <c r="FL87" s="788" t="n"/>
      <c r="FM87" s="789" t="n"/>
      <c r="FN87" s="787" t="n"/>
    </row>
    <row r="88" ht="26.25" customHeight="1" s="1025" thickBot="1">
      <c r="R88" s="488" t="n"/>
      <c r="S88" s="995" t="n"/>
      <c r="X88" s="488" t="n"/>
      <c r="Y88" s="995" t="n"/>
      <c r="AD88" s="488" t="n"/>
      <c r="AE88" s="995" t="n"/>
      <c r="AJ88" s="488" t="n"/>
      <c r="AK88" s="995" t="n"/>
      <c r="DU88" s="1075" t="n"/>
      <c r="DV88" s="1075" t="n"/>
      <c r="DW88" s="1075" t="n"/>
      <c r="DX88" s="1075" t="n"/>
      <c r="EG88" s="1075" t="n"/>
      <c r="EH88" s="1075" t="n"/>
      <c r="EI88" s="1075" t="n"/>
      <c r="EJ88" s="1075" t="n"/>
      <c r="ES88" s="1075" t="n"/>
      <c r="ET88" s="1075" t="n"/>
      <c r="EU88" s="1075" t="n"/>
      <c r="EV88" s="1075" t="n"/>
      <c r="FK88" s="1075" t="n"/>
      <c r="FL88" s="1075" t="n"/>
      <c r="FM88" s="1075" t="n"/>
      <c r="FN88" s="1075" t="n"/>
    </row>
    <row r="89" ht="45.75" customHeight="1" s="1025" thickBot="1">
      <c r="J89" s="490" t="inlineStr">
        <is>
          <t>ASSAISONNEMENT</t>
        </is>
      </c>
      <c r="K89" s="645" t="inlineStr">
        <is>
          <t>Mêlée de 150 kg</t>
        </is>
      </c>
      <c r="L89" s="645" t="inlineStr">
        <is>
          <t>Poids cumulés</t>
        </is>
      </c>
      <c r="M89" s="492" t="inlineStr">
        <is>
          <t>U</t>
        </is>
      </c>
      <c r="N89" s="493" t="inlineStr">
        <is>
          <t>%</t>
        </is>
      </c>
      <c r="P89" s="490" t="inlineStr">
        <is>
          <t>ASSAISONNEMENT</t>
        </is>
      </c>
      <c r="Q89" s="645" t="inlineStr">
        <is>
          <t>Mêlée de 150 kg</t>
        </is>
      </c>
      <c r="R89" s="645" t="inlineStr">
        <is>
          <t>Poids cumulés</t>
        </is>
      </c>
      <c r="S89" s="492" t="inlineStr">
        <is>
          <t>U</t>
        </is>
      </c>
      <c r="T89" s="493" t="inlineStr">
        <is>
          <t>%</t>
        </is>
      </c>
      <c r="V89" s="490" t="inlineStr">
        <is>
          <t>ASSAISONNEMENT</t>
        </is>
      </c>
      <c r="W89" s="645" t="inlineStr">
        <is>
          <t>Mêlée de 150 kg</t>
        </is>
      </c>
      <c r="X89" s="645" t="inlineStr">
        <is>
          <t>Poids cumulés</t>
        </is>
      </c>
      <c r="Y89" s="492" t="inlineStr">
        <is>
          <t>U</t>
        </is>
      </c>
      <c r="Z89" s="493" t="inlineStr">
        <is>
          <t>%</t>
        </is>
      </c>
      <c r="AB89" s="490" t="inlineStr">
        <is>
          <t>ASSAISONNEMENT</t>
        </is>
      </c>
      <c r="AC89" s="645" t="inlineStr">
        <is>
          <t>Mêlée de 150 kg</t>
        </is>
      </c>
      <c r="AD89" s="645" t="inlineStr">
        <is>
          <t>Poids cumulés</t>
        </is>
      </c>
      <c r="AE89" s="492" t="inlineStr">
        <is>
          <t>U</t>
        </is>
      </c>
      <c r="AF89" s="493" t="inlineStr">
        <is>
          <t>%</t>
        </is>
      </c>
      <c r="AH89" s="490" t="inlineStr">
        <is>
          <t>ASSAISONNEMENT</t>
        </is>
      </c>
      <c r="AI89" s="645" t="inlineStr">
        <is>
          <t>Mêlée de 150 kg</t>
        </is>
      </c>
      <c r="AJ89" s="645" t="inlineStr">
        <is>
          <t>Poids cumulés</t>
        </is>
      </c>
      <c r="AK89" s="492" t="inlineStr">
        <is>
          <t>U</t>
        </is>
      </c>
      <c r="AL89" s="493" t="inlineStr">
        <is>
          <t>%</t>
        </is>
      </c>
      <c r="AN89" s="490" t="inlineStr">
        <is>
          <t>ASSAISONNEMENT</t>
        </is>
      </c>
      <c r="AO89" s="645" t="inlineStr">
        <is>
          <t>Mêlée de 150 kg</t>
        </is>
      </c>
      <c r="AP89" s="645" t="inlineStr">
        <is>
          <t>Poids cumulés</t>
        </is>
      </c>
      <c r="AQ89" s="492" t="inlineStr">
        <is>
          <t>U</t>
        </is>
      </c>
      <c r="AR89" s="532" t="inlineStr">
        <is>
          <t>%</t>
        </is>
      </c>
      <c r="AT89" s="490" t="inlineStr">
        <is>
          <t>ASSAISONNEMENT</t>
        </is>
      </c>
      <c r="AU89" s="645" t="inlineStr">
        <is>
          <t>Mêlée de 150 kg</t>
        </is>
      </c>
      <c r="AV89" s="645" t="inlineStr">
        <is>
          <t>Poids cumulés</t>
        </is>
      </c>
      <c r="AW89" s="492" t="inlineStr">
        <is>
          <t>U</t>
        </is>
      </c>
      <c r="AX89" s="532" t="inlineStr">
        <is>
          <t>%</t>
        </is>
      </c>
      <c r="AZ89" s="490" t="inlineStr">
        <is>
          <t>ASSAISONNEMENT</t>
        </is>
      </c>
      <c r="BA89" s="645" t="inlineStr">
        <is>
          <t>Mêlée de 150 kg</t>
        </is>
      </c>
      <c r="BB89" s="645" t="inlineStr">
        <is>
          <t>Poids cumulés</t>
        </is>
      </c>
      <c r="BC89" s="492" t="inlineStr">
        <is>
          <t>U</t>
        </is>
      </c>
      <c r="BD89" s="532" t="inlineStr">
        <is>
          <t>%</t>
        </is>
      </c>
      <c r="BF89" s="490" t="inlineStr">
        <is>
          <t>ASSAISONNEMENT</t>
        </is>
      </c>
      <c r="BG89" s="645" t="inlineStr">
        <is>
          <t>Mêlée de 150 KG</t>
        </is>
      </c>
      <c r="BH89" s="645" t="inlineStr">
        <is>
          <t>Poids cumulés</t>
        </is>
      </c>
      <c r="BI89" s="492" t="inlineStr">
        <is>
          <t>U</t>
        </is>
      </c>
      <c r="BJ89" s="532" t="inlineStr">
        <is>
          <t>%</t>
        </is>
      </c>
      <c r="BL89" s="490" t="inlineStr">
        <is>
          <t>ASSAISONNEMENT</t>
        </is>
      </c>
      <c r="BM89" s="645" t="inlineStr">
        <is>
          <t>Mêlée de 150 kg</t>
        </is>
      </c>
      <c r="BN89" s="645" t="inlineStr">
        <is>
          <t>Poids cumulés</t>
        </is>
      </c>
      <c r="BO89" s="492" t="inlineStr">
        <is>
          <t>U</t>
        </is>
      </c>
      <c r="BP89" s="493" t="inlineStr">
        <is>
          <t>%</t>
        </is>
      </c>
      <c r="BR89" s="490" t="inlineStr">
        <is>
          <t>ASSAISONNEMENT</t>
        </is>
      </c>
      <c r="BS89" s="645" t="inlineStr">
        <is>
          <t>Mêlée de 150 kg</t>
        </is>
      </c>
      <c r="BT89" s="645" t="inlineStr">
        <is>
          <t>Poids cumulés</t>
        </is>
      </c>
      <c r="BU89" s="492" t="inlineStr">
        <is>
          <t>U</t>
        </is>
      </c>
      <c r="BV89" s="532" t="inlineStr">
        <is>
          <t>%</t>
        </is>
      </c>
      <c r="BX89" s="490" t="inlineStr">
        <is>
          <t>ASSAISONNEMENT</t>
        </is>
      </c>
      <c r="BY89" s="645" t="inlineStr">
        <is>
          <t>Mêlée de 150 kg</t>
        </is>
      </c>
      <c r="BZ89" s="645" t="inlineStr">
        <is>
          <t>Poids cumulés</t>
        </is>
      </c>
      <c r="CA89" s="492" t="inlineStr">
        <is>
          <t>U</t>
        </is>
      </c>
      <c r="CB89" s="532" t="inlineStr">
        <is>
          <t>%</t>
        </is>
      </c>
      <c r="CD89" s="490" t="inlineStr">
        <is>
          <t>ASSAISONNEMENT</t>
        </is>
      </c>
      <c r="CE89" s="645" t="inlineStr">
        <is>
          <t>Mêlée de 150 kg</t>
        </is>
      </c>
      <c r="CF89" s="645" t="inlineStr">
        <is>
          <t>Poids cumulés</t>
        </is>
      </c>
      <c r="CG89" s="492" t="inlineStr">
        <is>
          <t>U</t>
        </is>
      </c>
      <c r="CH89" s="532" t="inlineStr">
        <is>
          <t>%</t>
        </is>
      </c>
      <c r="CJ89" s="490" t="inlineStr">
        <is>
          <t>ASSAISONNEMENT</t>
        </is>
      </c>
      <c r="CK89" s="645" t="inlineStr">
        <is>
          <t>Mêlée de 150 kg</t>
        </is>
      </c>
      <c r="CL89" s="645" t="inlineStr">
        <is>
          <t>Poids cumulés</t>
        </is>
      </c>
      <c r="CM89" s="492" t="inlineStr">
        <is>
          <t>U</t>
        </is>
      </c>
      <c r="CN89" s="532" t="inlineStr">
        <is>
          <t>%</t>
        </is>
      </c>
      <c r="CP89" s="490" t="inlineStr">
        <is>
          <t>ASSAISONNEMENT</t>
        </is>
      </c>
      <c r="CQ89" s="645" t="inlineStr">
        <is>
          <t>Mêlée de 150 kg</t>
        </is>
      </c>
      <c r="CR89" s="645" t="inlineStr">
        <is>
          <t>Poids cumulés</t>
        </is>
      </c>
      <c r="CS89" s="492" t="inlineStr">
        <is>
          <t>U</t>
        </is>
      </c>
      <c r="CT89" s="532" t="inlineStr">
        <is>
          <t>%</t>
        </is>
      </c>
      <c r="CV89" s="490" t="inlineStr">
        <is>
          <t>ASSAISONNEMENT</t>
        </is>
      </c>
      <c r="CW89" s="645" t="inlineStr">
        <is>
          <t>Mêlée de 150 kg</t>
        </is>
      </c>
      <c r="CX89" s="645" t="inlineStr">
        <is>
          <t>Poids cumulés</t>
        </is>
      </c>
      <c r="CY89" s="492" t="inlineStr">
        <is>
          <t>U</t>
        </is>
      </c>
      <c r="CZ89" s="532" t="inlineStr">
        <is>
          <t>%</t>
        </is>
      </c>
      <c r="DB89" s="490" t="inlineStr">
        <is>
          <t>ASSAISONNEMENT</t>
        </is>
      </c>
      <c r="DC89" s="645" t="inlineStr">
        <is>
          <t>Mêlée de 150 kg</t>
        </is>
      </c>
      <c r="DD89" s="645" t="inlineStr">
        <is>
          <t>Poids cumulés</t>
        </is>
      </c>
      <c r="DE89" s="492" t="inlineStr">
        <is>
          <t>U</t>
        </is>
      </c>
      <c r="DF89" s="532" t="inlineStr">
        <is>
          <t>%</t>
        </is>
      </c>
      <c r="DH89" s="490" t="inlineStr">
        <is>
          <t>ASSAISONNEMENT</t>
        </is>
      </c>
      <c r="DI89" s="645" t="inlineStr">
        <is>
          <t>Mêlée de 150 kg</t>
        </is>
      </c>
      <c r="DJ89" s="645" t="inlineStr">
        <is>
          <t>Poids cumulés</t>
        </is>
      </c>
      <c r="DK89" s="492" t="inlineStr">
        <is>
          <t>U</t>
        </is>
      </c>
      <c r="DL89" s="532" t="inlineStr">
        <is>
          <t>%</t>
        </is>
      </c>
      <c r="DN89" s="490" t="inlineStr">
        <is>
          <t>ASSAISONNEMENT</t>
        </is>
      </c>
      <c r="DO89" s="645" t="inlineStr">
        <is>
          <t>Mêlée de 150 kg</t>
        </is>
      </c>
      <c r="DP89" s="645" t="inlineStr">
        <is>
          <t>Poids cumulés</t>
        </is>
      </c>
      <c r="DQ89" s="492" t="inlineStr">
        <is>
          <t>U</t>
        </is>
      </c>
      <c r="DR89" s="493" t="inlineStr">
        <is>
          <t>%</t>
        </is>
      </c>
      <c r="DT89" s="490" t="inlineStr">
        <is>
          <t>ASSAISONNEMENT</t>
        </is>
      </c>
      <c r="DU89" s="645" t="inlineStr">
        <is>
          <t>Mêlée de 150 kg</t>
        </is>
      </c>
      <c r="DV89" s="645" t="inlineStr">
        <is>
          <t>Poids cumulés</t>
        </is>
      </c>
      <c r="DW89" s="492" t="inlineStr">
        <is>
          <t>U</t>
        </is>
      </c>
      <c r="DX89" s="493" t="inlineStr">
        <is>
          <t>%</t>
        </is>
      </c>
      <c r="DZ89" s="490" t="inlineStr">
        <is>
          <t>ASSAISONNEMENT</t>
        </is>
      </c>
      <c r="EA89" s="645" t="inlineStr">
        <is>
          <t>Mêlée de 150 kg</t>
        </is>
      </c>
      <c r="EB89" s="645" t="inlineStr">
        <is>
          <t>Poids cumulés</t>
        </is>
      </c>
      <c r="EC89" s="492" t="inlineStr">
        <is>
          <t>U</t>
        </is>
      </c>
      <c r="ED89" s="493" t="inlineStr">
        <is>
          <t>%</t>
        </is>
      </c>
      <c r="EF89" s="490" t="inlineStr">
        <is>
          <t>ASSAISONNEMENT</t>
        </is>
      </c>
      <c r="EG89" s="645" t="inlineStr">
        <is>
          <t>Mêlée de 150 kg</t>
        </is>
      </c>
      <c r="EH89" s="645" t="inlineStr">
        <is>
          <t>Poids cumulés</t>
        </is>
      </c>
      <c r="EI89" s="492" t="inlineStr">
        <is>
          <t>U</t>
        </is>
      </c>
      <c r="EJ89" s="493" t="inlineStr">
        <is>
          <t>%</t>
        </is>
      </c>
      <c r="EL89" s="490" t="inlineStr">
        <is>
          <t>ASSAISONNEMENT</t>
        </is>
      </c>
      <c r="EM89" s="645" t="inlineStr">
        <is>
          <t>Mêlée de 150 kg</t>
        </is>
      </c>
      <c r="EN89" s="645" t="inlineStr">
        <is>
          <t>Poids cumulés</t>
        </is>
      </c>
      <c r="EO89" s="492" t="inlineStr">
        <is>
          <t>U</t>
        </is>
      </c>
      <c r="EP89" s="493" t="inlineStr">
        <is>
          <t>%</t>
        </is>
      </c>
      <c r="ER89" s="490" t="inlineStr">
        <is>
          <t>ASSAISONNEMENT</t>
        </is>
      </c>
      <c r="ES89" s="645" t="inlineStr">
        <is>
          <t>Mêlée de 150 kg</t>
        </is>
      </c>
      <c r="ET89" s="645" t="inlineStr">
        <is>
          <t>Poids cumulés</t>
        </is>
      </c>
      <c r="EU89" s="492" t="inlineStr">
        <is>
          <t>U</t>
        </is>
      </c>
      <c r="EV89" s="493" t="inlineStr">
        <is>
          <t>%</t>
        </is>
      </c>
      <c r="EX89" s="490" t="inlineStr">
        <is>
          <t>ASSAISONNEMENT</t>
        </is>
      </c>
      <c r="EY89" s="645" t="inlineStr">
        <is>
          <t>Mêlée de 150 kg</t>
        </is>
      </c>
      <c r="EZ89" s="645" t="inlineStr">
        <is>
          <t>Poids cumulés</t>
        </is>
      </c>
      <c r="FA89" s="492" t="inlineStr">
        <is>
          <t>U</t>
        </is>
      </c>
      <c r="FB89" s="493" t="inlineStr">
        <is>
          <t>%</t>
        </is>
      </c>
      <c r="FD89" s="490" t="inlineStr">
        <is>
          <t>ASSAISONNEMENT</t>
        </is>
      </c>
      <c r="FE89" s="645" t="inlineStr">
        <is>
          <t>Mêlée de 150 kg</t>
        </is>
      </c>
      <c r="FF89" s="645" t="inlineStr">
        <is>
          <t>Poids cumulés</t>
        </is>
      </c>
      <c r="FG89" s="492" t="inlineStr">
        <is>
          <t>U</t>
        </is>
      </c>
      <c r="FH89" s="493" t="inlineStr">
        <is>
          <t>%</t>
        </is>
      </c>
      <c r="FJ89" s="490" t="inlineStr">
        <is>
          <t>ASSAISONNEMENT</t>
        </is>
      </c>
      <c r="FK89" s="645" t="inlineStr">
        <is>
          <t>Mêlée de 150 kg</t>
        </is>
      </c>
      <c r="FL89" s="645" t="inlineStr">
        <is>
          <t>Poids cumulés</t>
        </is>
      </c>
      <c r="FM89" s="492" t="inlineStr">
        <is>
          <t>U</t>
        </is>
      </c>
      <c r="FN89" s="493" t="inlineStr">
        <is>
          <t>%</t>
        </is>
      </c>
    </row>
    <row r="90">
      <c r="J90" s="662" t="inlineStr">
        <is>
          <t>SEL NITRITE</t>
        </is>
      </c>
      <c r="K90" s="646">
        <f>'Spécialité Autres'!B54</f>
        <v/>
      </c>
      <c r="L90" s="646">
        <f>K90</f>
        <v/>
      </c>
      <c r="M90" s="646" t="inlineStr">
        <is>
          <t>kg</t>
        </is>
      </c>
      <c r="N90" s="675">
        <f>K90*100/($K$85+SUM($K$90:$K$96,$K$98:$K$100))</f>
        <v/>
      </c>
      <c r="P90" s="729" t="inlineStr">
        <is>
          <t>SEL NITRITE</t>
        </is>
      </c>
      <c r="Q90" s="620">
        <f>'Haché Moyen'!P6</f>
        <v/>
      </c>
      <c r="R90" s="730">
        <f>Q90</f>
        <v/>
      </c>
      <c r="S90" s="646" t="inlineStr">
        <is>
          <t>kg</t>
        </is>
      </c>
      <c r="T90" s="675">
        <f>Q90*100/($Q$85+SUM($Q$90:$Q$96))</f>
        <v/>
      </c>
      <c r="V90" s="717" t="inlineStr">
        <is>
          <t>SEL NITRITE</t>
        </is>
      </c>
      <c r="W90" s="652">
        <f>'Haché Moyen'!P6</f>
        <v/>
      </c>
      <c r="X90" s="721">
        <f>W90</f>
        <v/>
      </c>
      <c r="Y90" s="653" t="inlineStr">
        <is>
          <t>kg</t>
        </is>
      </c>
      <c r="Z90" s="689">
        <f>W90*100/($W$85+SUM($W$90:$W$96))</f>
        <v/>
      </c>
      <c r="AB90" s="717" t="inlineStr">
        <is>
          <t>SEL NITRITE</t>
        </is>
      </c>
      <c r="AC90" s="652">
        <f>'Haché Moyen'!P6</f>
        <v/>
      </c>
      <c r="AD90" s="721">
        <f>AC90</f>
        <v/>
      </c>
      <c r="AE90" s="653" t="inlineStr">
        <is>
          <t>kg</t>
        </is>
      </c>
      <c r="AF90" s="689">
        <f>AC90*100/($AC$85+SUM($AC$90:$AC$96))</f>
        <v/>
      </c>
      <c r="AH90" s="729" t="inlineStr">
        <is>
          <t>SEL NITRITE</t>
        </is>
      </c>
      <c r="AI90" s="620">
        <f>'Haché Moyen'!P6</f>
        <v/>
      </c>
      <c r="AJ90" s="730">
        <f>AI90</f>
        <v/>
      </c>
      <c r="AK90" s="646" t="inlineStr">
        <is>
          <t>kg</t>
        </is>
      </c>
      <c r="AL90" s="675">
        <f>AI90*100/($AI$85+SUM($AI$90:$AI$96))</f>
        <v/>
      </c>
      <c r="AN90" s="741" t="inlineStr">
        <is>
          <t>SEL NITRITE</t>
        </is>
      </c>
      <c r="AO90" s="620">
        <f>'Spécialité Autres'!N54</f>
        <v/>
      </c>
      <c r="AP90" s="620">
        <f>AO90</f>
        <v/>
      </c>
      <c r="AQ90" s="646" t="inlineStr">
        <is>
          <t>kg</t>
        </is>
      </c>
      <c r="AR90" s="675">
        <f>AO90*100/($AO$85+SUM($AO$90:$AO$96,$AO$98))</f>
        <v/>
      </c>
      <c r="AT90" s="662" t="inlineStr">
        <is>
          <t>SEL NITRITE</t>
        </is>
      </c>
      <c r="AU90" s="620">
        <f>'Spécialité Fromagère'!B6</f>
        <v/>
      </c>
      <c r="AV90" s="620">
        <f>AU90</f>
        <v/>
      </c>
      <c r="AW90" s="646" t="inlineStr">
        <is>
          <t>kg</t>
        </is>
      </c>
      <c r="AX90" s="675">
        <f>AU90*100/($AU$85+SUM($AU$90:$AU$96,$AU$98))</f>
        <v/>
      </c>
      <c r="AZ90" s="662" t="inlineStr">
        <is>
          <t>SEL NITRITE</t>
        </is>
      </c>
      <c r="BA90" s="620">
        <f>'Spécialité Autres'!B6</f>
        <v/>
      </c>
      <c r="BB90" s="620">
        <f>BA90</f>
        <v/>
      </c>
      <c r="BC90" s="646" t="inlineStr">
        <is>
          <t>kg</t>
        </is>
      </c>
      <c r="BD90" s="675">
        <f>BA90*100/($BA$85+SUM($BA$90:$BA$96,$BA$98))</f>
        <v/>
      </c>
      <c r="BF90" s="662" t="inlineStr">
        <is>
          <t>SEL NITRITE</t>
        </is>
      </c>
      <c r="BG90" s="620">
        <f>'Spécialité Autres'!H6</f>
        <v/>
      </c>
      <c r="BH90" s="620" t="n">
        <v>1.5</v>
      </c>
      <c r="BI90" s="646" t="inlineStr">
        <is>
          <t>kg</t>
        </is>
      </c>
      <c r="BJ90" s="675">
        <f>BG90*100/($BG$85+SUM($BG$90:$BG$96,$BG$98))</f>
        <v/>
      </c>
      <c r="BL90" s="662" t="inlineStr">
        <is>
          <t>SEL NITRITE</t>
        </is>
      </c>
      <c r="BM90" s="620">
        <f>'Haché Moyen'!$P$6</f>
        <v/>
      </c>
      <c r="BN90" s="620">
        <f>BM90</f>
        <v/>
      </c>
      <c r="BO90" s="646" t="inlineStr">
        <is>
          <t>kg</t>
        </is>
      </c>
      <c r="BP90" s="675">
        <f>BM90*100/($BM$85+SUM($BM$90:$BM$96))</f>
        <v/>
      </c>
      <c r="BR90" s="667" t="inlineStr">
        <is>
          <t>SEL NITRITE</t>
        </is>
      </c>
      <c r="BS90" s="620">
        <f>'Spécialité Autres'!B36</f>
        <v/>
      </c>
      <c r="BT90" s="620">
        <f>BS90</f>
        <v/>
      </c>
      <c r="BU90" s="646" t="inlineStr">
        <is>
          <t>kg</t>
        </is>
      </c>
      <c r="BV90" s="675">
        <f>BS90*100/($BS$85+SUM($BS$90:$BS$96,$BS$98))</f>
        <v/>
      </c>
      <c r="BX90" s="667" t="inlineStr">
        <is>
          <t>SEL NITRITE</t>
        </is>
      </c>
      <c r="BY90" s="620">
        <f>'Spécialité Autres'!N6</f>
        <v/>
      </c>
      <c r="BZ90" s="620">
        <f>BY90</f>
        <v/>
      </c>
      <c r="CA90" s="646" t="inlineStr">
        <is>
          <t>kg</t>
        </is>
      </c>
      <c r="CB90" s="675">
        <f>BY90*100/($BY$85+SUM($BY$90:$BY$96,$BY$98))</f>
        <v/>
      </c>
      <c r="CD90" s="667" t="inlineStr">
        <is>
          <t>SEL NITRITE</t>
        </is>
      </c>
      <c r="CE90" s="620">
        <f>'Spécialité Autres'!B20</f>
        <v/>
      </c>
      <c r="CF90" s="620">
        <f>CE90</f>
        <v/>
      </c>
      <c r="CG90" s="646" t="inlineStr">
        <is>
          <t>kg</t>
        </is>
      </c>
      <c r="CH90" s="675">
        <f>CE90*100/($CE$85+SUM($CE$90:$CE$96,$CE$98))</f>
        <v/>
      </c>
      <c r="CJ90" s="667" t="inlineStr">
        <is>
          <t>SEL NITRITE</t>
        </is>
      </c>
      <c r="CK90" s="620">
        <f>'Spécialité Autres'!H36</f>
        <v/>
      </c>
      <c r="CL90" s="620">
        <f>CK90</f>
        <v/>
      </c>
      <c r="CM90" s="646" t="inlineStr">
        <is>
          <t>kg</t>
        </is>
      </c>
      <c r="CN90" s="675">
        <f>CK90*100/($CK$85+SUM($CK$90:$CK$96,$CK$98:$CK$100))</f>
        <v/>
      </c>
      <c r="CP90" s="667" t="inlineStr">
        <is>
          <t>SEL NITRITE</t>
        </is>
      </c>
      <c r="CQ90" s="620">
        <f>'Spécialité Autres'!H20</f>
        <v/>
      </c>
      <c r="CR90" s="620">
        <f>CQ90</f>
        <v/>
      </c>
      <c r="CS90" s="646" t="inlineStr">
        <is>
          <t>kg</t>
        </is>
      </c>
      <c r="CT90" s="675">
        <f>CQ90*100/($CQ$85+SUM($CQ$90:$CQ$96,$CQ$98))</f>
        <v/>
      </c>
      <c r="CV90" s="667" t="inlineStr">
        <is>
          <t>SEL NITRITE</t>
        </is>
      </c>
      <c r="CW90" s="620">
        <f>'Spécialité Autres'!H54</f>
        <v/>
      </c>
      <c r="CX90" s="620">
        <f>CW90</f>
        <v/>
      </c>
      <c r="CY90" s="646" t="inlineStr">
        <is>
          <t>kg</t>
        </is>
      </c>
      <c r="CZ90" s="675">
        <f>CW90*100/($CW$85+SUM($CW$90:$CW$96,$CW$98))</f>
        <v/>
      </c>
      <c r="DB90" s="667" t="inlineStr">
        <is>
          <t>SEL NITRITE</t>
        </is>
      </c>
      <c r="DC90" s="620">
        <f>'Spécialité Autres'!N70</f>
        <v/>
      </c>
      <c r="DD90" s="620">
        <f>DC90</f>
        <v/>
      </c>
      <c r="DE90" s="646" t="inlineStr">
        <is>
          <t>kg</t>
        </is>
      </c>
      <c r="DF90" s="675">
        <f>DC90*100/($DC$85+SUM($DC$90:$DC$96,$DC$98))</f>
        <v/>
      </c>
      <c r="DH90" s="667" t="inlineStr">
        <is>
          <t>SEL NITRITE</t>
        </is>
      </c>
      <c r="DI90" s="620">
        <f>'Spécialité Autres'!N20</f>
        <v/>
      </c>
      <c r="DJ90" s="620">
        <f>DI90</f>
        <v/>
      </c>
      <c r="DK90" s="646" t="inlineStr">
        <is>
          <t>kg</t>
        </is>
      </c>
      <c r="DL90" s="675">
        <f>DI90*100/($DI$85+SUM($DI$90:$DI$96,$DI$98))</f>
        <v/>
      </c>
      <c r="DN90" s="662" t="inlineStr">
        <is>
          <t>SEL NITRITE</t>
        </is>
      </c>
      <c r="DO90" s="620">
        <f>'Haché Moyen'!$P$6</f>
        <v/>
      </c>
      <c r="DP90" s="620">
        <f>DO90</f>
        <v/>
      </c>
      <c r="DQ90" s="646" t="inlineStr">
        <is>
          <t>kg</t>
        </is>
      </c>
      <c r="DR90" s="675">
        <f>DO90*100/($DO$85+SUM($DO$90:$DO$96))</f>
        <v/>
      </c>
      <c r="DT90" s="667" t="inlineStr">
        <is>
          <t>SEL NITRITE</t>
        </is>
      </c>
      <c r="DU90" s="620">
        <f>'Spécialité carnée'!B21</f>
        <v/>
      </c>
      <c r="DV90" s="620">
        <f>DU90</f>
        <v/>
      </c>
      <c r="DW90" s="646" t="inlineStr">
        <is>
          <t>kg</t>
        </is>
      </c>
      <c r="DX90" s="675">
        <f>DU90*100/($DU$86+SUM($DU$90:$DU$96))</f>
        <v/>
      </c>
      <c r="DZ90" s="667" t="inlineStr">
        <is>
          <t>SEL NITRITE</t>
        </is>
      </c>
      <c r="EA90" s="620">
        <f>'Spécialité Fromagère'!B21</f>
        <v/>
      </c>
      <c r="EB90" s="620">
        <f>EA90</f>
        <v/>
      </c>
      <c r="EC90" s="646" t="inlineStr">
        <is>
          <t>kg</t>
        </is>
      </c>
      <c r="ED90" s="675">
        <f>EA90*100/($EA$85+SUM($EA$90:$EA$96,$EA$98))</f>
        <v/>
      </c>
      <c r="EF90" s="667" t="inlineStr">
        <is>
          <t>SEL NITRITE</t>
        </is>
      </c>
      <c r="EG90" s="620">
        <f>'Spécialité carnée'!H21</f>
        <v/>
      </c>
      <c r="EH90" s="620">
        <f>EG90</f>
        <v/>
      </c>
      <c r="EI90" s="646" t="inlineStr">
        <is>
          <t>kg</t>
        </is>
      </c>
      <c r="EJ90" s="675">
        <f>EG90*100/($EG$86+SUM($EG$90:$EG$96))</f>
        <v/>
      </c>
      <c r="EL90" s="667" t="inlineStr">
        <is>
          <t>SEL NITRITE</t>
        </is>
      </c>
      <c r="EM90" s="620">
        <f>'Spécialité Autres'!N36</f>
        <v/>
      </c>
      <c r="EN90" s="620">
        <f>EM90</f>
        <v/>
      </c>
      <c r="EO90" s="646" t="inlineStr">
        <is>
          <t>kg</t>
        </is>
      </c>
      <c r="EP90" s="675">
        <f>EM90*100/($EM$85+SUM($EM$90:$EM$96,$EM$98))</f>
        <v/>
      </c>
      <c r="ER90" s="667" t="inlineStr">
        <is>
          <t>SEL NITRITE</t>
        </is>
      </c>
      <c r="ES90" s="620">
        <f>'Spécialité carnée'!B6</f>
        <v/>
      </c>
      <c r="ET90" s="620">
        <f>ES90</f>
        <v/>
      </c>
      <c r="EU90" s="646" t="inlineStr">
        <is>
          <t>kg</t>
        </is>
      </c>
      <c r="EV90" s="675">
        <f>ES90*100/($ES$86+SUM($ES$90:$ES$96))</f>
        <v/>
      </c>
      <c r="EX90" s="667" t="inlineStr">
        <is>
          <t>SEL NITRITE</t>
        </is>
      </c>
      <c r="EY90" s="620">
        <f>'Spécialité Fromagère'!H21</f>
        <v/>
      </c>
      <c r="EZ90" s="620">
        <f>EY90</f>
        <v/>
      </c>
      <c r="FA90" s="646" t="inlineStr">
        <is>
          <t>kg</t>
        </is>
      </c>
      <c r="FB90" s="675">
        <f>EY90*100/($EY$85+SUM($EY$90:$EY$96,$EY$98:$EY$99))</f>
        <v/>
      </c>
      <c r="FD90" s="667" t="inlineStr">
        <is>
          <t>SEL NITRITE</t>
        </is>
      </c>
      <c r="FE90" s="620">
        <f>'Spécialité Fromagère'!H6</f>
        <v/>
      </c>
      <c r="FF90" s="620">
        <f>FE90</f>
        <v/>
      </c>
      <c r="FG90" s="646" t="inlineStr">
        <is>
          <t>kg</t>
        </is>
      </c>
      <c r="FH90" s="675">
        <f>FE90*100/($FE$85+SUM($FE$90:$FE$96,$FE$98))</f>
        <v/>
      </c>
      <c r="FJ90" s="667" t="inlineStr">
        <is>
          <t>SEL NITRITE</t>
        </is>
      </c>
      <c r="FK90" s="620">
        <f>'Spécialité carnée'!H6</f>
        <v/>
      </c>
      <c r="FL90" s="620">
        <f>FK90</f>
        <v/>
      </c>
      <c r="FM90" s="646" t="inlineStr">
        <is>
          <t>kg</t>
        </is>
      </c>
      <c r="FN90" s="675">
        <f>FK90*100/($FK$86+SUM($FK$90:$FK$96))</f>
        <v/>
      </c>
    </row>
    <row r="91">
      <c r="J91" s="591" t="inlineStr">
        <is>
          <t xml:space="preserve">SEL </t>
        </is>
      </c>
      <c r="K91" s="647">
        <f>'Spécialité Autres'!B55</f>
        <v/>
      </c>
      <c r="L91" s="647">
        <f>L90+K91</f>
        <v/>
      </c>
      <c r="M91" s="647" t="inlineStr">
        <is>
          <t>kg</t>
        </is>
      </c>
      <c r="N91" s="690">
        <f>K91*100/($K$85+SUM($K$90:$K$96,$K$98:$K$100))</f>
        <v/>
      </c>
      <c r="P91" s="718" t="inlineStr">
        <is>
          <t xml:space="preserve">SEL </t>
        </is>
      </c>
      <c r="Q91" s="621">
        <f>'Haché Moyen'!P7</f>
        <v/>
      </c>
      <c r="R91" s="722">
        <f>R90+Q91</f>
        <v/>
      </c>
      <c r="S91" s="647" t="inlineStr">
        <is>
          <t>kg</t>
        </is>
      </c>
      <c r="T91" s="676">
        <f>Q91*100/($Q$85+SUM($Q$90:$Q$96))</f>
        <v/>
      </c>
      <c r="V91" s="718" t="inlineStr">
        <is>
          <t xml:space="preserve">SEL </t>
        </is>
      </c>
      <c r="W91" s="617">
        <f>'Haché Moyen'!P7</f>
        <v/>
      </c>
      <c r="X91" s="722">
        <f>X90+W91</f>
        <v/>
      </c>
      <c r="Y91" s="647" t="inlineStr">
        <is>
          <t>kg</t>
        </is>
      </c>
      <c r="Z91" s="676">
        <f>W91*100/($W$85+SUM($W$90:$W$96))</f>
        <v/>
      </c>
      <c r="AB91" s="718" t="inlineStr">
        <is>
          <t xml:space="preserve">SEL </t>
        </is>
      </c>
      <c r="AC91" s="621">
        <f>'Haché Moyen'!P7</f>
        <v/>
      </c>
      <c r="AD91" s="722">
        <f>AD90+AC91</f>
        <v/>
      </c>
      <c r="AE91" s="647" t="inlineStr">
        <is>
          <t>kg</t>
        </is>
      </c>
      <c r="AF91" s="690">
        <f>AC91*100/($AC$85+SUM($AC$90:$AC$96))</f>
        <v/>
      </c>
      <c r="AH91" s="718" t="inlineStr">
        <is>
          <t xml:space="preserve">SEL </t>
        </is>
      </c>
      <c r="AI91" s="621">
        <f>'Haché Moyen'!P7</f>
        <v/>
      </c>
      <c r="AJ91" s="722">
        <f>AJ90+AI91</f>
        <v/>
      </c>
      <c r="AK91" s="647" t="inlineStr">
        <is>
          <t>kg</t>
        </is>
      </c>
      <c r="AL91" s="690">
        <f>AI91*100/($AI$85+SUM($AI$90:$AI$96))</f>
        <v/>
      </c>
      <c r="AN91" s="740" t="inlineStr">
        <is>
          <t xml:space="preserve">SEL </t>
        </is>
      </c>
      <c r="AO91" s="621">
        <f>'Spécialité Autres'!N55</f>
        <v/>
      </c>
      <c r="AP91" s="621">
        <f>AP90+AO91</f>
        <v/>
      </c>
      <c r="AQ91" s="647" t="inlineStr">
        <is>
          <t>kg</t>
        </is>
      </c>
      <c r="AR91" s="690">
        <f>AO91*100/($AO$85+SUM($AO$90:$AO$96,$AO$98))</f>
        <v/>
      </c>
      <c r="AT91" s="591" t="inlineStr">
        <is>
          <t xml:space="preserve">SEL </t>
        </is>
      </c>
      <c r="AU91" s="621">
        <f>'Spécialité Fromagère'!B7</f>
        <v/>
      </c>
      <c r="AV91" s="621">
        <f>AV90+AU91</f>
        <v/>
      </c>
      <c r="AW91" s="647" t="inlineStr">
        <is>
          <t>kg</t>
        </is>
      </c>
      <c r="AX91" s="690">
        <f>AU91*100/($AU$85+SUM($AU$90:$AU$96,$AU$98))</f>
        <v/>
      </c>
      <c r="AZ91" s="591" t="inlineStr">
        <is>
          <t xml:space="preserve">SEL </t>
        </is>
      </c>
      <c r="BA91" s="621">
        <f>'Spécialité Autres'!B7</f>
        <v/>
      </c>
      <c r="BB91" s="621">
        <f>BB90+BA91</f>
        <v/>
      </c>
      <c r="BC91" s="647" t="inlineStr">
        <is>
          <t>kg</t>
        </is>
      </c>
      <c r="BD91" s="690">
        <f>BA91*100/($BA$85+SUM($BA$90:$BA$96,$BA$98))</f>
        <v/>
      </c>
      <c r="BF91" s="591" t="inlineStr">
        <is>
          <t xml:space="preserve">SEL </t>
        </is>
      </c>
      <c r="BG91" s="621">
        <f>'Spécialité Autres'!H7</f>
        <v/>
      </c>
      <c r="BH91" s="621" t="n">
        <v>3.9</v>
      </c>
      <c r="BI91" s="647" t="inlineStr">
        <is>
          <t>kg</t>
        </is>
      </c>
      <c r="BJ91" s="676">
        <f>BG91*100/($BG$85+SUM($BG$90:$BG$96,$BG$98))</f>
        <v/>
      </c>
      <c r="BL91" s="591" t="inlineStr">
        <is>
          <t xml:space="preserve">SEL </t>
        </is>
      </c>
      <c r="BM91" s="621">
        <f>'Haché Moyen'!$P$7</f>
        <v/>
      </c>
      <c r="BN91" s="621">
        <f>BN90+BM91</f>
        <v/>
      </c>
      <c r="BO91" s="647" t="inlineStr">
        <is>
          <t>kg</t>
        </is>
      </c>
      <c r="BP91" s="690">
        <f>BM91*100/($BM$85+SUM($BM$90:$BM$96))</f>
        <v/>
      </c>
      <c r="BR91" s="698" t="inlineStr">
        <is>
          <t xml:space="preserve">SEL </t>
        </is>
      </c>
      <c r="BS91" s="621">
        <f>'Spécialité Autres'!B37</f>
        <v/>
      </c>
      <c r="BT91" s="621">
        <f>BT90+BS91</f>
        <v/>
      </c>
      <c r="BU91" s="647" t="inlineStr">
        <is>
          <t>kg</t>
        </is>
      </c>
      <c r="BV91" s="676">
        <f>BS91*100/($BS$85+SUM($BS$90:$BS$96,$BS$98))</f>
        <v/>
      </c>
      <c r="BX91" s="698" t="inlineStr">
        <is>
          <t xml:space="preserve">SEL </t>
        </is>
      </c>
      <c r="BY91" s="621">
        <f>'Spécialité Autres'!N7</f>
        <v/>
      </c>
      <c r="BZ91" s="621">
        <f>BZ90+BY91</f>
        <v/>
      </c>
      <c r="CA91" s="647" t="inlineStr">
        <is>
          <t>kg</t>
        </is>
      </c>
      <c r="CB91" s="676">
        <f>BY91*100/($BY$85+SUM($BY$90:$BY$96,$BY$98))</f>
        <v/>
      </c>
      <c r="CD91" s="698" t="inlineStr">
        <is>
          <t xml:space="preserve">SEL </t>
        </is>
      </c>
      <c r="CE91" s="621">
        <f>'Spécialité Autres'!B21</f>
        <v/>
      </c>
      <c r="CF91" s="621">
        <f>CF90+CE91</f>
        <v/>
      </c>
      <c r="CG91" s="647" t="inlineStr">
        <is>
          <t>kg</t>
        </is>
      </c>
      <c r="CH91" s="676">
        <f>CE91*100/($CE$85+SUM($CE$90:$CE$96,$CE$98))</f>
        <v/>
      </c>
      <c r="CJ91" s="698" t="inlineStr">
        <is>
          <t xml:space="preserve">SEL </t>
        </is>
      </c>
      <c r="CK91" s="621">
        <f>'Spécialité Autres'!H37</f>
        <v/>
      </c>
      <c r="CL91" s="621">
        <f>CL90+CK91</f>
        <v/>
      </c>
      <c r="CM91" s="647" t="inlineStr">
        <is>
          <t>kg</t>
        </is>
      </c>
      <c r="CN91" s="676">
        <f>CK91*100/($CK$85+SUM($CK$90:$CK$96,$CK$98:$CK$100))</f>
        <v/>
      </c>
      <c r="CP91" s="698" t="inlineStr">
        <is>
          <t xml:space="preserve">SEL </t>
        </is>
      </c>
      <c r="CQ91" s="621">
        <f>'Spécialité Autres'!H21</f>
        <v/>
      </c>
      <c r="CR91" s="621">
        <f>CR90+CQ91</f>
        <v/>
      </c>
      <c r="CS91" s="647" t="inlineStr">
        <is>
          <t>kg</t>
        </is>
      </c>
      <c r="CT91" s="676">
        <f>CQ91*100/($CQ$85+SUM($CQ$90:$CQ$96,$CQ$98))</f>
        <v/>
      </c>
      <c r="CV91" s="698" t="inlineStr">
        <is>
          <t xml:space="preserve">SEL </t>
        </is>
      </c>
      <c r="CW91" s="621">
        <f>'Spécialité Autres'!H55</f>
        <v/>
      </c>
      <c r="CX91" s="621">
        <f>CX90+CW91</f>
        <v/>
      </c>
      <c r="CY91" s="647" t="inlineStr">
        <is>
          <t>kg</t>
        </is>
      </c>
      <c r="CZ91" s="676">
        <f>CW91*100/($CW$85+SUM($CW$90:$CW$96,$CW$98))</f>
        <v/>
      </c>
      <c r="DB91" s="698" t="inlineStr">
        <is>
          <t xml:space="preserve">SEL </t>
        </is>
      </c>
      <c r="DC91" s="621">
        <f>'Spécialité Autres'!N71</f>
        <v/>
      </c>
      <c r="DD91" s="621">
        <f>DD90+DC91</f>
        <v/>
      </c>
      <c r="DE91" s="647" t="inlineStr">
        <is>
          <t>kg</t>
        </is>
      </c>
      <c r="DF91" s="676">
        <f>DC91*100/($DC$85+SUM($DC$90:$DC$96,$DC$98))</f>
        <v/>
      </c>
      <c r="DH91" s="698" t="inlineStr">
        <is>
          <t xml:space="preserve">SEL </t>
        </is>
      </c>
      <c r="DI91" s="621">
        <f>'Spécialité Autres'!N21</f>
        <v/>
      </c>
      <c r="DJ91" s="621">
        <f>DJ90+DI91</f>
        <v/>
      </c>
      <c r="DK91" s="647" t="inlineStr">
        <is>
          <t>kg</t>
        </is>
      </c>
      <c r="DL91" s="676">
        <f>DI91*100/($DI$85+SUM($DI$90:$DI$96,$DI$98))</f>
        <v/>
      </c>
      <c r="DN91" s="591" t="inlineStr">
        <is>
          <t xml:space="preserve">SEL </t>
        </is>
      </c>
      <c r="DO91" s="621">
        <f>'Haché Moyen'!$P$7</f>
        <v/>
      </c>
      <c r="DP91" s="621">
        <f>DP90+DO91</f>
        <v/>
      </c>
      <c r="DQ91" s="647" t="inlineStr">
        <is>
          <t>kg</t>
        </is>
      </c>
      <c r="DR91" s="676">
        <f>DO91*100/($DO$85+SUM($DO$90:$DO$96))</f>
        <v/>
      </c>
      <c r="DT91" s="698" t="inlineStr">
        <is>
          <t xml:space="preserve">SEL </t>
        </is>
      </c>
      <c r="DU91" s="621">
        <f>'Spécialité carnée'!B22</f>
        <v/>
      </c>
      <c r="DV91" s="621">
        <f>DV90+DU91</f>
        <v/>
      </c>
      <c r="DW91" s="647" t="inlineStr">
        <is>
          <t>kg</t>
        </is>
      </c>
      <c r="DX91" s="676">
        <f>DU91*100/($DU$86+SUM($DU$90:$DU$96))</f>
        <v/>
      </c>
      <c r="DZ91" s="698" t="inlineStr">
        <is>
          <t xml:space="preserve">SEL </t>
        </is>
      </c>
      <c r="EA91" s="621">
        <f>'Spécialité Fromagère'!B22</f>
        <v/>
      </c>
      <c r="EB91" s="621">
        <f>EB90+EA91</f>
        <v/>
      </c>
      <c r="EC91" s="647" t="inlineStr">
        <is>
          <t>kg</t>
        </is>
      </c>
      <c r="ED91" s="676">
        <f>EA91*100/($EA$85+SUM($EA$90:$EA$96,$EA$98))</f>
        <v/>
      </c>
      <c r="EF91" s="698" t="inlineStr">
        <is>
          <t xml:space="preserve">SEL </t>
        </is>
      </c>
      <c r="EG91" s="621">
        <f>'Spécialité carnée'!H22</f>
        <v/>
      </c>
      <c r="EH91" s="621">
        <f>EH90+EG91</f>
        <v/>
      </c>
      <c r="EI91" s="647" t="inlineStr">
        <is>
          <t>kg</t>
        </is>
      </c>
      <c r="EJ91" s="676">
        <f>EG91*100/($EG$86+SUM($EG$90:$EG$96))</f>
        <v/>
      </c>
      <c r="EL91" s="698" t="inlineStr">
        <is>
          <t xml:space="preserve">SEL </t>
        </is>
      </c>
      <c r="EM91" s="621">
        <f>'Spécialité Autres'!N37</f>
        <v/>
      </c>
      <c r="EN91" s="621">
        <f>EN90+EM91</f>
        <v/>
      </c>
      <c r="EO91" s="647" t="inlineStr">
        <is>
          <t>kg</t>
        </is>
      </c>
      <c r="EP91" s="676">
        <f>EM91*100/($EM$85+SUM($EM$90:$EM$96,$EM$98))</f>
        <v/>
      </c>
      <c r="ER91" s="698" t="inlineStr">
        <is>
          <t xml:space="preserve">SEL </t>
        </is>
      </c>
      <c r="ES91" s="621">
        <f>'Spécialité carnée'!B7</f>
        <v/>
      </c>
      <c r="ET91" s="621">
        <f>ET90+ES91</f>
        <v/>
      </c>
      <c r="EU91" s="647" t="inlineStr">
        <is>
          <t>kg</t>
        </is>
      </c>
      <c r="EV91" s="676">
        <f>ES91*100/($ES$86+SUM($ES$90:$ES$96))</f>
        <v/>
      </c>
      <c r="EX91" s="698" t="inlineStr">
        <is>
          <t xml:space="preserve">SEL </t>
        </is>
      </c>
      <c r="EY91" s="621">
        <f>'Spécialité Fromagère'!H22</f>
        <v/>
      </c>
      <c r="EZ91" s="621">
        <f>EZ90+EY91</f>
        <v/>
      </c>
      <c r="FA91" s="647" t="inlineStr">
        <is>
          <t>kg</t>
        </is>
      </c>
      <c r="FB91" s="676">
        <f>EY91*100/($EY$85+SUM($EY$90:$EY$96,$EY$98:$EY$99))</f>
        <v/>
      </c>
      <c r="FD91" s="698" t="inlineStr">
        <is>
          <t xml:space="preserve">SEL </t>
        </is>
      </c>
      <c r="FE91" s="621">
        <f>'Spécialité Fromagère'!H7</f>
        <v/>
      </c>
      <c r="FF91" s="621">
        <f>FF90+FE91</f>
        <v/>
      </c>
      <c r="FG91" s="647" t="inlineStr">
        <is>
          <t>kg</t>
        </is>
      </c>
      <c r="FH91" s="676">
        <f>FE91*100/($FE$85+SUM($FE$90:$FE$96,$FE$98))</f>
        <v/>
      </c>
      <c r="FJ91" s="698" t="inlineStr">
        <is>
          <t xml:space="preserve">SEL </t>
        </is>
      </c>
      <c r="FK91" s="621">
        <f>'Spécialité carnée'!H7</f>
        <v/>
      </c>
      <c r="FL91" s="621">
        <f>FL90+FK91</f>
        <v/>
      </c>
      <c r="FM91" s="647" t="inlineStr">
        <is>
          <t>kg</t>
        </is>
      </c>
      <c r="FN91" s="676">
        <f>FK91*100/($FK$86+SUM($FK$90:$FK$96))</f>
        <v/>
      </c>
    </row>
    <row r="92">
      <c r="J92" s="524" t="inlineStr">
        <is>
          <t>NITRATE DE POTASSIUM</t>
        </is>
      </c>
      <c r="K92" s="648">
        <f>'Spécialité Autres'!B56</f>
        <v/>
      </c>
      <c r="L92" s="648">
        <f>L91+K92</f>
        <v/>
      </c>
      <c r="M92" s="648" t="inlineStr">
        <is>
          <t>kg</t>
        </is>
      </c>
      <c r="N92" s="691">
        <f>K92*100/($K$85+SUM($K$90:$K$96,$K$98:$K$100))</f>
        <v/>
      </c>
      <c r="P92" s="719" t="inlineStr">
        <is>
          <t>NITRATE DE POTASSIUM</t>
        </is>
      </c>
      <c r="Q92" s="618">
        <f>'Haché Moyen'!P8</f>
        <v/>
      </c>
      <c r="R92" s="723">
        <f>R91+Q92</f>
        <v/>
      </c>
      <c r="S92" s="648" t="inlineStr">
        <is>
          <t>kg</t>
        </is>
      </c>
      <c r="T92" s="675">
        <f>Q92*100/($Q$85+SUM($Q$90:$Q$96))</f>
        <v/>
      </c>
      <c r="V92" s="719" t="inlineStr">
        <is>
          <t>NITRATE DE POTASSIUM</t>
        </is>
      </c>
      <c r="W92" s="620">
        <f>'Haché Moyen'!P8</f>
        <v/>
      </c>
      <c r="X92" s="723">
        <f>X91+W92</f>
        <v/>
      </c>
      <c r="Y92" s="648" t="inlineStr">
        <is>
          <t>kg</t>
        </is>
      </c>
      <c r="Z92" s="675">
        <f>W92*100/($W$85+SUM($W$90:$W$96))</f>
        <v/>
      </c>
      <c r="AB92" s="719" t="inlineStr">
        <is>
          <t>NITRATE DE POTASSIUM</t>
        </is>
      </c>
      <c r="AC92" s="618">
        <f>'Haché Moyen'!P8</f>
        <v/>
      </c>
      <c r="AD92" s="723">
        <f>AD91+AC92</f>
        <v/>
      </c>
      <c r="AE92" s="648" t="inlineStr">
        <is>
          <t>kg</t>
        </is>
      </c>
      <c r="AF92" s="691">
        <f>AC92*100/($AC$85+SUM($AC$90:$AC$96))</f>
        <v/>
      </c>
      <c r="AH92" s="719" t="inlineStr">
        <is>
          <t>NITRATE DE POTASSIUM</t>
        </is>
      </c>
      <c r="AI92" s="618">
        <f>'Haché Moyen'!P8</f>
        <v/>
      </c>
      <c r="AJ92" s="723">
        <f>AJ91+AI92</f>
        <v/>
      </c>
      <c r="AK92" s="648" t="inlineStr">
        <is>
          <t>kg</t>
        </is>
      </c>
      <c r="AL92" s="691">
        <f>AI92*100/($AI$85+SUM($AI$90:$AI$96))</f>
        <v/>
      </c>
      <c r="AN92" s="739" t="inlineStr">
        <is>
          <t>NITRATE DE POTASSIUM</t>
        </is>
      </c>
      <c r="AO92" s="618">
        <f>'Spécialité Autres'!N56</f>
        <v/>
      </c>
      <c r="AP92" s="618">
        <f>AP91+AO92</f>
        <v/>
      </c>
      <c r="AQ92" s="648" t="inlineStr">
        <is>
          <t>kg</t>
        </is>
      </c>
      <c r="AR92" s="691">
        <f>AO92*100/($AO$85+SUM($AO$90:$AO$96,$AO$98))</f>
        <v/>
      </c>
      <c r="AT92" s="524" t="inlineStr">
        <is>
          <t>NITRATE DE POTASSIUM</t>
        </is>
      </c>
      <c r="AU92" s="618">
        <f>'Spécialité Fromagère'!B8</f>
        <v/>
      </c>
      <c r="AV92" s="618">
        <f>AV91+AU92</f>
        <v/>
      </c>
      <c r="AW92" s="648" t="inlineStr">
        <is>
          <t>kg</t>
        </is>
      </c>
      <c r="AX92" s="691">
        <f>AU92*100/($AU$85+SUM($AU$90:$AU$96,$AU$98))</f>
        <v/>
      </c>
      <c r="AZ92" s="524" t="inlineStr">
        <is>
          <t>NITRATE DE POTASSIUM</t>
        </is>
      </c>
      <c r="BA92" s="618">
        <f>'Spécialité Autres'!B8</f>
        <v/>
      </c>
      <c r="BB92" s="618">
        <f>BB91+BA92</f>
        <v/>
      </c>
      <c r="BC92" s="648" t="inlineStr">
        <is>
          <t>kg</t>
        </is>
      </c>
      <c r="BD92" s="691">
        <f>BA92*100/($BA$85+SUM($BA$90:$BA$96,$BA$98))</f>
        <v/>
      </c>
      <c r="BF92" s="524" t="inlineStr">
        <is>
          <t>NITRATE DE POTASSIUM</t>
        </is>
      </c>
      <c r="BG92" s="618">
        <f>'Spécialité Autres'!H8</f>
        <v/>
      </c>
      <c r="BH92" s="618" t="n">
        <v>3.918</v>
      </c>
      <c r="BI92" s="648" t="inlineStr">
        <is>
          <t>kg</t>
        </is>
      </c>
      <c r="BJ92" s="675">
        <f>BG92*100/($BG$85+SUM($BG$90:$BG$96,$BG$98))</f>
        <v/>
      </c>
      <c r="BL92" s="524" t="inlineStr">
        <is>
          <t>NITRATE DE POTASSIUM</t>
        </is>
      </c>
      <c r="BM92" s="618">
        <f>'Haché Moyen'!$P$8</f>
        <v/>
      </c>
      <c r="BN92" s="618">
        <f>BN91+BM92</f>
        <v/>
      </c>
      <c r="BO92" s="648" t="inlineStr">
        <is>
          <t>kg</t>
        </is>
      </c>
      <c r="BP92" s="691">
        <f>BM92*100/($BM$85+SUM($BM$90:$BM$96))</f>
        <v/>
      </c>
      <c r="BR92" s="666" t="inlineStr">
        <is>
          <t>NITRATE DE POTASSIUM</t>
        </is>
      </c>
      <c r="BS92" s="618">
        <f>'Spécialité Autres'!B38</f>
        <v/>
      </c>
      <c r="BT92" s="618">
        <f>BT91+BS92</f>
        <v/>
      </c>
      <c r="BU92" s="648" t="inlineStr">
        <is>
          <t>kg</t>
        </is>
      </c>
      <c r="BV92" s="675">
        <f>BS92*100/($BS$85+SUM($BS$90:$BS$96,$BS$98))</f>
        <v/>
      </c>
      <c r="BX92" s="666" t="inlineStr">
        <is>
          <t>NITRATE DE POTASSIUM</t>
        </is>
      </c>
      <c r="BY92" s="618">
        <f>'Spécialité Autres'!N8</f>
        <v/>
      </c>
      <c r="BZ92" s="618">
        <f>BZ91+BY92</f>
        <v/>
      </c>
      <c r="CA92" s="648" t="inlineStr">
        <is>
          <t>kg</t>
        </is>
      </c>
      <c r="CB92" s="675">
        <f>BY92*100/($BY$85+SUM($BY$90:$BY$96,$BY$98))</f>
        <v/>
      </c>
      <c r="CD92" s="666" t="inlineStr">
        <is>
          <t>NITRATE DE POTASSIUM</t>
        </is>
      </c>
      <c r="CE92" s="618">
        <f>'Spécialité Autres'!B22</f>
        <v/>
      </c>
      <c r="CF92" s="618">
        <f>CF91+CE92</f>
        <v/>
      </c>
      <c r="CG92" s="648" t="inlineStr">
        <is>
          <t>kg</t>
        </is>
      </c>
      <c r="CH92" s="675">
        <f>CE92*100/($CE$85+SUM($CE$90:$CE$96,$CE$98))</f>
        <v/>
      </c>
      <c r="CJ92" s="666" t="inlineStr">
        <is>
          <t>NITRATE DE POTASSIUM</t>
        </is>
      </c>
      <c r="CK92" s="618">
        <f>'Spécialité Autres'!H38</f>
        <v/>
      </c>
      <c r="CL92" s="618">
        <f>CL91+CK92</f>
        <v/>
      </c>
      <c r="CM92" s="648" t="inlineStr">
        <is>
          <t>kg</t>
        </is>
      </c>
      <c r="CN92" s="675">
        <f>CK92*100/($CK$85+SUM($CK$90:$CK$96,$CK$98:$CK$100))</f>
        <v/>
      </c>
      <c r="CP92" s="666" t="inlineStr">
        <is>
          <t>NITRATE DE POTASSIUM</t>
        </is>
      </c>
      <c r="CQ92" s="618">
        <f>'Spécialité Autres'!H22</f>
        <v/>
      </c>
      <c r="CR92" s="618">
        <f>CR91+CQ92</f>
        <v/>
      </c>
      <c r="CS92" s="648" t="inlineStr">
        <is>
          <t>kg</t>
        </is>
      </c>
      <c r="CT92" s="675">
        <f>CQ92*100/($CQ$85+SUM($CQ$90:$CQ$96,$CQ$98))</f>
        <v/>
      </c>
      <c r="CV92" s="666" t="inlineStr">
        <is>
          <t>NITRATE DE POTASSIUM</t>
        </is>
      </c>
      <c r="CW92" s="618">
        <f>'Spécialité Autres'!H56</f>
        <v/>
      </c>
      <c r="CX92" s="618">
        <f>CX91+CW92</f>
        <v/>
      </c>
      <c r="CY92" s="648" t="inlineStr">
        <is>
          <t>kg</t>
        </is>
      </c>
      <c r="CZ92" s="675">
        <f>CW92*100/($CW$85+SUM($CW$90:$CW$96,$CW$98))</f>
        <v/>
      </c>
      <c r="DB92" s="666" t="inlineStr">
        <is>
          <t>NITRATE DE POTASSIUM</t>
        </is>
      </c>
      <c r="DC92" s="618">
        <f>'Spécialité Autres'!N72</f>
        <v/>
      </c>
      <c r="DD92" s="618">
        <f>DD91+DC92</f>
        <v/>
      </c>
      <c r="DE92" s="648" t="inlineStr">
        <is>
          <t>kg</t>
        </is>
      </c>
      <c r="DF92" s="675">
        <f>DC92*100/($DC$85+SUM($DC$90:$DC$96,$DC$98))</f>
        <v/>
      </c>
      <c r="DH92" s="666" t="inlineStr">
        <is>
          <t>NITRATE DE POTASSIUM</t>
        </is>
      </c>
      <c r="DI92" s="618">
        <f>'Spécialité Autres'!N22</f>
        <v/>
      </c>
      <c r="DJ92" s="618">
        <f>DJ91+DI92</f>
        <v/>
      </c>
      <c r="DK92" s="648" t="inlineStr">
        <is>
          <t>kg</t>
        </is>
      </c>
      <c r="DL92" s="675">
        <f>DI92*100/($DI$85+SUM($DI$90:$DI$96,$DI$98))</f>
        <v/>
      </c>
      <c r="DN92" s="524" t="inlineStr">
        <is>
          <t>NITRATE DE POTASSIUM</t>
        </is>
      </c>
      <c r="DO92" s="618">
        <f>'Haché Moyen'!$P$8</f>
        <v/>
      </c>
      <c r="DP92" s="618">
        <f>DP91+DO92</f>
        <v/>
      </c>
      <c r="DQ92" s="648" t="inlineStr">
        <is>
          <t>kg</t>
        </is>
      </c>
      <c r="DR92" s="675">
        <f>DO92*100/($DO$85+SUM($DO$90:$DO$96))</f>
        <v/>
      </c>
      <c r="DT92" s="666" t="inlineStr">
        <is>
          <t>NITRATE DE POTASSIUM</t>
        </is>
      </c>
      <c r="DU92" s="618">
        <f>'Spécialité carnée'!B23</f>
        <v/>
      </c>
      <c r="DV92" s="618">
        <f>DV91+DU92</f>
        <v/>
      </c>
      <c r="DW92" s="648" t="inlineStr">
        <is>
          <t>kg</t>
        </is>
      </c>
      <c r="DX92" s="675">
        <f>DU92*100/($DU$86+SUM($DU$90:$DU$96))</f>
        <v/>
      </c>
      <c r="DZ92" s="666" t="inlineStr">
        <is>
          <t>NITRATE DE POTASSIUM</t>
        </is>
      </c>
      <c r="EA92" s="618">
        <f>'Spécialité Fromagère'!B23</f>
        <v/>
      </c>
      <c r="EB92" s="618">
        <f>EB91+EA92</f>
        <v/>
      </c>
      <c r="EC92" s="648" t="inlineStr">
        <is>
          <t>kg</t>
        </is>
      </c>
      <c r="ED92" s="675">
        <f>EA92*100/($EA$85+SUM($EA$90:$EA$96,$EA$98))</f>
        <v/>
      </c>
      <c r="EF92" s="666" t="inlineStr">
        <is>
          <t>NITRATE DE POTASSIUM</t>
        </is>
      </c>
      <c r="EG92" s="618">
        <f>'Spécialité carnée'!H23</f>
        <v/>
      </c>
      <c r="EH92" s="618">
        <f>EH91+EG92</f>
        <v/>
      </c>
      <c r="EI92" s="648" t="inlineStr">
        <is>
          <t>kg</t>
        </is>
      </c>
      <c r="EJ92" s="675">
        <f>EG92*100/($EG$86+SUM($EG$90:$EG$96))</f>
        <v/>
      </c>
      <c r="EL92" s="666" t="inlineStr">
        <is>
          <t>NITRATE DE POTASSIUM</t>
        </is>
      </c>
      <c r="EM92" s="618">
        <f>'Spécialité Autres'!N38</f>
        <v/>
      </c>
      <c r="EN92" s="618">
        <f>EN91+EM92</f>
        <v/>
      </c>
      <c r="EO92" s="648" t="inlineStr">
        <is>
          <t>kg</t>
        </is>
      </c>
      <c r="EP92" s="675">
        <f>EM92*100/($EM$85+SUM($EM$90:$EM$96,$EM$98))</f>
        <v/>
      </c>
      <c r="ER92" s="666" t="inlineStr">
        <is>
          <t>NITRATE DE POTASSIUM</t>
        </is>
      </c>
      <c r="ES92" s="618">
        <f>'Spécialité carnée'!B8</f>
        <v/>
      </c>
      <c r="ET92" s="618">
        <f>ET91+ES92</f>
        <v/>
      </c>
      <c r="EU92" s="648" t="inlineStr">
        <is>
          <t>kg</t>
        </is>
      </c>
      <c r="EV92" s="675">
        <f>ES92*100/($ES$86+SUM($ES$90:$ES$96))</f>
        <v/>
      </c>
      <c r="EX92" s="666" t="inlineStr">
        <is>
          <t>NITRATE DE POTASSIUM</t>
        </is>
      </c>
      <c r="EY92" s="618">
        <f>'Spécialité Fromagère'!H23</f>
        <v/>
      </c>
      <c r="EZ92" s="618">
        <f>EZ91+EY92</f>
        <v/>
      </c>
      <c r="FA92" s="648" t="inlineStr">
        <is>
          <t>kg</t>
        </is>
      </c>
      <c r="FB92" s="675">
        <f>EY92*100/($EY$85+SUM($EY$90:$EY$96,$EY$98:$EY$99))</f>
        <v/>
      </c>
      <c r="FD92" s="666" t="inlineStr">
        <is>
          <t>NITRATE DE POTASSIUM</t>
        </is>
      </c>
      <c r="FE92" s="618">
        <f>'Spécialité Fromagère'!H8</f>
        <v/>
      </c>
      <c r="FF92" s="618">
        <f>FF91+FE92</f>
        <v/>
      </c>
      <c r="FG92" s="648" t="inlineStr">
        <is>
          <t>kg</t>
        </is>
      </c>
      <c r="FH92" s="675">
        <f>FE92*100/($FE$85+SUM($FE$90:$FE$96,$FE$98))</f>
        <v/>
      </c>
      <c r="FJ92" s="666" t="inlineStr">
        <is>
          <t>NITRATE DE POTASSIUM</t>
        </is>
      </c>
      <c r="FK92" s="618">
        <f>'Spécialité carnée'!H8</f>
        <v/>
      </c>
      <c r="FL92" s="618">
        <f>FL91+FK92</f>
        <v/>
      </c>
      <c r="FM92" s="648" t="inlineStr">
        <is>
          <t>kg</t>
        </is>
      </c>
      <c r="FN92" s="675">
        <f>FK92*100/($FK$86+SUM($FK$90:$FK$96))</f>
        <v/>
      </c>
    </row>
    <row r="93">
      <c r="J93" s="591" t="inlineStr">
        <is>
          <t>LACTOSE</t>
        </is>
      </c>
      <c r="K93" s="647">
        <f>'Spécialité Autres'!B57</f>
        <v/>
      </c>
      <c r="L93" s="647">
        <f>L92+K93</f>
        <v/>
      </c>
      <c r="M93" s="647" t="inlineStr">
        <is>
          <t>kg</t>
        </is>
      </c>
      <c r="N93" s="690">
        <f>K93*100/($K$85+SUM($K$90:$K$96,$K$98:$K$100))</f>
        <v/>
      </c>
      <c r="P93" s="718" t="inlineStr">
        <is>
          <t>LACTOSE</t>
        </is>
      </c>
      <c r="Q93" s="621">
        <f>'Haché Moyen'!P9</f>
        <v/>
      </c>
      <c r="R93" s="722">
        <f>R92+Q93</f>
        <v/>
      </c>
      <c r="S93" s="647" t="inlineStr">
        <is>
          <t>kg</t>
        </is>
      </c>
      <c r="T93" s="676">
        <f>Q93*100/($Q$85+SUM($Q$90:$Q$96))</f>
        <v/>
      </c>
      <c r="V93" s="718" t="inlineStr">
        <is>
          <t>LACTOSE</t>
        </is>
      </c>
      <c r="W93" s="617">
        <f>'Haché Moyen'!P9</f>
        <v/>
      </c>
      <c r="X93" s="722">
        <f>X92+W93</f>
        <v/>
      </c>
      <c r="Y93" s="647" t="inlineStr">
        <is>
          <t>kg</t>
        </is>
      </c>
      <c r="Z93" s="676">
        <f>W93*100/($W$85+SUM($W$90:$W$96))</f>
        <v/>
      </c>
      <c r="AB93" s="718" t="inlineStr">
        <is>
          <t>LACTOSE</t>
        </is>
      </c>
      <c r="AC93" s="621">
        <f>'Haché Moyen'!P9</f>
        <v/>
      </c>
      <c r="AD93" s="722">
        <f>AD92+AC93</f>
        <v/>
      </c>
      <c r="AE93" s="647" t="inlineStr">
        <is>
          <t>kg</t>
        </is>
      </c>
      <c r="AF93" s="690">
        <f>AC93*100/($AC$85+SUM($AC$90:$AC$96))</f>
        <v/>
      </c>
      <c r="AH93" s="718" t="inlineStr">
        <is>
          <t>LACTOSE</t>
        </is>
      </c>
      <c r="AI93" s="621">
        <f>'Haché Moyen'!P9</f>
        <v/>
      </c>
      <c r="AJ93" s="722">
        <f>AJ92+AI93</f>
        <v/>
      </c>
      <c r="AK93" s="647" t="inlineStr">
        <is>
          <t>kg</t>
        </is>
      </c>
      <c r="AL93" s="690">
        <f>AI93*100/($AI$85+SUM($AI$90:$AI$96))</f>
        <v/>
      </c>
      <c r="AN93" s="740" t="inlineStr">
        <is>
          <t>LACTOSE</t>
        </is>
      </c>
      <c r="AO93" s="621">
        <f>'Spécialité Autres'!N57</f>
        <v/>
      </c>
      <c r="AP93" s="621">
        <f>AP92+AO93</f>
        <v/>
      </c>
      <c r="AQ93" s="647" t="inlineStr">
        <is>
          <t>kg</t>
        </is>
      </c>
      <c r="AR93" s="690">
        <f>AO93*100/($AO$85+SUM($AO$90:$AO$96,$AO$98))</f>
        <v/>
      </c>
      <c r="AT93" s="591" t="inlineStr">
        <is>
          <t>LACTOSE</t>
        </is>
      </c>
      <c r="AU93" s="621">
        <f>'Spécialité Fromagère'!B9</f>
        <v/>
      </c>
      <c r="AV93" s="621">
        <f>AV92+AU93</f>
        <v/>
      </c>
      <c r="AW93" s="647" t="inlineStr">
        <is>
          <t>kg</t>
        </is>
      </c>
      <c r="AX93" s="690">
        <f>AU93*100/($AU$85+SUM($AU$90:$AU$96,$AU$98))</f>
        <v/>
      </c>
      <c r="AZ93" s="591" t="inlineStr">
        <is>
          <t>LACTOSE</t>
        </is>
      </c>
      <c r="BA93" s="621">
        <f>'Spécialité Autres'!B9</f>
        <v/>
      </c>
      <c r="BB93" s="621">
        <f>BB92+BA93</f>
        <v/>
      </c>
      <c r="BC93" s="647" t="inlineStr">
        <is>
          <t>kg</t>
        </is>
      </c>
      <c r="BD93" s="690">
        <f>BA93*100/($BA$85+SUM($BA$90:$BA$96,$BA$98))</f>
        <v/>
      </c>
      <c r="BF93" s="591" t="inlineStr">
        <is>
          <t>LACTOSE</t>
        </is>
      </c>
      <c r="BG93" s="621">
        <f>'Spécialité Autres'!H9</f>
        <v/>
      </c>
      <c r="BH93" s="621" t="n">
        <v>5.417999999999999</v>
      </c>
      <c r="BI93" s="647" t="inlineStr">
        <is>
          <t>kg</t>
        </is>
      </c>
      <c r="BJ93" s="676">
        <f>BG93*100/($BG$85+SUM($BG$90:$BG$96,$BG$98))</f>
        <v/>
      </c>
      <c r="BL93" s="591" t="inlineStr">
        <is>
          <t>LACTOSE</t>
        </is>
      </c>
      <c r="BM93" s="621">
        <f>'Haché Moyen'!$P$9</f>
        <v/>
      </c>
      <c r="BN93" s="621">
        <f>BN92+BM93</f>
        <v/>
      </c>
      <c r="BO93" s="647" t="inlineStr">
        <is>
          <t>kg</t>
        </is>
      </c>
      <c r="BP93" s="690">
        <f>BM93*100/($BM$85+SUM($BM$90:$BM$96))</f>
        <v/>
      </c>
      <c r="BR93" s="698" t="inlineStr">
        <is>
          <t>LACTOSE</t>
        </is>
      </c>
      <c r="BS93" s="621">
        <f>'Spécialité Autres'!B39</f>
        <v/>
      </c>
      <c r="BT93" s="621">
        <f>BT92+BS93</f>
        <v/>
      </c>
      <c r="BU93" s="647" t="inlineStr">
        <is>
          <t>kg</t>
        </is>
      </c>
      <c r="BV93" s="676">
        <f>BS93*100/($BS$85+SUM($BS$90:$BS$96,$BS$98))</f>
        <v/>
      </c>
      <c r="BX93" s="698" t="inlineStr">
        <is>
          <t>LACTOSE</t>
        </is>
      </c>
      <c r="BY93" s="621">
        <f>'Spécialité Autres'!N9</f>
        <v/>
      </c>
      <c r="BZ93" s="621">
        <f>BZ92+BY93</f>
        <v/>
      </c>
      <c r="CA93" s="647" t="inlineStr">
        <is>
          <t>kg</t>
        </is>
      </c>
      <c r="CB93" s="676">
        <f>BY93*100/($BY$85+SUM($BY$90:$BY$96,$BY$98))</f>
        <v/>
      </c>
      <c r="CD93" s="698" t="inlineStr">
        <is>
          <t>LACTOSE</t>
        </is>
      </c>
      <c r="CE93" s="621">
        <f>'Spécialité Autres'!B23</f>
        <v/>
      </c>
      <c r="CF93" s="621">
        <f>CF92+CE93</f>
        <v/>
      </c>
      <c r="CG93" s="647" t="inlineStr">
        <is>
          <t>kg</t>
        </is>
      </c>
      <c r="CH93" s="676">
        <f>CE93*100/($CE$85+SUM($CE$90:$CE$96,$CE$98))</f>
        <v/>
      </c>
      <c r="CJ93" s="698" t="inlineStr">
        <is>
          <t>LACTOSE</t>
        </is>
      </c>
      <c r="CK93" s="621">
        <f>'Spécialité Autres'!H39</f>
        <v/>
      </c>
      <c r="CL93" s="621">
        <f>CL92+CK93</f>
        <v/>
      </c>
      <c r="CM93" s="647" t="inlineStr">
        <is>
          <t>kg</t>
        </is>
      </c>
      <c r="CN93" s="676">
        <f>CK93*100/($CK$85+SUM($CK$90:$CK$96,$CK$98:$CK$100))</f>
        <v/>
      </c>
      <c r="CP93" s="698" t="inlineStr">
        <is>
          <t>LACTOSE</t>
        </is>
      </c>
      <c r="CQ93" s="621">
        <f>'Spécialité Autres'!H23</f>
        <v/>
      </c>
      <c r="CR93" s="621">
        <f>CR92+CQ93</f>
        <v/>
      </c>
      <c r="CS93" s="647" t="inlineStr">
        <is>
          <t>kg</t>
        </is>
      </c>
      <c r="CT93" s="676">
        <f>CQ93*100/($CQ$85+SUM($CQ$90:$CQ$96,$CQ$98))</f>
        <v/>
      </c>
      <c r="CV93" s="698" t="inlineStr">
        <is>
          <t>LACTOSE</t>
        </is>
      </c>
      <c r="CW93" s="621">
        <f>'Spécialité Autres'!H57</f>
        <v/>
      </c>
      <c r="CX93" s="621">
        <f>CX92+CW93</f>
        <v/>
      </c>
      <c r="CY93" s="647" t="inlineStr">
        <is>
          <t>kg</t>
        </is>
      </c>
      <c r="CZ93" s="676">
        <f>CW93*100/($CW$85+SUM($CW$90:$CW$96,$CW$98))</f>
        <v/>
      </c>
      <c r="DB93" s="698" t="inlineStr">
        <is>
          <t>LACTOSE</t>
        </is>
      </c>
      <c r="DC93" s="621">
        <f>'Spécialité Autres'!N73</f>
        <v/>
      </c>
      <c r="DD93" s="621">
        <f>DD92+DC93</f>
        <v/>
      </c>
      <c r="DE93" s="647" t="inlineStr">
        <is>
          <t>kg</t>
        </is>
      </c>
      <c r="DF93" s="676">
        <f>DC93*100/($DC$85+SUM($DC$90:$DC$96,$DC$98))</f>
        <v/>
      </c>
      <c r="DH93" s="698" t="inlineStr">
        <is>
          <t>LACTOSE</t>
        </is>
      </c>
      <c r="DI93" s="621">
        <f>'Spécialité Autres'!N23</f>
        <v/>
      </c>
      <c r="DJ93" s="621">
        <f>DJ92+DI93</f>
        <v/>
      </c>
      <c r="DK93" s="647" t="inlineStr">
        <is>
          <t>kg</t>
        </is>
      </c>
      <c r="DL93" s="676">
        <f>DI93*100/($DI$85+SUM($DI$90:$DI$96,$DI$98))</f>
        <v/>
      </c>
      <c r="DN93" s="591" t="inlineStr">
        <is>
          <t>LACTOSE</t>
        </is>
      </c>
      <c r="DO93" s="621">
        <f>'Haché Moyen'!$P$9</f>
        <v/>
      </c>
      <c r="DP93" s="621">
        <f>DP92+DO93</f>
        <v/>
      </c>
      <c r="DQ93" s="647" t="inlineStr">
        <is>
          <t>kg</t>
        </is>
      </c>
      <c r="DR93" s="676">
        <f>DO93*100/($DO$85+SUM($DO$90:$DO$96))</f>
        <v/>
      </c>
      <c r="DT93" s="698" t="inlineStr">
        <is>
          <t>LACTOSE</t>
        </is>
      </c>
      <c r="DU93" s="621">
        <f>'Spécialité carnée'!B24</f>
        <v/>
      </c>
      <c r="DV93" s="621">
        <f>DV92+DU93</f>
        <v/>
      </c>
      <c r="DW93" s="647" t="inlineStr">
        <is>
          <t>kg</t>
        </is>
      </c>
      <c r="DX93" s="676">
        <f>DU93*100/($DU$86+SUM($DU$90:$DU$96))</f>
        <v/>
      </c>
      <c r="DZ93" s="698" t="inlineStr">
        <is>
          <t>LACTOSE</t>
        </is>
      </c>
      <c r="EA93" s="621">
        <f>'Spécialité Fromagère'!B24</f>
        <v/>
      </c>
      <c r="EB93" s="621">
        <f>EB92+EA93</f>
        <v/>
      </c>
      <c r="EC93" s="647" t="inlineStr">
        <is>
          <t>kg</t>
        </is>
      </c>
      <c r="ED93" s="676">
        <f>EA93*100/($EA$85+SUM($EA$90:$EA$96,$EA$98))</f>
        <v/>
      </c>
      <c r="EF93" s="698" t="inlineStr">
        <is>
          <t>LACTOSE</t>
        </is>
      </c>
      <c r="EG93" s="621">
        <f>'Spécialité carnée'!H24</f>
        <v/>
      </c>
      <c r="EH93" s="621">
        <f>EH92+EG93</f>
        <v/>
      </c>
      <c r="EI93" s="647" t="inlineStr">
        <is>
          <t>kg</t>
        </is>
      </c>
      <c r="EJ93" s="676">
        <f>EG93*100/($EG$86+SUM($EG$90:$EG$96))</f>
        <v/>
      </c>
      <c r="EL93" s="698" t="inlineStr">
        <is>
          <t>LACTOSE</t>
        </is>
      </c>
      <c r="EM93" s="621">
        <f>'Spécialité Autres'!N39</f>
        <v/>
      </c>
      <c r="EN93" s="621">
        <f>EN92+EM93</f>
        <v/>
      </c>
      <c r="EO93" s="647" t="inlineStr">
        <is>
          <t>kg</t>
        </is>
      </c>
      <c r="EP93" s="676">
        <f>EM93*100/($EM$85+SUM($EM$90:$EM$96,$EM$98))</f>
        <v/>
      </c>
      <c r="ER93" s="698" t="inlineStr">
        <is>
          <t>LACTOSE</t>
        </is>
      </c>
      <c r="ES93" s="621">
        <f>'Spécialité carnée'!B9</f>
        <v/>
      </c>
      <c r="ET93" s="621">
        <f>ET92+ES93</f>
        <v/>
      </c>
      <c r="EU93" s="647" t="inlineStr">
        <is>
          <t>kg</t>
        </is>
      </c>
      <c r="EV93" s="676">
        <f>ES93*100/($ES$86+SUM($ES$90:$ES$96))</f>
        <v/>
      </c>
      <c r="EX93" s="698" t="inlineStr">
        <is>
          <t>LACTOSE</t>
        </is>
      </c>
      <c r="EY93" s="621">
        <f>'Spécialité Fromagère'!H24</f>
        <v/>
      </c>
      <c r="EZ93" s="621">
        <f>EZ92+EY93</f>
        <v/>
      </c>
      <c r="FA93" s="647" t="inlineStr">
        <is>
          <t>kg</t>
        </is>
      </c>
      <c r="FB93" s="676">
        <f>EY93*100/($EY$85+SUM($EY$90:$EY$96,$EY$98:$EY$99))</f>
        <v/>
      </c>
      <c r="FD93" s="698" t="inlineStr">
        <is>
          <t>LACTOSE</t>
        </is>
      </c>
      <c r="FE93" s="621">
        <f>'Spécialité Fromagère'!H9</f>
        <v/>
      </c>
      <c r="FF93" s="621">
        <f>FF92+FE93</f>
        <v/>
      </c>
      <c r="FG93" s="647" t="inlineStr">
        <is>
          <t>kg</t>
        </is>
      </c>
      <c r="FH93" s="676">
        <f>FE93*100/($FE$85+SUM($FE$90:$FE$96,$FE$98))</f>
        <v/>
      </c>
      <c r="FJ93" s="698" t="inlineStr">
        <is>
          <t>LACTOSE</t>
        </is>
      </c>
      <c r="FK93" s="621">
        <f>'Spécialité carnée'!H9</f>
        <v/>
      </c>
      <c r="FL93" s="621">
        <f>FL92+FK93</f>
        <v/>
      </c>
      <c r="FM93" s="647" t="inlineStr">
        <is>
          <t>kg</t>
        </is>
      </c>
      <c r="FN93" s="676">
        <f>FK93*100/($FK$86+SUM($FK$90:$FK$96))</f>
        <v/>
      </c>
    </row>
    <row r="94">
      <c r="J94" s="524" t="inlineStr">
        <is>
          <t>DEXTROSE</t>
        </is>
      </c>
      <c r="K94" s="648">
        <f>'Spécialité Autres'!B58</f>
        <v/>
      </c>
      <c r="L94" s="648">
        <f>L93+K94</f>
        <v/>
      </c>
      <c r="M94" s="648" t="inlineStr">
        <is>
          <t>kg</t>
        </is>
      </c>
      <c r="N94" s="691">
        <f>K94*100/($K$85+SUM($K$90:$K$96,$K$98:$K$100))</f>
        <v/>
      </c>
      <c r="P94" s="719" t="inlineStr">
        <is>
          <t>DEXTROSE</t>
        </is>
      </c>
      <c r="Q94" s="618">
        <f>'Haché Moyen'!P10</f>
        <v/>
      </c>
      <c r="R94" s="723">
        <f>R93+Q94</f>
        <v/>
      </c>
      <c r="S94" s="648" t="inlineStr">
        <is>
          <t>kg</t>
        </is>
      </c>
      <c r="T94" s="675">
        <f>Q94*100/($Q$85+SUM($Q$90:$Q$96))</f>
        <v/>
      </c>
      <c r="V94" s="719" t="inlineStr">
        <is>
          <t>DEXTROSE</t>
        </is>
      </c>
      <c r="W94" s="620">
        <f>'Haché Moyen'!P10</f>
        <v/>
      </c>
      <c r="X94" s="723">
        <f>X93+W94</f>
        <v/>
      </c>
      <c r="Y94" s="648" t="inlineStr">
        <is>
          <t>kg</t>
        </is>
      </c>
      <c r="Z94" s="675">
        <f>W94*100/($W$85+SUM($W$90:$W$96))</f>
        <v/>
      </c>
      <c r="AB94" s="719" t="inlineStr">
        <is>
          <t>DEXTROSE</t>
        </is>
      </c>
      <c r="AC94" s="618">
        <f>'Haché Moyen'!P10</f>
        <v/>
      </c>
      <c r="AD94" s="723">
        <f>AD93+AC94</f>
        <v/>
      </c>
      <c r="AE94" s="648" t="inlineStr">
        <is>
          <t>kg</t>
        </is>
      </c>
      <c r="AF94" s="691">
        <f>AC94*100/($AC$85+SUM($AC$90:$AC$96))</f>
        <v/>
      </c>
      <c r="AH94" s="719" t="inlineStr">
        <is>
          <t>DEXTROSE</t>
        </is>
      </c>
      <c r="AI94" s="618">
        <f>'Haché Moyen'!P10</f>
        <v/>
      </c>
      <c r="AJ94" s="723">
        <f>AJ93+AI94</f>
        <v/>
      </c>
      <c r="AK94" s="648" t="inlineStr">
        <is>
          <t>kg</t>
        </is>
      </c>
      <c r="AL94" s="691">
        <f>AI94*100/($AI$85+SUM($AI$90:$AI$96))</f>
        <v/>
      </c>
      <c r="AN94" s="739" t="inlineStr">
        <is>
          <t>DEXTROSE</t>
        </is>
      </c>
      <c r="AO94" s="618">
        <f>'Spécialité Autres'!N58</f>
        <v/>
      </c>
      <c r="AP94" s="618">
        <f>AP93+AO94</f>
        <v/>
      </c>
      <c r="AQ94" s="648" t="inlineStr">
        <is>
          <t>kg</t>
        </is>
      </c>
      <c r="AR94" s="691">
        <f>AO94*100/($AO$85+SUM($AO$90:$AO$96,$AO$98))</f>
        <v/>
      </c>
      <c r="AT94" s="524" t="inlineStr">
        <is>
          <t>DEXTROSE</t>
        </is>
      </c>
      <c r="AU94" s="618">
        <f>'Spécialité Fromagère'!B10</f>
        <v/>
      </c>
      <c r="AV94" s="618">
        <f>AV93+AU94</f>
        <v/>
      </c>
      <c r="AW94" s="648" t="inlineStr">
        <is>
          <t>kg</t>
        </is>
      </c>
      <c r="AX94" s="691">
        <f>AU94*100/($AU$85+SUM($AU$90:$AU$96,$AU$98))</f>
        <v/>
      </c>
      <c r="AZ94" s="524" t="inlineStr">
        <is>
          <t>DEXTROSE</t>
        </is>
      </c>
      <c r="BA94" s="618">
        <f>'Spécialité Autres'!B10</f>
        <v/>
      </c>
      <c r="BB94" s="618">
        <f>BB93+BA94</f>
        <v/>
      </c>
      <c r="BC94" s="648" t="inlineStr">
        <is>
          <t>kg</t>
        </is>
      </c>
      <c r="BD94" s="691">
        <f>BA94*100/($BA$85+SUM($BA$90:$BA$96,$BA$98))</f>
        <v/>
      </c>
      <c r="BF94" s="524" t="inlineStr">
        <is>
          <t>DEXTROSE</t>
        </is>
      </c>
      <c r="BG94" s="618">
        <f>'Spécialité Autres'!H10</f>
        <v/>
      </c>
      <c r="BH94" s="618" t="n">
        <v>5.867999999999999</v>
      </c>
      <c r="BI94" s="648" t="inlineStr">
        <is>
          <t>kg</t>
        </is>
      </c>
      <c r="BJ94" s="675">
        <f>BG94*100/($BG$85+SUM($BG$90:$BG$96,$BG$98))</f>
        <v/>
      </c>
      <c r="BL94" s="524" t="inlineStr">
        <is>
          <t>DEXTROSE</t>
        </is>
      </c>
      <c r="BM94" s="618">
        <f>'Haché Moyen'!$P$10</f>
        <v/>
      </c>
      <c r="BN94" s="618">
        <f>BN93+BM94</f>
        <v/>
      </c>
      <c r="BO94" s="648" t="inlineStr">
        <is>
          <t>kg</t>
        </is>
      </c>
      <c r="BP94" s="691">
        <f>BM94*100/($BM$85+SUM($BM$90:$BM$96))</f>
        <v/>
      </c>
      <c r="BR94" s="666" t="inlineStr">
        <is>
          <t>DEXTROSE</t>
        </is>
      </c>
      <c r="BS94" s="618">
        <f>'Spécialité Autres'!B40</f>
        <v/>
      </c>
      <c r="BT94" s="618">
        <f>BT93+BS94</f>
        <v/>
      </c>
      <c r="BU94" s="648" t="inlineStr">
        <is>
          <t>kg</t>
        </is>
      </c>
      <c r="BV94" s="675">
        <f>BS94*100/($BS$85+SUM($BS$90:$BS$96,$BS$98))</f>
        <v/>
      </c>
      <c r="BX94" s="666" t="inlineStr">
        <is>
          <t>DEXTROSE</t>
        </is>
      </c>
      <c r="BY94" s="618">
        <f>'Spécialité Autres'!N10</f>
        <v/>
      </c>
      <c r="BZ94" s="618">
        <f>BZ93+BY94</f>
        <v/>
      </c>
      <c r="CA94" s="648" t="inlineStr">
        <is>
          <t>kg</t>
        </is>
      </c>
      <c r="CB94" s="675">
        <f>BY94*100/($BY$85+SUM($BY$90:$BY$96,$BY$98))</f>
        <v/>
      </c>
      <c r="CD94" s="666" t="inlineStr">
        <is>
          <t>DEXTROSE</t>
        </is>
      </c>
      <c r="CE94" s="618">
        <f>'Spécialité Autres'!B24</f>
        <v/>
      </c>
      <c r="CF94" s="618">
        <f>CF93+CE94</f>
        <v/>
      </c>
      <c r="CG94" s="648" t="inlineStr">
        <is>
          <t>kg</t>
        </is>
      </c>
      <c r="CH94" s="675">
        <f>CE94*100/($CE$85+SUM($CE$90:$CE$96,$CE$98))</f>
        <v/>
      </c>
      <c r="CJ94" s="666" t="inlineStr">
        <is>
          <t>DEXTROSE</t>
        </is>
      </c>
      <c r="CK94" s="618">
        <f>'Spécialité Autres'!H40</f>
        <v/>
      </c>
      <c r="CL94" s="618">
        <f>CL93+CK94</f>
        <v/>
      </c>
      <c r="CM94" s="648" t="inlineStr">
        <is>
          <t>kg</t>
        </is>
      </c>
      <c r="CN94" s="675">
        <f>CK94*100/($CK$85+SUM($CK$90:$CK$96,$CK$98:$CK$100))</f>
        <v/>
      </c>
      <c r="CP94" s="666" t="inlineStr">
        <is>
          <t>DEXTROSE</t>
        </is>
      </c>
      <c r="CQ94" s="618">
        <f>'Spécialité Autres'!H24</f>
        <v/>
      </c>
      <c r="CR94" s="618">
        <f>CR93+CQ94</f>
        <v/>
      </c>
      <c r="CS94" s="648" t="inlineStr">
        <is>
          <t>kg</t>
        </is>
      </c>
      <c r="CT94" s="675">
        <f>CQ94*100/($CQ$85+SUM($CQ$90:$CQ$96,$CQ$98))</f>
        <v/>
      </c>
      <c r="CV94" s="666" t="inlineStr">
        <is>
          <t>DEXTROSE</t>
        </is>
      </c>
      <c r="CW94" s="618">
        <f>'Spécialité Autres'!H58</f>
        <v/>
      </c>
      <c r="CX94" s="618">
        <f>CX93+CW94</f>
        <v/>
      </c>
      <c r="CY94" s="648" t="inlineStr">
        <is>
          <t>kg</t>
        </is>
      </c>
      <c r="CZ94" s="675">
        <f>CW94*100/($CW$85+SUM($CW$90:$CW$96,$CW$98))</f>
        <v/>
      </c>
      <c r="DB94" s="666" t="inlineStr">
        <is>
          <t>DEXTROSE</t>
        </is>
      </c>
      <c r="DC94" s="618">
        <f>'Spécialité Autres'!N74</f>
        <v/>
      </c>
      <c r="DD94" s="618">
        <f>DD93+DC94</f>
        <v/>
      </c>
      <c r="DE94" s="648" t="inlineStr">
        <is>
          <t>kg</t>
        </is>
      </c>
      <c r="DF94" s="675">
        <f>DC94*100/($DC$85+SUM($DC$90:$DC$96,$DC$98))</f>
        <v/>
      </c>
      <c r="DH94" s="666" t="inlineStr">
        <is>
          <t>DEXTROSE</t>
        </is>
      </c>
      <c r="DI94" s="618">
        <f>'Spécialité Autres'!N24</f>
        <v/>
      </c>
      <c r="DJ94" s="618">
        <f>DJ93+DI94</f>
        <v/>
      </c>
      <c r="DK94" s="648" t="inlineStr">
        <is>
          <t>kg</t>
        </is>
      </c>
      <c r="DL94" s="675">
        <f>DI94*100/($DI$85+SUM($DI$90:$DI$96,$DI$98))</f>
        <v/>
      </c>
      <c r="DN94" s="524" t="inlineStr">
        <is>
          <t>DEXTROSE</t>
        </is>
      </c>
      <c r="DO94" s="618">
        <f>'Haché Moyen'!$P$10</f>
        <v/>
      </c>
      <c r="DP94" s="618">
        <f>DP93+DO94</f>
        <v/>
      </c>
      <c r="DQ94" s="648" t="inlineStr">
        <is>
          <t>kg</t>
        </is>
      </c>
      <c r="DR94" s="675">
        <f>DO94*100/($DO$85+SUM($DO$90:$DO$96))</f>
        <v/>
      </c>
      <c r="DT94" s="666" t="inlineStr">
        <is>
          <t>DEXTROSE</t>
        </is>
      </c>
      <c r="DU94" s="618">
        <f>'Spécialité carnée'!B25</f>
        <v/>
      </c>
      <c r="DV94" s="618">
        <f>DV93+DU94</f>
        <v/>
      </c>
      <c r="DW94" s="648" t="inlineStr">
        <is>
          <t>kg</t>
        </is>
      </c>
      <c r="DX94" s="675">
        <f>DU94*100/($DU$86+SUM($DU$90:$DU$96))</f>
        <v/>
      </c>
      <c r="DZ94" s="666" t="inlineStr">
        <is>
          <t>DEXTROSE</t>
        </is>
      </c>
      <c r="EA94" s="618">
        <f>'Spécialité Fromagère'!B25</f>
        <v/>
      </c>
      <c r="EB94" s="618">
        <f>EB93+EA94</f>
        <v/>
      </c>
      <c r="EC94" s="648" t="inlineStr">
        <is>
          <t>kg</t>
        </is>
      </c>
      <c r="ED94" s="675">
        <f>EA94*100/($EA$85+SUM($EA$90:$EA$96,$EA$98))</f>
        <v/>
      </c>
      <c r="EF94" s="666" t="inlineStr">
        <is>
          <t>DEXTROSE</t>
        </is>
      </c>
      <c r="EG94" s="618">
        <f>'Spécialité carnée'!H25</f>
        <v/>
      </c>
      <c r="EH94" s="618">
        <f>EH93+EG94</f>
        <v/>
      </c>
      <c r="EI94" s="648" t="inlineStr">
        <is>
          <t>kg</t>
        </is>
      </c>
      <c r="EJ94" s="675">
        <f>EG94*100/($EG$86+SUM($EG$90:$EG$96))</f>
        <v/>
      </c>
      <c r="EL94" s="666" t="inlineStr">
        <is>
          <t>DEXTROSE</t>
        </is>
      </c>
      <c r="EM94" s="618">
        <f>'Spécialité Autres'!N40</f>
        <v/>
      </c>
      <c r="EN94" s="618">
        <f>EN93+EM94</f>
        <v/>
      </c>
      <c r="EO94" s="648" t="inlineStr">
        <is>
          <t>kg</t>
        </is>
      </c>
      <c r="EP94" s="675">
        <f>EM94*100/($EM$85+SUM($EM$90:$EM$96,$EM$98))</f>
        <v/>
      </c>
      <c r="ER94" s="666" t="inlineStr">
        <is>
          <t>DEXTROSE</t>
        </is>
      </c>
      <c r="ES94" s="618">
        <f>'Spécialité carnée'!B10</f>
        <v/>
      </c>
      <c r="ET94" s="618">
        <f>ET93+ES94</f>
        <v/>
      </c>
      <c r="EU94" s="648" t="inlineStr">
        <is>
          <t>kg</t>
        </is>
      </c>
      <c r="EV94" s="675">
        <f>ES94*100/($ES$86+SUM($ES$90:$ES$96))</f>
        <v/>
      </c>
      <c r="EX94" s="666" t="inlineStr">
        <is>
          <t>DEXTROSE</t>
        </is>
      </c>
      <c r="EY94" s="618">
        <f>'Spécialité Fromagère'!H25</f>
        <v/>
      </c>
      <c r="EZ94" s="618">
        <f>EZ93+EY94</f>
        <v/>
      </c>
      <c r="FA94" s="648" t="inlineStr">
        <is>
          <t>kg</t>
        </is>
      </c>
      <c r="FB94" s="675">
        <f>EY94*100/($EY$85+SUM($EY$90:$EY$96,$EY$98:$EY$99))</f>
        <v/>
      </c>
      <c r="FD94" s="666" t="inlineStr">
        <is>
          <t>DEXTROSE</t>
        </is>
      </c>
      <c r="FE94" s="618">
        <f>'Spécialité Fromagère'!H10</f>
        <v/>
      </c>
      <c r="FF94" s="618">
        <f>FF93+FE94</f>
        <v/>
      </c>
      <c r="FG94" s="648" t="inlineStr">
        <is>
          <t>kg</t>
        </is>
      </c>
      <c r="FH94" s="675">
        <f>FE94*100/($FE$85+SUM($FE$90:$FE$96,$FE$98))</f>
        <v/>
      </c>
      <c r="FJ94" s="666" t="inlineStr">
        <is>
          <t>DEXTROSE</t>
        </is>
      </c>
      <c r="FK94" s="618">
        <f>'Spécialité carnée'!H10</f>
        <v/>
      </c>
      <c r="FL94" s="618">
        <f>FL93+FK94</f>
        <v/>
      </c>
      <c r="FM94" s="648" t="inlineStr">
        <is>
          <t>kg</t>
        </is>
      </c>
      <c r="FN94" s="675">
        <f>FK94*100/($FK$86+SUM($FK$90:$FK$96))</f>
        <v/>
      </c>
    </row>
    <row r="95">
      <c r="J95" s="591" t="inlineStr">
        <is>
          <t>POIVRE BLANC MOULU</t>
        </is>
      </c>
      <c r="K95" s="543">
        <f>'Spécialité Autres'!B59</f>
        <v/>
      </c>
      <c r="L95" s="647">
        <f>L94+K95</f>
        <v/>
      </c>
      <c r="M95" s="647" t="inlineStr">
        <is>
          <t>kg</t>
        </is>
      </c>
      <c r="N95" s="690">
        <f>K95*100/($K$85+SUM($K$90:$K$96,$K$98:$K$100))</f>
        <v/>
      </c>
      <c r="P95" s="718" t="inlineStr">
        <is>
          <t>POIVRE BLANC MOULU</t>
        </is>
      </c>
      <c r="Q95" s="621">
        <f>'Haché Moyen'!P11</f>
        <v/>
      </c>
      <c r="R95" s="722">
        <f>R94+Q95</f>
        <v/>
      </c>
      <c r="S95" s="647" t="inlineStr">
        <is>
          <t>kg</t>
        </is>
      </c>
      <c r="T95" s="676">
        <f>Q95*100/($Q$85+SUM($Q$90:$Q$96))</f>
        <v/>
      </c>
      <c r="V95" s="718" t="inlineStr">
        <is>
          <t>POIVRE BLANC MOULU</t>
        </is>
      </c>
      <c r="W95" s="617">
        <f>'Haché Moyen'!P11</f>
        <v/>
      </c>
      <c r="X95" s="722">
        <f>X94+W95</f>
        <v/>
      </c>
      <c r="Y95" s="647" t="inlineStr">
        <is>
          <t>kg</t>
        </is>
      </c>
      <c r="Z95" s="676">
        <f>W95*100/($W$85+SUM($W$90:$W$96))</f>
        <v/>
      </c>
      <c r="AB95" s="718" t="inlineStr">
        <is>
          <t>POIVRE BLANC MOULU</t>
        </is>
      </c>
      <c r="AC95" s="621">
        <f>'Haché Moyen'!P11</f>
        <v/>
      </c>
      <c r="AD95" s="722">
        <f>AD94+AC95</f>
        <v/>
      </c>
      <c r="AE95" s="647" t="inlineStr">
        <is>
          <t>kg</t>
        </is>
      </c>
      <c r="AF95" s="690">
        <f>AC95*100/($AC$85+SUM($AC$90:$AC$96))</f>
        <v/>
      </c>
      <c r="AH95" s="718" t="inlineStr">
        <is>
          <t>POIVRE BLANC MOULU</t>
        </is>
      </c>
      <c r="AI95" s="621">
        <f>'Haché Moyen'!P11</f>
        <v/>
      </c>
      <c r="AJ95" s="722">
        <f>AJ94+AI95</f>
        <v/>
      </c>
      <c r="AK95" s="647" t="inlineStr">
        <is>
          <t>kg</t>
        </is>
      </c>
      <c r="AL95" s="690">
        <f>AI95*100/($AI$85+SUM($AI$90:$AI$96))</f>
        <v/>
      </c>
      <c r="AN95" s="740" t="inlineStr">
        <is>
          <t>POIVRE BLANC MOULU</t>
        </is>
      </c>
      <c r="AO95" s="621">
        <f>'Spécialité Autres'!N59</f>
        <v/>
      </c>
      <c r="AP95" s="621">
        <f>AP94+AO95</f>
        <v/>
      </c>
      <c r="AQ95" s="647" t="inlineStr">
        <is>
          <t>kg</t>
        </is>
      </c>
      <c r="AR95" s="690">
        <f>AO95*100/($AO$85+SUM($AO$90:$AO$96,$AO$98))</f>
        <v/>
      </c>
      <c r="AT95" s="591" t="inlineStr">
        <is>
          <t>POIVRE BLANC MOULU</t>
        </is>
      </c>
      <c r="AU95" s="621">
        <f>'Spécialité Fromagère'!B11</f>
        <v/>
      </c>
      <c r="AV95" s="621">
        <f>AV94+AU95</f>
        <v/>
      </c>
      <c r="AW95" s="647" t="inlineStr">
        <is>
          <t>kg</t>
        </is>
      </c>
      <c r="AX95" s="690">
        <f>AU95*100/($AU$85+SUM($AU$90:$AU$96,$AU$98))</f>
        <v/>
      </c>
      <c r="AZ95" s="591" t="inlineStr">
        <is>
          <t>POIVRE BLANC MOULU</t>
        </is>
      </c>
      <c r="BA95" s="621">
        <f>'Spécialité Autres'!B11</f>
        <v/>
      </c>
      <c r="BB95" s="621">
        <f>BB94+BA95</f>
        <v/>
      </c>
      <c r="BC95" s="647" t="inlineStr">
        <is>
          <t>kg</t>
        </is>
      </c>
      <c r="BD95" s="690">
        <f>BA95*100/($BA$85+SUM($BA$90:$BA$96,$BA$98))</f>
        <v/>
      </c>
      <c r="BF95" s="591" t="inlineStr">
        <is>
          <t>POIVRE BLANC MOULU</t>
        </is>
      </c>
      <c r="BG95" s="621">
        <f>'Spécialité Autres'!H11</f>
        <v/>
      </c>
      <c r="BH95" s="621" t="n">
        <v>6.117999999999999</v>
      </c>
      <c r="BI95" s="647" t="inlineStr">
        <is>
          <t>kg</t>
        </is>
      </c>
      <c r="BJ95" s="676">
        <f>BG95*100/($BG$85+SUM($BG$90:$BG$96,$BG$98))</f>
        <v/>
      </c>
      <c r="BL95" s="591" t="inlineStr">
        <is>
          <t>POIVRE BLANC MOULU</t>
        </is>
      </c>
      <c r="BM95" s="621">
        <f>'Haché Moyen'!$P$11</f>
        <v/>
      </c>
      <c r="BN95" s="621">
        <f>BN94+BM95</f>
        <v/>
      </c>
      <c r="BO95" s="647" t="inlineStr">
        <is>
          <t>kg</t>
        </is>
      </c>
      <c r="BP95" s="690">
        <f>BM95*100/($BM$85+SUM($BM$90:$BM$96))</f>
        <v/>
      </c>
      <c r="BR95" s="698" t="inlineStr">
        <is>
          <t>POIVRE BLANC MOULU</t>
        </is>
      </c>
      <c r="BS95" s="621">
        <f>'Spécialité Autres'!B41</f>
        <v/>
      </c>
      <c r="BT95" s="621">
        <f>BT94+BS95</f>
        <v/>
      </c>
      <c r="BU95" s="647" t="inlineStr">
        <is>
          <t>kg</t>
        </is>
      </c>
      <c r="BV95" s="676">
        <f>BS95*100/($BS$85+SUM($BS$90:$BS$96,$BS$98))</f>
        <v/>
      </c>
      <c r="BX95" s="698" t="inlineStr">
        <is>
          <t>POIVRE BLANC MOULU</t>
        </is>
      </c>
      <c r="BY95" s="621">
        <f>'Spécialité Autres'!N11</f>
        <v/>
      </c>
      <c r="BZ95" s="621">
        <f>BZ94+BY95</f>
        <v/>
      </c>
      <c r="CA95" s="647" t="inlineStr">
        <is>
          <t>kg</t>
        </is>
      </c>
      <c r="CB95" s="676">
        <f>BY95*100/($BY$85+SUM($BY$90:$BY$96,$BY$98))</f>
        <v/>
      </c>
      <c r="CD95" s="698" t="inlineStr">
        <is>
          <t>POIVRE BLANC MOULU</t>
        </is>
      </c>
      <c r="CE95" s="621">
        <f>'Spécialité Autres'!B25</f>
        <v/>
      </c>
      <c r="CF95" s="621">
        <f>CF94+CE95</f>
        <v/>
      </c>
      <c r="CG95" s="647" t="inlineStr">
        <is>
          <t>kg</t>
        </is>
      </c>
      <c r="CH95" s="676">
        <f>CE95*100/($CE$85+SUM($CE$90:$CE$96,$CE$98))</f>
        <v/>
      </c>
      <c r="CJ95" s="698" t="inlineStr">
        <is>
          <t>POIVRE BLANC MOULU</t>
        </is>
      </c>
      <c r="CK95" s="621">
        <f>'Spécialité Autres'!H41</f>
        <v/>
      </c>
      <c r="CL95" s="621">
        <f>CL94+CK95</f>
        <v/>
      </c>
      <c r="CM95" s="647" t="inlineStr">
        <is>
          <t>kg</t>
        </is>
      </c>
      <c r="CN95" s="676">
        <f>CK95*100/($CK$85+SUM($CK$90:$CK$96,$CK$98:$CK$100))</f>
        <v/>
      </c>
      <c r="CP95" s="698" t="inlineStr">
        <is>
          <t>POIVRE BLANC MOULU</t>
        </is>
      </c>
      <c r="CQ95" s="621">
        <f>'Spécialité Autres'!H25</f>
        <v/>
      </c>
      <c r="CR95" s="621">
        <f>CR94+CQ95</f>
        <v/>
      </c>
      <c r="CS95" s="647" t="inlineStr">
        <is>
          <t>kg</t>
        </is>
      </c>
      <c r="CT95" s="676">
        <f>CQ95*100/($CQ$85+SUM($CQ$90:$CQ$96,$CQ$98))</f>
        <v/>
      </c>
      <c r="CV95" s="698" t="inlineStr">
        <is>
          <t>POIVRE BLANC MOULU</t>
        </is>
      </c>
      <c r="CW95" s="621">
        <f>'Spécialité Autres'!H59</f>
        <v/>
      </c>
      <c r="CX95" s="621">
        <f>CX94+CW95</f>
        <v/>
      </c>
      <c r="CY95" s="647" t="inlineStr">
        <is>
          <t>kg</t>
        </is>
      </c>
      <c r="CZ95" s="676">
        <f>CW95*100/($CW$85+SUM($CW$90:$CW$96,$CW$98))</f>
        <v/>
      </c>
      <c r="DB95" s="698" t="inlineStr">
        <is>
          <t>POIVRE BLANC MOULU</t>
        </is>
      </c>
      <c r="DC95" s="621">
        <f>'Spécialité Autres'!N75</f>
        <v/>
      </c>
      <c r="DD95" s="621">
        <f>DD94+DC95</f>
        <v/>
      </c>
      <c r="DE95" s="647" t="inlineStr">
        <is>
          <t>kg</t>
        </is>
      </c>
      <c r="DF95" s="676">
        <f>DC95*100/($DC$85+SUM($DC$90:$DC$96,$DC$98))</f>
        <v/>
      </c>
      <c r="DH95" s="698" t="inlineStr">
        <is>
          <t>POIVRE BLANC MOULU</t>
        </is>
      </c>
      <c r="DI95" s="621">
        <f>'Spécialité Autres'!N25</f>
        <v/>
      </c>
      <c r="DJ95" s="621">
        <f>DJ94+DI95</f>
        <v/>
      </c>
      <c r="DK95" s="647" t="inlineStr">
        <is>
          <t>kg</t>
        </is>
      </c>
      <c r="DL95" s="676">
        <f>DI95*100/($DI$85+SUM($DI$90:$DI$96,$DI$98))</f>
        <v/>
      </c>
      <c r="DN95" s="591" t="inlineStr">
        <is>
          <t>POIVRE BLANC MOULU</t>
        </is>
      </c>
      <c r="DO95" s="621">
        <f>'Haché Moyen'!$P$11</f>
        <v/>
      </c>
      <c r="DP95" s="621">
        <f>DP94+DO95</f>
        <v/>
      </c>
      <c r="DQ95" s="647" t="inlineStr">
        <is>
          <t>kg</t>
        </is>
      </c>
      <c r="DR95" s="676">
        <f>DO95*100/($DO$85+SUM($DO$90:$DO$96))</f>
        <v/>
      </c>
      <c r="DT95" s="698" t="inlineStr">
        <is>
          <t>POIVRE BLANC MOULU</t>
        </is>
      </c>
      <c r="DU95" s="621">
        <f>'Spécialité carnée'!B26</f>
        <v/>
      </c>
      <c r="DV95" s="621">
        <f>DV94+DU95</f>
        <v/>
      </c>
      <c r="DW95" s="647" t="inlineStr">
        <is>
          <t>kg</t>
        </is>
      </c>
      <c r="DX95" s="676">
        <f>DU95*100/($DU$86+SUM($DU$90:$DU$96))</f>
        <v/>
      </c>
      <c r="DZ95" s="698" t="inlineStr">
        <is>
          <t>POIVRE BLANC MOULU</t>
        </is>
      </c>
      <c r="EA95" s="621">
        <f>'Spécialité Fromagère'!B26</f>
        <v/>
      </c>
      <c r="EB95" s="621">
        <f>EB94+EA95</f>
        <v/>
      </c>
      <c r="EC95" s="647" t="inlineStr">
        <is>
          <t>kg</t>
        </is>
      </c>
      <c r="ED95" s="676">
        <f>EA95*100/($EA$85+SUM($EA$90:$EA$96,$EA$98))</f>
        <v/>
      </c>
      <c r="EF95" s="698" t="inlineStr">
        <is>
          <t>POIVRE BLANC MOULU</t>
        </is>
      </c>
      <c r="EG95" s="621">
        <f>'Spécialité carnée'!H26</f>
        <v/>
      </c>
      <c r="EH95" s="621">
        <f>EH94+EG95</f>
        <v/>
      </c>
      <c r="EI95" s="647" t="inlineStr">
        <is>
          <t>kg</t>
        </is>
      </c>
      <c r="EJ95" s="676">
        <f>EG95*100/($EG$86+SUM($EG$90:$EG$96))</f>
        <v/>
      </c>
      <c r="EL95" s="698" t="inlineStr">
        <is>
          <t>POIVRE BLANC MOULU</t>
        </is>
      </c>
      <c r="EM95" s="621">
        <f>'Spécialité Autres'!N41</f>
        <v/>
      </c>
      <c r="EN95" s="621">
        <f>EN94+EM95</f>
        <v/>
      </c>
      <c r="EO95" s="647" t="inlineStr">
        <is>
          <t>kg</t>
        </is>
      </c>
      <c r="EP95" s="676">
        <f>EM95*100/($EM$85+SUM($EM$90:$EM$96,$EM$98))</f>
        <v/>
      </c>
      <c r="ER95" s="698" t="inlineStr">
        <is>
          <t>POIVRE BLANC MOULU</t>
        </is>
      </c>
      <c r="ES95" s="621">
        <f>'Spécialité carnée'!B11</f>
        <v/>
      </c>
      <c r="ET95" s="621">
        <f>ET94+ES95</f>
        <v/>
      </c>
      <c r="EU95" s="647" t="inlineStr">
        <is>
          <t>kg</t>
        </is>
      </c>
      <c r="EV95" s="676">
        <f>ES95*100/($ES$86+SUM($ES$90:$ES$96))</f>
        <v/>
      </c>
      <c r="EX95" s="698" t="inlineStr">
        <is>
          <t>POIVRE BLANC MOULU</t>
        </is>
      </c>
      <c r="EY95" s="621">
        <f>'Spécialité Fromagère'!H26</f>
        <v/>
      </c>
      <c r="EZ95" s="621">
        <f>EZ94+EY95</f>
        <v/>
      </c>
      <c r="FA95" s="647" t="inlineStr">
        <is>
          <t>kg</t>
        </is>
      </c>
      <c r="FB95" s="676">
        <f>EY95*100/($EY$85+SUM($EY$90:$EY$96,$EY$98:$EY$99))</f>
        <v/>
      </c>
      <c r="FD95" s="698" t="inlineStr">
        <is>
          <t>POIVRE BLANC MOULU</t>
        </is>
      </c>
      <c r="FE95" s="621">
        <f>'Spécialité Fromagère'!H11</f>
        <v/>
      </c>
      <c r="FF95" s="621">
        <f>FF94+FE95</f>
        <v/>
      </c>
      <c r="FG95" s="647" t="inlineStr">
        <is>
          <t>kg</t>
        </is>
      </c>
      <c r="FH95" s="676">
        <f>FE95*100/($FE$85+SUM($FE$90:$FE$96,$FE$98))</f>
        <v/>
      </c>
      <c r="FJ95" s="698" t="inlineStr">
        <is>
          <t>POIVRE BLANC MOULU</t>
        </is>
      </c>
      <c r="FK95" s="621">
        <f>'Spécialité carnée'!H11</f>
        <v/>
      </c>
      <c r="FL95" s="621">
        <f>FL94+FK95</f>
        <v/>
      </c>
      <c r="FM95" s="647" t="inlineStr">
        <is>
          <t>kg</t>
        </is>
      </c>
      <c r="FN95" s="676">
        <f>FK95*100/($FK$86+SUM($FK$90:$FK$96))</f>
        <v/>
      </c>
    </row>
    <row r="96" ht="26.25" customHeight="1" s="1025" thickBot="1">
      <c r="J96" s="614" t="inlineStr">
        <is>
          <t>AIL SEMOULE</t>
        </is>
      </c>
      <c r="K96" s="687">
        <f>'Spécialité Autres'!B60</f>
        <v/>
      </c>
      <c r="L96" s="711">
        <f>L95+K96</f>
        <v/>
      </c>
      <c r="M96" s="688" t="inlineStr">
        <is>
          <t>kg</t>
        </is>
      </c>
      <c r="N96" s="573">
        <f>K96*100/($K$85+SUM($K$90:$K$96,$K$98:$K$100))</f>
        <v/>
      </c>
      <c r="P96" s="720" t="inlineStr">
        <is>
          <t>AIL SEMOULE</t>
        </is>
      </c>
      <c r="Q96" s="687">
        <f>'Haché Moyen'!P12</f>
        <v/>
      </c>
      <c r="R96" s="724">
        <f>R95+Q96</f>
        <v/>
      </c>
      <c r="S96" s="688" t="inlineStr">
        <is>
          <t>kg</t>
        </is>
      </c>
      <c r="T96" s="675">
        <f>Q96*100/($Q$85+SUM($Q$90:$Q$96))</f>
        <v/>
      </c>
      <c r="V96" s="720" t="inlineStr">
        <is>
          <t>AIL SEMOULE</t>
        </is>
      </c>
      <c r="W96" s="735">
        <f>'Haché Moyen'!P12</f>
        <v/>
      </c>
      <c r="X96" s="724">
        <f>X95+W96</f>
        <v/>
      </c>
      <c r="Y96" s="688" t="inlineStr">
        <is>
          <t>kg</t>
        </is>
      </c>
      <c r="Z96" s="736">
        <f>W96*100/($W$85+SUM($W$90:$W$96))</f>
        <v/>
      </c>
      <c r="AB96" s="720" t="inlineStr">
        <is>
          <t>AIL SEMOULE</t>
        </is>
      </c>
      <c r="AC96" s="687">
        <f>'Haché Moyen'!P12</f>
        <v/>
      </c>
      <c r="AD96" s="724">
        <f>AD95+AC96</f>
        <v/>
      </c>
      <c r="AE96" s="688" t="inlineStr">
        <is>
          <t>kg</t>
        </is>
      </c>
      <c r="AF96" s="573">
        <f>AC96*100/($AC$85+SUM($AC$90:$AC$96))</f>
        <v/>
      </c>
      <c r="AH96" s="720" t="inlineStr">
        <is>
          <t>AIL SEMOULE</t>
        </is>
      </c>
      <c r="AI96" s="687">
        <f>'Haché Moyen'!P12</f>
        <v/>
      </c>
      <c r="AJ96" s="724">
        <f>AJ95+AI96</f>
        <v/>
      </c>
      <c r="AK96" s="688" t="inlineStr">
        <is>
          <t>kg</t>
        </is>
      </c>
      <c r="AL96" s="573">
        <f>AI96*100/($AI$85+SUM($AI$90:$AI$96))</f>
        <v/>
      </c>
      <c r="AN96" s="745" t="inlineStr">
        <is>
          <t>AIL SEMOULE</t>
        </is>
      </c>
      <c r="AO96" s="687">
        <f>'Spécialité Autres'!N60</f>
        <v/>
      </c>
      <c r="AP96" s="631">
        <f>AP95+AO96</f>
        <v/>
      </c>
      <c r="AQ96" s="688" t="inlineStr">
        <is>
          <t>kg</t>
        </is>
      </c>
      <c r="AR96" s="573">
        <f>AO96*100/($AO$85+SUM($AO$90:$AO$96,$AO$98))</f>
        <v/>
      </c>
      <c r="AT96" s="614" t="inlineStr">
        <is>
          <t>AIL SEMOULE</t>
        </is>
      </c>
      <c r="AU96" s="687">
        <f>'Spécialité Fromagère'!B12</f>
        <v/>
      </c>
      <c r="AV96" s="631">
        <f>AV95+AU96</f>
        <v/>
      </c>
      <c r="AW96" s="688" t="inlineStr">
        <is>
          <t>kg</t>
        </is>
      </c>
      <c r="AX96" s="573">
        <f>AU96*100/($AU$85+SUM($AU$90:$AU$96,$AU$98))</f>
        <v/>
      </c>
      <c r="AZ96" s="614" t="inlineStr">
        <is>
          <t>AIL SEMOULE</t>
        </is>
      </c>
      <c r="BA96" s="687">
        <f>'Spécialité Autres'!B12</f>
        <v/>
      </c>
      <c r="BB96" s="631">
        <f>BB95+BA96</f>
        <v/>
      </c>
      <c r="BC96" s="688" t="inlineStr">
        <is>
          <t>kg</t>
        </is>
      </c>
      <c r="BD96" s="573">
        <f>BA96*100/($BA$85+SUM($BA$90:$BA$96,$BA$98))</f>
        <v/>
      </c>
      <c r="BF96" s="614" t="inlineStr">
        <is>
          <t>AIL SEMOULE</t>
        </is>
      </c>
      <c r="BG96" s="687">
        <f>'Spécialité Autres'!H12</f>
        <v/>
      </c>
      <c r="BH96" s="631" t="n">
        <v>6.198</v>
      </c>
      <c r="BI96" s="688" t="inlineStr">
        <is>
          <t>kg</t>
        </is>
      </c>
      <c r="BJ96" s="573">
        <f>BG96*100/($BG$85+SUM($BG$90:$BG$96,$BG$98))</f>
        <v/>
      </c>
      <c r="BL96" s="614" t="inlineStr">
        <is>
          <t>AIL SEMOULE</t>
        </is>
      </c>
      <c r="BM96" s="687">
        <f>'Haché Moyen'!$P$12</f>
        <v/>
      </c>
      <c r="BN96" s="631">
        <f>BN95+BM96</f>
        <v/>
      </c>
      <c r="BO96" s="688" t="inlineStr">
        <is>
          <t>kg</t>
        </is>
      </c>
      <c r="BP96" s="573">
        <f>BM96*100/($BM$85+SUM($BM$90:$BM$96))</f>
        <v/>
      </c>
      <c r="BR96" s="768" t="inlineStr">
        <is>
          <t>AIL SEMOULE</t>
        </is>
      </c>
      <c r="BS96" s="687">
        <f>'Spécialité Autres'!B42</f>
        <v/>
      </c>
      <c r="BT96" s="631">
        <f>BT95+BS96</f>
        <v/>
      </c>
      <c r="BU96" s="688" t="inlineStr">
        <is>
          <t>kg</t>
        </is>
      </c>
      <c r="BV96" s="736">
        <f>BS96*100/($BS$85+SUM($BS$90:$BS$96,$BS$98))</f>
        <v/>
      </c>
      <c r="BX96" s="768" t="inlineStr">
        <is>
          <t>AIL SEMOULE</t>
        </is>
      </c>
      <c r="BY96" s="687">
        <f>'Spécialité Autres'!N12</f>
        <v/>
      </c>
      <c r="BZ96" s="631">
        <f>BZ95+BY96</f>
        <v/>
      </c>
      <c r="CA96" s="688" t="inlineStr">
        <is>
          <t>kg</t>
        </is>
      </c>
      <c r="CB96" s="573">
        <f>BY96*100/($BY$85+SUM($BY$90:$BY$96,$BY$98))</f>
        <v/>
      </c>
      <c r="CD96" s="768" t="inlineStr">
        <is>
          <t>AIL SEMOULE</t>
        </is>
      </c>
      <c r="CE96" s="687">
        <f>'Spécialité Autres'!B26</f>
        <v/>
      </c>
      <c r="CF96" s="631">
        <f>CF95+CE96</f>
        <v/>
      </c>
      <c r="CG96" s="688" t="inlineStr">
        <is>
          <t>kg</t>
        </is>
      </c>
      <c r="CH96" s="573">
        <f>CE96*100/($CE$85+SUM($CE$90:$CE$96,$CE$98))</f>
        <v/>
      </c>
      <c r="CJ96" s="768" t="inlineStr">
        <is>
          <t>AIL SEMOULE</t>
        </is>
      </c>
      <c r="CK96" s="687">
        <f>'Spécialité Autres'!H42</f>
        <v/>
      </c>
      <c r="CL96" s="631">
        <f>CL95+CK96</f>
        <v/>
      </c>
      <c r="CM96" s="688" t="inlineStr">
        <is>
          <t>kg</t>
        </is>
      </c>
      <c r="CN96" s="573">
        <f>CK96*100/($CK$85+SUM($CK$90:$CK$96,$CK$98:$CK$100))</f>
        <v/>
      </c>
      <c r="CP96" s="768" t="inlineStr">
        <is>
          <t>AIL SEMOULE</t>
        </is>
      </c>
      <c r="CQ96" s="687">
        <f>'Spécialité Autres'!H26</f>
        <v/>
      </c>
      <c r="CR96" s="631">
        <f>CR95+CQ96</f>
        <v/>
      </c>
      <c r="CS96" s="688" t="inlineStr">
        <is>
          <t>kg</t>
        </is>
      </c>
      <c r="CT96" s="573">
        <f>CQ96*100/($CQ$85+SUM($CQ$90:$CQ$96,$CQ$98))</f>
        <v/>
      </c>
      <c r="CV96" s="768" t="inlineStr">
        <is>
          <t>AIL SEMOULE</t>
        </is>
      </c>
      <c r="CW96" s="687">
        <f>'Spécialité Autres'!H60</f>
        <v/>
      </c>
      <c r="CX96" s="631">
        <f>CX95+CW96</f>
        <v/>
      </c>
      <c r="CY96" s="688" t="inlineStr">
        <is>
          <t>kg</t>
        </is>
      </c>
      <c r="CZ96" s="675">
        <f>CW96*100/($CW$85+SUM($CW$90:$CW$96,$CW$98))</f>
        <v/>
      </c>
      <c r="DB96" s="768" t="inlineStr">
        <is>
          <t>AIL SEMOULE</t>
        </is>
      </c>
      <c r="DC96" s="687">
        <f>'Spécialité Autres'!N76</f>
        <v/>
      </c>
      <c r="DD96" s="631">
        <f>DD95+DC96</f>
        <v/>
      </c>
      <c r="DE96" s="688" t="inlineStr">
        <is>
          <t>kg</t>
        </is>
      </c>
      <c r="DF96" s="573">
        <f>DC96*100/($DC$85+SUM($DC$90:$DC$96,$DC$98))</f>
        <v/>
      </c>
      <c r="DH96" s="768" t="inlineStr">
        <is>
          <t>AIL SEMOULE</t>
        </is>
      </c>
      <c r="DI96" s="687">
        <f>'Spécialité Autres'!N26</f>
        <v/>
      </c>
      <c r="DJ96" s="631">
        <f>DJ95+DI96</f>
        <v/>
      </c>
      <c r="DK96" s="688" t="inlineStr">
        <is>
          <t>kg</t>
        </is>
      </c>
      <c r="DL96" s="573">
        <f>DI96*100/($DI$85+SUM($DI$90:$DI$96,$DI$98))</f>
        <v/>
      </c>
      <c r="DN96" s="614" t="inlineStr">
        <is>
          <t>AIL SEMOULE</t>
        </is>
      </c>
      <c r="DO96" s="687">
        <f>'Haché Moyen'!$P$12</f>
        <v/>
      </c>
      <c r="DP96" s="631">
        <f>DP95+DO96</f>
        <v/>
      </c>
      <c r="DQ96" s="688" t="inlineStr">
        <is>
          <t>kg</t>
        </is>
      </c>
      <c r="DR96" s="573">
        <f>DO96*100/($DO$85+SUM($DO$90:$DO$96))</f>
        <v/>
      </c>
      <c r="DT96" s="768" t="inlineStr">
        <is>
          <t>AIL SEMOULE</t>
        </is>
      </c>
      <c r="DU96" s="687">
        <f>'Spécialité carnée'!B27</f>
        <v/>
      </c>
      <c r="DV96" s="631">
        <f>DV95+DU96</f>
        <v/>
      </c>
      <c r="DW96" s="688" t="inlineStr">
        <is>
          <t>kg</t>
        </is>
      </c>
      <c r="DX96" s="573">
        <f>DU96*100/($DU$86+SUM($DU$90:$DU$96))</f>
        <v/>
      </c>
      <c r="DZ96" s="768" t="inlineStr">
        <is>
          <t>AIL SEMOULE</t>
        </is>
      </c>
      <c r="EA96" s="687">
        <f>'Spécialité Fromagère'!B27</f>
        <v/>
      </c>
      <c r="EB96" s="631">
        <f>EB95+EA96</f>
        <v/>
      </c>
      <c r="EC96" s="688" t="inlineStr">
        <is>
          <t>kg</t>
        </is>
      </c>
      <c r="ED96" s="573">
        <f>EA96*100/($EA$85+SUM($EA$90:$EA$96,$EA$98))</f>
        <v/>
      </c>
      <c r="EF96" s="768" t="inlineStr">
        <is>
          <t>AIL SEMOULE</t>
        </is>
      </c>
      <c r="EG96" s="687">
        <f>'Spécialité carnée'!H27</f>
        <v/>
      </c>
      <c r="EH96" s="631">
        <f>EH95+EG96</f>
        <v/>
      </c>
      <c r="EI96" s="688" t="inlineStr">
        <is>
          <t>kg</t>
        </is>
      </c>
      <c r="EJ96" s="573">
        <f>EG96*100/($EG$86+SUM($EG$90:$EG$96))</f>
        <v/>
      </c>
      <c r="EL96" s="768" t="inlineStr">
        <is>
          <t>AIL SEMOULE</t>
        </is>
      </c>
      <c r="EM96" s="687">
        <f>'Spécialité Autres'!N42</f>
        <v/>
      </c>
      <c r="EN96" s="631">
        <f>EN95+EM96</f>
        <v/>
      </c>
      <c r="EO96" s="688" t="inlineStr">
        <is>
          <t>kg</t>
        </is>
      </c>
      <c r="EP96" s="573">
        <f>EM96*100/($EM$85+SUM($EM$90:$EM$96,$EM$98))</f>
        <v/>
      </c>
      <c r="ER96" s="768" t="inlineStr">
        <is>
          <t>AIL SEMOULE</t>
        </is>
      </c>
      <c r="ES96" s="687">
        <f>'Spécialité carnée'!B12</f>
        <v/>
      </c>
      <c r="ET96" s="631">
        <f>ET95+ES96</f>
        <v/>
      </c>
      <c r="EU96" s="688" t="inlineStr">
        <is>
          <t>kg</t>
        </is>
      </c>
      <c r="EV96" s="573">
        <f>ES96*100/($ES$86+SUM($ES$90:$ES$96))</f>
        <v/>
      </c>
      <c r="EX96" s="768" t="inlineStr">
        <is>
          <t>AIL SEMOULE</t>
        </is>
      </c>
      <c r="EY96" s="687">
        <f>'Spécialité Fromagère'!H27</f>
        <v/>
      </c>
      <c r="EZ96" s="631">
        <f>EZ95+EY96</f>
        <v/>
      </c>
      <c r="FA96" s="688" t="inlineStr">
        <is>
          <t>kg</t>
        </is>
      </c>
      <c r="FB96" s="573">
        <f>EY96*100/($EY$85+SUM($EY$90:$EY$96,$EY$98:$EY$99))</f>
        <v/>
      </c>
      <c r="FD96" s="768" t="inlineStr">
        <is>
          <t>AIL SEMOULE</t>
        </is>
      </c>
      <c r="FE96" s="687">
        <f>'Spécialité Fromagère'!H12</f>
        <v/>
      </c>
      <c r="FF96" s="631">
        <f>FF95+FE96</f>
        <v/>
      </c>
      <c r="FG96" s="688" t="inlineStr">
        <is>
          <t>kg</t>
        </is>
      </c>
      <c r="FH96" s="573">
        <f>FE96*100/($FE$85+SUM($FE$90:$FE$96,$FE$98))</f>
        <v/>
      </c>
      <c r="FJ96" s="768" t="inlineStr">
        <is>
          <t>AIL SEMOULE</t>
        </is>
      </c>
      <c r="FK96" s="687">
        <f>'Spécialité carnée'!H12</f>
        <v/>
      </c>
      <c r="FL96" s="631">
        <f>FL95+FK96</f>
        <v/>
      </c>
      <c r="FM96" s="688" t="inlineStr">
        <is>
          <t>kg</t>
        </is>
      </c>
      <c r="FN96" s="573">
        <f>FK96*100/($FK$86+SUM($FK$90:$FK$96))</f>
        <v/>
      </c>
    </row>
    <row r="97" ht="27" customHeight="1" s="1025" thickBot="1" thickTop="1">
      <c r="J97" s="712" t="inlineStr">
        <is>
          <t>FERMENT MF 244</t>
        </is>
      </c>
      <c r="K97" s="713">
        <f>'Spécialité Autres'!B61</f>
        <v/>
      </c>
      <c r="L97" s="714">
        <f>K97</f>
        <v/>
      </c>
      <c r="M97" s="715" t="inlineStr">
        <is>
          <t>scht</t>
        </is>
      </c>
      <c r="N97" s="716">
        <f>K97*100/($K$85+SUM($K$90:$K$96,$K$98:$K$100))</f>
        <v/>
      </c>
      <c r="P97" s="725" t="inlineStr">
        <is>
          <t>FERMENT MF 244</t>
        </is>
      </c>
      <c r="Q97" s="731">
        <f>'Haché Moyen'!P13</f>
        <v/>
      </c>
      <c r="R97" s="726">
        <f>Q97</f>
        <v/>
      </c>
      <c r="S97" s="727" t="inlineStr">
        <is>
          <t>scht</t>
        </is>
      </c>
      <c r="T97" s="728" t="n"/>
      <c r="V97" s="733" t="inlineStr">
        <is>
          <t>FERMENT MF 244</t>
        </is>
      </c>
      <c r="W97" s="738">
        <f>'Haché Moyen'!P13</f>
        <v/>
      </c>
      <c r="X97" s="734">
        <f>W97</f>
        <v/>
      </c>
      <c r="Y97" s="682" t="inlineStr">
        <is>
          <t>scht</t>
        </is>
      </c>
      <c r="Z97" s="685" t="n"/>
      <c r="AB97" s="733" t="inlineStr">
        <is>
          <t>FERMENT MF 244</t>
        </is>
      </c>
      <c r="AC97" s="738">
        <f>'Haché Moyen'!P13</f>
        <v/>
      </c>
      <c r="AD97" s="734">
        <f>AC97</f>
        <v/>
      </c>
      <c r="AE97" s="682" t="inlineStr">
        <is>
          <t>scht</t>
        </is>
      </c>
      <c r="AF97" s="685" t="n"/>
      <c r="AH97" s="733" t="inlineStr">
        <is>
          <t>FERMENT MF 244</t>
        </is>
      </c>
      <c r="AI97" s="732">
        <f>'Haché Moyen'!P13</f>
        <v/>
      </c>
      <c r="AJ97" s="734">
        <f>AI97</f>
        <v/>
      </c>
      <c r="AK97" s="682" t="inlineStr">
        <is>
          <t>scht</t>
        </is>
      </c>
      <c r="AL97" s="685" t="n"/>
      <c r="AN97" s="746" t="inlineStr">
        <is>
          <t>FERMENT MF 244</t>
        </is>
      </c>
      <c r="AO97" s="649">
        <f>'Spécialité Autres'!N61</f>
        <v/>
      </c>
      <c r="AP97" s="752">
        <f>AO97</f>
        <v/>
      </c>
      <c r="AQ97" s="527" t="inlineStr">
        <is>
          <t>scht</t>
        </is>
      </c>
      <c r="AR97" s="572" t="n"/>
      <c r="AT97" s="748" t="inlineStr">
        <is>
          <t>FERMENT MF 244</t>
        </is>
      </c>
      <c r="AU97" s="749">
        <f>'Spécialité Fromagère'!B13</f>
        <v/>
      </c>
      <c r="AV97" s="754">
        <f>AU97</f>
        <v/>
      </c>
      <c r="AW97" s="527" t="inlineStr">
        <is>
          <t>scht</t>
        </is>
      </c>
      <c r="AX97" s="572" t="n"/>
      <c r="AZ97" s="748" t="inlineStr">
        <is>
          <t>FERMENT MF 244</t>
        </is>
      </c>
      <c r="BA97" s="649">
        <f>'Spécialité Autres'!B13</f>
        <v/>
      </c>
      <c r="BB97" s="752">
        <f>BA97</f>
        <v/>
      </c>
      <c r="BC97" s="527" t="inlineStr">
        <is>
          <t>scht</t>
        </is>
      </c>
      <c r="BD97" s="572" t="n"/>
      <c r="BF97" s="748" t="inlineStr">
        <is>
          <t>FERMENT MF 244</t>
        </is>
      </c>
      <c r="BG97" s="649">
        <f>'Spécialité Autres'!H13</f>
        <v/>
      </c>
      <c r="BH97" s="752" t="n">
        <v>1</v>
      </c>
      <c r="BI97" s="527" t="inlineStr">
        <is>
          <t>scht</t>
        </is>
      </c>
      <c r="BJ97" s="766" t="n"/>
      <c r="BL97" s="684" t="inlineStr">
        <is>
          <t>FERMENT MF 244</t>
        </is>
      </c>
      <c r="BM97" s="681">
        <f>'Haché Moyen'!$P$13</f>
        <v/>
      </c>
      <c r="BN97" s="686">
        <f>BM97</f>
        <v/>
      </c>
      <c r="BO97" s="682" t="inlineStr">
        <is>
          <t>scht</t>
        </is>
      </c>
      <c r="BP97" s="685" t="n"/>
      <c r="BR97" s="769" t="inlineStr">
        <is>
          <t>FERMENT MF 244</t>
        </is>
      </c>
      <c r="BS97" s="713">
        <f>'Spécialité Autres'!B43</f>
        <v/>
      </c>
      <c r="BT97" s="714">
        <f>BS97</f>
        <v/>
      </c>
      <c r="BU97" s="715" t="inlineStr">
        <is>
          <t>scht</t>
        </is>
      </c>
      <c r="BV97" s="766" t="n"/>
      <c r="BX97" s="769" t="inlineStr">
        <is>
          <t>FERMENT MF 244</t>
        </is>
      </c>
      <c r="BY97" s="713">
        <f>'Spécialité Autres'!N13</f>
        <v/>
      </c>
      <c r="BZ97" s="714">
        <f>BY97</f>
        <v/>
      </c>
      <c r="CA97" s="715" t="inlineStr">
        <is>
          <t>scht</t>
        </is>
      </c>
      <c r="CB97" s="766" t="n"/>
      <c r="CD97" s="769" t="inlineStr">
        <is>
          <t>FERMENT MF 244</t>
        </is>
      </c>
      <c r="CE97" s="713">
        <f>'Spécialité Autres'!B27</f>
        <v/>
      </c>
      <c r="CF97" s="714">
        <f>CE97</f>
        <v/>
      </c>
      <c r="CG97" s="715" t="inlineStr">
        <is>
          <t>scht</t>
        </is>
      </c>
      <c r="CH97" s="766" t="n"/>
      <c r="CJ97" s="769" t="inlineStr">
        <is>
          <t>FERMENT MF 244</t>
        </is>
      </c>
      <c r="CK97" s="713">
        <f>'Spécialité Autres'!H43</f>
        <v/>
      </c>
      <c r="CL97" s="714" t="n">
        <v>1</v>
      </c>
      <c r="CM97" s="715" t="inlineStr">
        <is>
          <t>scht</t>
        </is>
      </c>
      <c r="CN97" s="766" t="n"/>
      <c r="CP97" s="769" t="inlineStr">
        <is>
          <t>FERMENT MF 244</t>
        </is>
      </c>
      <c r="CQ97" s="713">
        <f>'Spécialité Autres'!H27</f>
        <v/>
      </c>
      <c r="CR97" s="714">
        <f>CQ97</f>
        <v/>
      </c>
      <c r="CS97" s="715" t="inlineStr">
        <is>
          <t>scht</t>
        </is>
      </c>
      <c r="CT97" s="766" t="n"/>
      <c r="CV97" s="769" t="inlineStr">
        <is>
          <t>FERMENT MF 244</t>
        </is>
      </c>
      <c r="CW97" s="713">
        <f>'Spécialité Autres'!H61</f>
        <v/>
      </c>
      <c r="CX97" s="714">
        <f>CW97</f>
        <v/>
      </c>
      <c r="CY97" s="715" t="inlineStr">
        <is>
          <t>scht</t>
        </is>
      </c>
      <c r="CZ97" s="766" t="n"/>
      <c r="DB97" s="769" t="inlineStr">
        <is>
          <t>FERMENT MF 244</t>
        </is>
      </c>
      <c r="DC97" s="713">
        <f>'Spécialité Autres'!N77</f>
        <v/>
      </c>
      <c r="DD97" s="714">
        <f>DC97</f>
        <v/>
      </c>
      <c r="DE97" s="715" t="inlineStr">
        <is>
          <t>scht</t>
        </is>
      </c>
      <c r="DF97" s="766" t="n"/>
      <c r="DH97" s="769" t="inlineStr">
        <is>
          <t>FERMENT MF 244</t>
        </is>
      </c>
      <c r="DI97" s="713">
        <f>'Spécialité Autres'!N27</f>
        <v/>
      </c>
      <c r="DJ97" s="714">
        <f>DI97</f>
        <v/>
      </c>
      <c r="DK97" s="715" t="inlineStr">
        <is>
          <t>scht</t>
        </is>
      </c>
      <c r="DL97" s="766" t="n"/>
      <c r="DN97" s="684" t="inlineStr">
        <is>
          <t>FERMENT MF 244</t>
        </is>
      </c>
      <c r="DO97" s="681">
        <f>'Haché Moyen'!$P$13</f>
        <v/>
      </c>
      <c r="DP97" s="686">
        <f>DO97</f>
        <v/>
      </c>
      <c r="DQ97" s="682" t="inlineStr">
        <is>
          <t>scht</t>
        </is>
      </c>
      <c r="DR97" s="685" t="n"/>
      <c r="DT97" s="792" t="inlineStr">
        <is>
          <t>FERMENT MF 244</t>
        </is>
      </c>
      <c r="DU97" s="681">
        <f>'Spécialité carnée'!B28</f>
        <v/>
      </c>
      <c r="DV97" s="686">
        <f>DU97</f>
        <v/>
      </c>
      <c r="DW97" s="682" t="inlineStr">
        <is>
          <t>scht</t>
        </is>
      </c>
      <c r="DX97" s="793" t="n"/>
      <c r="DZ97" s="769" t="inlineStr">
        <is>
          <t>FERMENT MF 42R</t>
        </is>
      </c>
      <c r="EA97" s="791">
        <f>'Spécialité Fromagère'!B28</f>
        <v/>
      </c>
      <c r="EB97" s="714">
        <f>EA97</f>
        <v/>
      </c>
      <c r="EC97" s="715" t="inlineStr">
        <is>
          <t>scht</t>
        </is>
      </c>
      <c r="ED97" s="766" t="n"/>
      <c r="EF97" s="792" t="inlineStr">
        <is>
          <t>FERMENT MF 244</t>
        </is>
      </c>
      <c r="EG97" s="681">
        <f>'Spécialité carnée'!H28</f>
        <v/>
      </c>
      <c r="EH97" s="686">
        <f>EG97</f>
        <v/>
      </c>
      <c r="EI97" s="682" t="inlineStr">
        <is>
          <t>scht</t>
        </is>
      </c>
      <c r="EJ97" s="793" t="n"/>
      <c r="EL97" s="769" t="inlineStr">
        <is>
          <t>FERMENT MF 244</t>
        </is>
      </c>
      <c r="EM97" s="791">
        <f>'Spécialité Autres'!N43</f>
        <v/>
      </c>
      <c r="EN97" s="794">
        <f>EM97</f>
        <v/>
      </c>
      <c r="EO97" s="715" t="inlineStr">
        <is>
          <t>scht</t>
        </is>
      </c>
      <c r="EP97" s="766" t="n"/>
      <c r="ER97" s="792" t="inlineStr">
        <is>
          <t>FERMENT MF 244</t>
        </is>
      </c>
      <c r="ES97" s="681">
        <f>'Spécialité carnée'!B13</f>
        <v/>
      </c>
      <c r="ET97" s="686">
        <f>ES97</f>
        <v/>
      </c>
      <c r="EU97" s="682" t="inlineStr">
        <is>
          <t>scht</t>
        </is>
      </c>
      <c r="EV97" s="793" t="n"/>
      <c r="EX97" s="769" t="inlineStr">
        <is>
          <t>FERMENT MF 244</t>
        </is>
      </c>
      <c r="EY97" s="791">
        <f>'Spécialité Fromagère'!H28</f>
        <v/>
      </c>
      <c r="EZ97" s="714">
        <f>EY97</f>
        <v/>
      </c>
      <c r="FA97" s="715" t="inlineStr">
        <is>
          <t>scht</t>
        </is>
      </c>
      <c r="FB97" s="766" t="n"/>
      <c r="FD97" s="769" t="inlineStr">
        <is>
          <t>FERMENT MF 244</t>
        </is>
      </c>
      <c r="FE97" s="791">
        <f>'Spécialité Fromagère'!H13</f>
        <v/>
      </c>
      <c r="FF97" s="714">
        <f>FE97</f>
        <v/>
      </c>
      <c r="FG97" s="715" t="inlineStr">
        <is>
          <t>scht</t>
        </is>
      </c>
      <c r="FH97" s="766" t="n"/>
      <c r="FJ97" s="792" t="inlineStr">
        <is>
          <t>FERMENT MF 244</t>
        </is>
      </c>
      <c r="FK97" s="681">
        <f>'Spécialité carnée'!H13</f>
        <v/>
      </c>
      <c r="FL97" s="686">
        <f>FK97</f>
        <v/>
      </c>
      <c r="FM97" s="682" t="inlineStr">
        <is>
          <t>scht</t>
        </is>
      </c>
      <c r="FN97" s="793" t="n"/>
    </row>
    <row r="98" ht="25.5" customHeight="1" s="1025" thickBot="1" thickTop="1">
      <c r="J98" s="708" t="inlineStr">
        <is>
          <t>Ingrédients: Piment Doux</t>
        </is>
      </c>
      <c r="K98" s="709">
        <f>'Spécialité Autres'!B62</f>
        <v/>
      </c>
      <c r="L98" s="709">
        <f>K98</f>
        <v/>
      </c>
      <c r="M98" s="709" t="inlineStr">
        <is>
          <t>kg</t>
        </is>
      </c>
      <c r="N98" s="710">
        <f>K98*100/($K$85+SUM($K$90:$K$96,$K$98:$K$100))</f>
        <v/>
      </c>
      <c r="P98" s="574" t="inlineStr">
        <is>
          <t>% Assaisonnement = Ingrédient Concerné X 100 / (Total Assaisonnement sauf Ferment + Total Viandes)</t>
        </is>
      </c>
      <c r="R98" s="488" t="n"/>
      <c r="S98" s="995" t="n"/>
      <c r="V98" s="574" t="inlineStr">
        <is>
          <t>% Assaisonnement = Ingrédient Concerné X 100 / (Total Assaisonnement sauf Ferment + Total Viandes)</t>
        </is>
      </c>
      <c r="X98" s="488" t="n"/>
      <c r="Y98" s="995" t="n"/>
      <c r="AB98" s="574" t="inlineStr">
        <is>
          <t>% Assaisonnement = Ingrédient Concerné X 100 / (Total Assaisonnement sauf Ferment + Total Viandes)</t>
        </is>
      </c>
      <c r="AD98" s="488" t="n"/>
      <c r="AE98" s="995" t="n"/>
      <c r="AH98" s="574" t="inlineStr">
        <is>
          <t>% Assaisonnement = Ingrédient Concerné X 100 / (Total Assaisonnement sauf Ferment + Total Viandes)</t>
        </is>
      </c>
      <c r="AJ98" s="488" t="n"/>
      <c r="AK98" s="995" t="n"/>
      <c r="AN98" s="742" t="inlineStr">
        <is>
          <t>Ingrédients: Lavande</t>
        </is>
      </c>
      <c r="AO98" s="747">
        <f>'Spécialité Autres'!N62</f>
        <v/>
      </c>
      <c r="AP98" s="753">
        <f>AO98</f>
        <v/>
      </c>
      <c r="AQ98" s="743" t="inlineStr">
        <is>
          <t>kg</t>
        </is>
      </c>
      <c r="AR98" s="744">
        <f>AO98*100/($AO$85+SUM($AO$90:$AO$96,$AO$98))</f>
        <v/>
      </c>
      <c r="AT98" s="750" t="inlineStr">
        <is>
          <t>Ingrédients : Beaufort</t>
        </is>
      </c>
      <c r="AU98" s="751">
        <f>'Spécialité Fromagère'!B14</f>
        <v/>
      </c>
      <c r="AV98" s="755">
        <f>AU98</f>
        <v/>
      </c>
      <c r="AW98" s="751" t="inlineStr">
        <is>
          <t>kg</t>
        </is>
      </c>
      <c r="AX98" s="758">
        <f>AU98*100/($AU$85+SUM($AU$90:$AU$96,$AU$98))</f>
        <v/>
      </c>
      <c r="AZ98" s="668" t="inlineStr">
        <is>
          <t>Ingrédients : Noisettes</t>
        </is>
      </c>
      <c r="BA98" s="756">
        <f>'Spécialité Autres'!B14</f>
        <v/>
      </c>
      <c r="BB98" s="757">
        <f>BA98</f>
        <v/>
      </c>
      <c r="BC98" s="756" t="inlineStr">
        <is>
          <t>kg</t>
        </is>
      </c>
      <c r="BD98" s="744">
        <f>BA98*100/($BA$85+SUM($BA$90:$BA$96,$BA$98))</f>
        <v/>
      </c>
      <c r="BF98" s="668" t="inlineStr">
        <is>
          <t>Ingrédients : Noix</t>
        </is>
      </c>
      <c r="BG98" s="756">
        <f>'Spécialité Autres'!H14</f>
        <v/>
      </c>
      <c r="BH98" s="757" t="n">
        <v>5</v>
      </c>
      <c r="BI98" s="756" t="inlineStr">
        <is>
          <t>kg</t>
        </is>
      </c>
      <c r="BJ98" s="744">
        <f>BG98*100/($BG$85+SUM($BG$90:$BG$96,$BG$98))</f>
        <v/>
      </c>
      <c r="BL98" s="1087" t="inlineStr">
        <is>
          <t>Ingrédients : Piment Concassé + 15% Piment Doux Paprika</t>
        </is>
      </c>
      <c r="BM98" s="919" t="n"/>
      <c r="BN98" s="919" t="n"/>
      <c r="BO98" s="919" t="n"/>
      <c r="BP98" s="932" t="n"/>
      <c r="BR98" s="767" t="inlineStr">
        <is>
          <t>Ingrédients : Cèpes</t>
        </is>
      </c>
      <c r="BS98" s="756" t="n">
        <v>2</v>
      </c>
      <c r="BT98" s="757">
        <f>BS98</f>
        <v/>
      </c>
      <c r="BU98" s="756" t="inlineStr">
        <is>
          <t>kg</t>
        </is>
      </c>
      <c r="BV98" s="744">
        <f>BS98*100/($BS$85+SUM($BS$90:$BS$96,$BS$98))</f>
        <v/>
      </c>
      <c r="BX98" s="767" t="inlineStr">
        <is>
          <t>Ingrédients : Génépi</t>
        </is>
      </c>
      <c r="BY98" s="756" t="n">
        <v>3</v>
      </c>
      <c r="BZ98" s="757">
        <f>BY98</f>
        <v/>
      </c>
      <c r="CA98" s="756" t="inlineStr">
        <is>
          <t>Litres</t>
        </is>
      </c>
      <c r="CB98" s="744">
        <f>BY98*100/(BY85+SUM(BY90:BY96,BY98))</f>
        <v/>
      </c>
      <c r="CD98" s="767" t="inlineStr">
        <is>
          <t>Ingrédients : Myrtilles</t>
        </is>
      </c>
      <c r="CE98" s="756">
        <f>'Spécialité Autres'!B28</f>
        <v/>
      </c>
      <c r="CF98" s="757">
        <f>CE98</f>
        <v/>
      </c>
      <c r="CG98" s="756" t="inlineStr">
        <is>
          <t>kg</t>
        </is>
      </c>
      <c r="CH98" s="744">
        <f>CE98*100/($CE$85+SUM($CE$90:$CE$96,$CE$98))</f>
        <v/>
      </c>
      <c r="CJ98" s="770" t="inlineStr">
        <is>
          <t>Ingrdients : Olives</t>
        </is>
      </c>
      <c r="CK98" s="775">
        <f>'Spécialité Autres'!H44</f>
        <v/>
      </c>
      <c r="CL98" s="771">
        <f>CK98</f>
        <v/>
      </c>
      <c r="CM98" s="771" t="inlineStr">
        <is>
          <t>kg</t>
        </is>
      </c>
      <c r="CN98" s="772">
        <f>CK98*100/($CK$85+SUM($CK$90:$CK$96,$CK$98:$CK$100))</f>
        <v/>
      </c>
      <c r="CP98" s="770" t="inlineStr">
        <is>
          <t>Ingrédients : Herbe de Provence</t>
        </is>
      </c>
      <c r="CQ98" s="780">
        <f>'Spécialité Autres'!H28</f>
        <v/>
      </c>
      <c r="CR98" s="781">
        <f>CQ98</f>
        <v/>
      </c>
      <c r="CS98" s="771" t="inlineStr">
        <is>
          <t>kg</t>
        </is>
      </c>
      <c r="CT98" s="772">
        <f>CQ98*100/(CQ85+SUM(CQ90:CQ96,CQ98))</f>
        <v/>
      </c>
      <c r="CV98" s="770" t="inlineStr">
        <is>
          <t>Ingrédients: Figue</t>
        </is>
      </c>
      <c r="CW98" s="780">
        <f>'Spécialité Autres'!H62</f>
        <v/>
      </c>
      <c r="CX98" s="781">
        <f>CW98</f>
        <v/>
      </c>
      <c r="CY98" s="771" t="inlineStr">
        <is>
          <t>kg</t>
        </is>
      </c>
      <c r="CZ98" s="772">
        <f>CW98*100/(CW85+SUM(CW90:CW96,CW98))</f>
        <v/>
      </c>
      <c r="DB98" s="770" t="inlineStr">
        <is>
          <t>Ingrédients: Ail des Ours</t>
        </is>
      </c>
      <c r="DC98" s="780">
        <f>'Spécialité Autres'!N78</f>
        <v/>
      </c>
      <c r="DD98" s="781">
        <f>DC98</f>
        <v/>
      </c>
      <c r="DE98" s="771" t="inlineStr">
        <is>
          <t>kg</t>
        </is>
      </c>
      <c r="DF98" s="772">
        <f>DC98*100/(DC85+SUM(DC90:DC96,DC98))</f>
        <v/>
      </c>
      <c r="DH98" s="770" t="inlineStr">
        <is>
          <t>Ingrédients : Fenouil</t>
        </is>
      </c>
      <c r="DI98" s="780">
        <f>'Spécialité Autres'!N28</f>
        <v/>
      </c>
      <c r="DJ98" s="781">
        <f>DI98</f>
        <v/>
      </c>
      <c r="DK98" s="771" t="inlineStr">
        <is>
          <t>kg</t>
        </is>
      </c>
      <c r="DL98" s="772">
        <f>DI98*100/(DI85+SUM(DI90:DI96,DI98))</f>
        <v/>
      </c>
      <c r="DN98" s="574" t="inlineStr">
        <is>
          <t>% Assaisonnement = Ingrédient Concerné X 100 / (Total Assaisonnement sauf Ferment + Total Viandes)</t>
        </is>
      </c>
      <c r="DP98" s="488" t="n"/>
      <c r="DQ98" s="995" t="n"/>
      <c r="DT98" s="779" t="inlineStr">
        <is>
          <t>% Assaisonnement = Ingrédient Concerné X 100 / (Total Assaisonnement sauf Ferment + Total Viandes)</t>
        </is>
      </c>
      <c r="DU98" s="779" t="n"/>
      <c r="DV98" s="779" t="n"/>
      <c r="DW98" s="779" t="n"/>
      <c r="DX98" s="779" t="n"/>
      <c r="DZ98" s="770" t="inlineStr">
        <is>
          <t>Ingrédient : Roquefort</t>
        </is>
      </c>
      <c r="EA98" s="775">
        <f>'Spécialité Fromagère'!B29</f>
        <v/>
      </c>
      <c r="EB98" s="790">
        <f>EA98</f>
        <v/>
      </c>
      <c r="EC98" s="771" t="inlineStr">
        <is>
          <t>kg</t>
        </is>
      </c>
      <c r="ED98" s="772">
        <f>EA98*100/(EA85+SUM(EA90:EA96,EA98))</f>
        <v/>
      </c>
      <c r="EF98" s="795" t="inlineStr">
        <is>
          <t>% Assaisonnement = Ingrédient Concerné X 100 / (Total Assaisonnement sauf Ferment + Total Viandes)</t>
        </is>
      </c>
      <c r="EG98" s="795" t="n"/>
      <c r="EH98" s="795" t="n"/>
      <c r="EI98" s="795" t="n"/>
      <c r="EJ98" s="795" t="n"/>
      <c r="EL98" s="770" t="inlineStr">
        <is>
          <t>Ingrédient : Ail</t>
        </is>
      </c>
      <c r="EM98" s="841">
        <f>'Spécialité Autres'!N44</f>
        <v/>
      </c>
      <c r="EN98" s="842">
        <f>EM98</f>
        <v/>
      </c>
      <c r="EO98" s="771" t="inlineStr">
        <is>
          <t>kg</t>
        </is>
      </c>
      <c r="EP98" s="772">
        <f>EM98*100/(EM85+SUM(EM90:EM96,EM98))</f>
        <v/>
      </c>
      <c r="ER98" s="795" t="inlineStr">
        <is>
          <t>% Assaisonnement = Ingrédient Concerné X 100 / (Total Assaisonnement sauf Ferment + Total Viandes)</t>
        </is>
      </c>
      <c r="ES98" s="795" t="n"/>
      <c r="ET98" s="795" t="n"/>
      <c r="EU98" s="795" t="n"/>
      <c r="EV98" s="795" t="n"/>
      <c r="EX98" s="797" t="inlineStr">
        <is>
          <t>Ingrédient : Oignon</t>
        </is>
      </c>
      <c r="EY98" s="796">
        <f>'Spécialité Fromagère'!H29</f>
        <v/>
      </c>
      <c r="EZ98" s="796">
        <f>EY98</f>
        <v/>
      </c>
      <c r="FA98" s="709" t="inlineStr">
        <is>
          <t>kg</t>
        </is>
      </c>
      <c r="FB98" s="710">
        <f>EY98*100/($EY$85+SUM($EY$90:$EY$96,$EY$98:$EY$99))</f>
        <v/>
      </c>
      <c r="FD98" s="770" t="inlineStr">
        <is>
          <t>Ingrédient : Fromage de Chèvre</t>
        </is>
      </c>
      <c r="FE98" s="775">
        <f>'Spécialité Fromagère'!H14</f>
        <v/>
      </c>
      <c r="FF98" s="790">
        <f>FE98</f>
        <v/>
      </c>
      <c r="FG98" s="771" t="inlineStr">
        <is>
          <t>kg</t>
        </is>
      </c>
      <c r="FH98" s="772">
        <f>FE98*100/(FE85+SUM(FE90:FE96,FE98))</f>
        <v/>
      </c>
      <c r="FJ98" s="795" t="inlineStr">
        <is>
          <t>% Assaisonnement = Ingrédient Concerné X 100 / (Total Assaisonnement sauf Ferment + Total Viandes)</t>
        </is>
      </c>
      <c r="FK98" s="795" t="n"/>
      <c r="FL98" s="795" t="n"/>
      <c r="FM98" s="795" t="n"/>
      <c r="FN98" s="795" t="n"/>
    </row>
    <row r="99" ht="26.25" customHeight="1" s="1025" thickBot="1">
      <c r="J99" s="702" t="inlineStr">
        <is>
          <t>Ingrédients: Piment Fort</t>
        </is>
      </c>
      <c r="K99" s="701">
        <f>'Spécialité Autres'!B63</f>
        <v/>
      </c>
      <c r="L99" s="701">
        <f>L98+K99</f>
        <v/>
      </c>
      <c r="M99" s="701" t="inlineStr">
        <is>
          <t>kg</t>
        </is>
      </c>
      <c r="N99" s="703">
        <f>K99*100/($K$85+SUM($K$90:$K$96,$K$98:$K$100))</f>
        <v/>
      </c>
      <c r="AN99" s="574" t="inlineStr">
        <is>
          <t>% Assaisonnement = Ingrédient Concerné X 100 / (Total Assaisonnement sauf Ferment + Total Viandes)</t>
        </is>
      </c>
      <c r="AT99" s="574" t="inlineStr">
        <is>
          <t>% Assaisonnement = Ingrédient Concerné X 100 / (Total Assaisonnement sauf Ferment + Total Viandes)</t>
        </is>
      </c>
      <c r="AZ99" s="574" t="inlineStr">
        <is>
          <t>% Assaisonnement = Ingrédient Concerné X 100 / (Total Assaisonnement sauf Ferment + Total Viandes)</t>
        </is>
      </c>
      <c r="BF99" s="574" t="inlineStr">
        <is>
          <t>% Assaisonnement = Ingrédient Concerné X 100 / (Total Assaisonnement sauf Ferment + Total Viandes)</t>
        </is>
      </c>
      <c r="BL99" s="574" t="inlineStr">
        <is>
          <t>% Assaisonnement = Ingrédient Concerné X 100 / (Total Assaisonnement sauf Ferment + Total Viandes)</t>
        </is>
      </c>
      <c r="BR99" s="574" t="inlineStr">
        <is>
          <t>% Assaisonnement = Ingrédient Concerné X 100 / (Total Assaisonnement sauf Ferment + Total Viandes)</t>
        </is>
      </c>
      <c r="BX99" s="574" t="inlineStr">
        <is>
          <t>% Assaisonnement = Ingrédient Concerné X 100 / (Total Assaisonnement sauf Ferment + Total Viandes)</t>
        </is>
      </c>
      <c r="CD99" s="574" t="inlineStr">
        <is>
          <t>% Assaisonnement = Ingrédient Concerné X 100 / (Total Assaisonnement sauf Ferment + Total Viandes)</t>
        </is>
      </c>
      <c r="CJ99" s="773" t="inlineStr">
        <is>
          <t>Ingrédients : Huile d'olives</t>
        </is>
      </c>
      <c r="CK99" s="776">
        <f>'Spécialité Autres'!H45</f>
        <v/>
      </c>
      <c r="CL99" s="701">
        <f>CL98+CK99</f>
        <v/>
      </c>
      <c r="CM99" s="701" t="inlineStr">
        <is>
          <t>litre</t>
        </is>
      </c>
      <c r="CN99" s="703">
        <f>CK99*100/($CK$85+SUM($CK$90:$CK$96,$CK$98:$CK$100))</f>
        <v/>
      </c>
      <c r="CP99" s="779" t="inlineStr">
        <is>
          <t>% Assaisonnement = Ingrédient Concerné X 100 / (Total Assaisonnement sauf Ferment + Total Viandes)</t>
        </is>
      </c>
      <c r="CV99" s="779" t="inlineStr">
        <is>
          <t>% Assaisonnement = Ingrédient Concerné X 100 / (Total Assaisonnement sauf Ferment + Total Viandes)</t>
        </is>
      </c>
      <c r="DB99" s="779" t="inlineStr">
        <is>
          <t>% Assaisonnement = Ingrédient Concerné X 100 / (Total Assaisonnement sauf Ferment + Total Viandes)</t>
        </is>
      </c>
      <c r="DH99" s="779" t="inlineStr">
        <is>
          <t>% Assaisonnement = Ingrédient Concerné X 100 / (Total Assaisonnement sauf Ferment + Total Viandes)</t>
        </is>
      </c>
      <c r="DZ99" s="779" t="inlineStr">
        <is>
          <t>% Assaisonnement = Ingrédient Concerné X 100 / (Total Assaisonnement sauf Ferment + Total Viandes)</t>
        </is>
      </c>
      <c r="EF99" s="1063" t="n"/>
      <c r="EL99" s="779" t="inlineStr">
        <is>
          <t>% Assaisonnement = Ingrédient Concerné X 100 / (Total Assaisonnement sauf Ferment + Total Viandes)</t>
        </is>
      </c>
      <c r="ER99" s="1063" t="n"/>
      <c r="EX99" s="774" t="inlineStr">
        <is>
          <t>Ingrédient : Emmental</t>
        </is>
      </c>
      <c r="EY99" s="777">
        <f>'Spécialité Fromagère'!H30</f>
        <v/>
      </c>
      <c r="EZ99" s="798">
        <f>EZ98+EY99</f>
        <v/>
      </c>
      <c r="FA99" s="705" t="inlineStr">
        <is>
          <t>kg</t>
        </is>
      </c>
      <c r="FB99" s="744">
        <f>EY99*100/($EY$85+SUM($EY$90:$EY$96,$EY$98:$EY$99))</f>
        <v/>
      </c>
      <c r="FD99" s="779" t="inlineStr">
        <is>
          <t>% Assaisonnement = Ingrédient Concerné X 100 / (Total Assaisonnement sauf Ferment + Total Viandes)</t>
        </is>
      </c>
      <c r="FJ99" s="1063" t="n"/>
    </row>
    <row r="100" ht="26.25" customHeight="1" s="1025" thickBot="1">
      <c r="J100" s="704" t="inlineStr">
        <is>
          <t>Ingrédients: Piment Fumé</t>
        </is>
      </c>
      <c r="K100" s="705">
        <f>'Spécialité Autres'!B64</f>
        <v/>
      </c>
      <c r="L100" s="706">
        <f>L99+K100</f>
        <v/>
      </c>
      <c r="M100" s="705" t="inlineStr">
        <is>
          <t>kg</t>
        </is>
      </c>
      <c r="N100" s="707">
        <f>K100*100/($K$85+SUM($K$90:$K$96,$K$98:$K$100))</f>
        <v/>
      </c>
      <c r="CJ100" s="774" t="inlineStr">
        <is>
          <t>Ingrédient: Herbe de Prov.</t>
        </is>
      </c>
      <c r="CK100" s="778">
        <f>'Spécialité Autres'!H46</f>
        <v/>
      </c>
      <c r="CL100" s="706">
        <f>CL99+CK100</f>
        <v/>
      </c>
      <c r="CM100" s="705" t="inlineStr">
        <is>
          <t>kg</t>
        </is>
      </c>
      <c r="CN100" s="707">
        <f>CK100*100/($CK$85+SUM($CK$90:$CK$96,$CK$98:$CK$100))</f>
        <v/>
      </c>
      <c r="EX100" s="779" t="inlineStr">
        <is>
          <t>% Assaisonnement = Ingrédient Concerné X 100 / (Total Assaisonnement sauf Ferment + Total Viandes)</t>
        </is>
      </c>
    </row>
    <row r="101">
      <c r="J101" s="574" t="inlineStr">
        <is>
          <t>% Assaisonnement = Ingrédient Concerné X 100 / (Total Assaisonnement sauf Ferment + Total Viandes)</t>
        </is>
      </c>
      <c r="CJ101" s="779" t="inlineStr">
        <is>
          <t>% Assaisonnement = Ingrédient Concerné X 100 / (Total Assaisonnement sauf Ferment + Total Viandes)</t>
        </is>
      </c>
    </row>
    <row r="103" ht="26.25" customHeight="1" s="1025" thickBot="1"/>
    <row r="104" ht="30" customHeight="1" s="1025" thickBot="1">
      <c r="J104" s="799" t="inlineStr">
        <is>
          <t>GAMME À CUIRE</t>
        </is>
      </c>
      <c r="L104" s="995" t="n"/>
      <c r="M104" s="994" t="n"/>
    </row>
    <row r="106" ht="26.25" customHeight="1" s="1025" thickBot="1">
      <c r="J106" s="575" t="inlineStr">
        <is>
          <t>PLU : 144 / 1441 / /145</t>
        </is>
      </c>
      <c r="P106" s="575" t="inlineStr">
        <is>
          <t>PLU : 220 / 22012 / 222</t>
        </is>
      </c>
      <c r="R106" s="488" t="n"/>
      <c r="S106" s="995" t="n"/>
      <c r="V106" s="575" t="inlineStr">
        <is>
          <t>PLU : 229 / 2298</t>
        </is>
      </c>
      <c r="X106" s="488" t="n"/>
      <c r="Y106" s="995" t="n"/>
      <c r="AB106" s="575" t="inlineStr">
        <is>
          <t>PLU : 247</t>
        </is>
      </c>
      <c r="AD106" s="488" t="n"/>
      <c r="AE106" s="995" t="n"/>
    </row>
    <row r="107" ht="26.25" customFormat="1" customHeight="1" s="2" thickBot="1">
      <c r="B107" s="3" t="n"/>
      <c r="C107" s="1008" t="n"/>
      <c r="D107" s="33" t="n"/>
      <c r="H107" s="32" t="n"/>
      <c r="J107" s="1070" t="inlineStr">
        <is>
          <t>SAUCISSON À CUIRE PISTACHÉ</t>
        </is>
      </c>
      <c r="K107" s="919" t="n"/>
      <c r="L107" s="919" t="n"/>
      <c r="M107" s="919" t="n"/>
      <c r="N107" s="932" t="n"/>
      <c r="P107" s="1070" t="inlineStr">
        <is>
          <t>SAUCISSON PUR PORC À CUIRE</t>
        </is>
      </c>
      <c r="Q107" s="919" t="n"/>
      <c r="R107" s="919" t="n"/>
      <c r="S107" s="919" t="n"/>
      <c r="T107" s="932" t="n"/>
      <c r="V107" s="1072" t="inlineStr">
        <is>
          <t>SABODET À CUIRE</t>
        </is>
      </c>
      <c r="W107" s="919" t="n"/>
      <c r="X107" s="919" t="n"/>
      <c r="Y107" s="919" t="n"/>
      <c r="Z107" s="1073" t="n"/>
      <c r="AB107" s="1082" t="inlineStr">
        <is>
          <t>SAUCISSON À CUIRE À LATRUFFE NOIRE FRANÇAISE  &amp; AUX CÈPES DE FRANCE</t>
        </is>
      </c>
      <c r="AC107" s="919" t="n"/>
      <c r="AD107" s="919" t="n"/>
      <c r="AE107" s="919" t="n"/>
      <c r="AF107" s="932" t="n"/>
    </row>
    <row r="108" ht="45.75" customHeight="1" s="1025" thickBot="1">
      <c r="J108" s="490" t="inlineStr">
        <is>
          <t>VIANDES</t>
        </is>
      </c>
      <c r="K108" s="491" t="inlineStr">
        <is>
          <t>Mêlée de 150 KG</t>
        </is>
      </c>
      <c r="L108" s="491" t="inlineStr">
        <is>
          <t>Poids cumulés</t>
        </is>
      </c>
      <c r="M108" s="492" t="inlineStr">
        <is>
          <t>U</t>
        </is>
      </c>
      <c r="N108" s="532" t="inlineStr">
        <is>
          <t>%</t>
        </is>
      </c>
      <c r="P108" s="490" t="inlineStr">
        <is>
          <t>VIANDES</t>
        </is>
      </c>
      <c r="Q108" s="491" t="inlineStr">
        <is>
          <t>Mêlée de 150 KG</t>
        </is>
      </c>
      <c r="R108" s="491" t="inlineStr">
        <is>
          <t>Poids cumulés</t>
        </is>
      </c>
      <c r="S108" s="492" t="inlineStr">
        <is>
          <t>U</t>
        </is>
      </c>
      <c r="T108" s="532" t="inlineStr">
        <is>
          <t>%</t>
        </is>
      </c>
      <c r="V108" s="490" t="inlineStr">
        <is>
          <t>VIANDES</t>
        </is>
      </c>
      <c r="W108" s="491" t="inlineStr">
        <is>
          <t>Mêlée de 150 KG</t>
        </is>
      </c>
      <c r="X108" s="491" t="inlineStr">
        <is>
          <t>Poids cumulés</t>
        </is>
      </c>
      <c r="Y108" s="492" t="inlineStr">
        <is>
          <t>U</t>
        </is>
      </c>
      <c r="Z108" s="532" t="inlineStr">
        <is>
          <t>%</t>
        </is>
      </c>
      <c r="AB108" s="490" t="inlineStr">
        <is>
          <t>VIANDES</t>
        </is>
      </c>
      <c r="AC108" s="491" t="inlineStr">
        <is>
          <t>Mêlée de 150 KG</t>
        </is>
      </c>
      <c r="AD108" s="491" t="inlineStr">
        <is>
          <t>Poids cumulés</t>
        </is>
      </c>
      <c r="AE108" s="492" t="inlineStr">
        <is>
          <t>U</t>
        </is>
      </c>
      <c r="AF108" s="532" t="inlineStr">
        <is>
          <t>%</t>
        </is>
      </c>
    </row>
    <row r="109">
      <c r="J109" s="639" t="inlineStr">
        <is>
          <t>ÉPAULE 3D</t>
        </is>
      </c>
      <c r="K109" s="640">
        <f>'Recette viandes'!$H$22</f>
        <v/>
      </c>
      <c r="L109" s="641">
        <f>K109</f>
        <v/>
      </c>
      <c r="M109" s="642" t="inlineStr">
        <is>
          <t>kg</t>
        </is>
      </c>
      <c r="N109" s="497">
        <f>K109*100/K111</f>
        <v/>
      </c>
      <c r="P109" s="639" t="inlineStr">
        <is>
          <t>ÉPAULE 3D</t>
        </is>
      </c>
      <c r="Q109" s="640">
        <f>'Recette viandes'!$H$22</f>
        <v/>
      </c>
      <c r="R109" s="641">
        <f>Q109</f>
        <v/>
      </c>
      <c r="S109" s="642" t="inlineStr">
        <is>
          <t>kg</t>
        </is>
      </c>
      <c r="T109" s="497">
        <f>Q109*100/Q111</f>
        <v/>
      </c>
      <c r="V109" s="541" t="inlineStr">
        <is>
          <t>ÉPAULE 3D</t>
        </is>
      </c>
      <c r="W109" s="501">
        <f>'Recette viandes'!N22</f>
        <v/>
      </c>
      <c r="X109" s="502">
        <f>W109</f>
        <v/>
      </c>
      <c r="Y109" s="503" t="inlineStr">
        <is>
          <t>kg</t>
        </is>
      </c>
      <c r="Z109" s="815">
        <f>W109*100/$W$114</f>
        <v/>
      </c>
      <c r="AB109" s="639" t="inlineStr">
        <is>
          <t>ÉPAULE 4D</t>
        </is>
      </c>
      <c r="AC109" s="640">
        <f>'Recette viandes'!L21</f>
        <v/>
      </c>
      <c r="AD109" s="641">
        <f>AC109</f>
        <v/>
      </c>
      <c r="AE109" s="642" t="inlineStr">
        <is>
          <t>kg</t>
        </is>
      </c>
      <c r="AF109" s="497">
        <f>AC109*100/AC111</f>
        <v/>
      </c>
    </row>
    <row r="110" ht="26.25" customHeight="1" s="1025" thickBot="1">
      <c r="J110" s="544" t="inlineStr">
        <is>
          <t xml:space="preserve">GRAS </t>
        </is>
      </c>
      <c r="K110" s="643">
        <f>'Recette viandes'!$H$23</f>
        <v/>
      </c>
      <c r="L110" s="546">
        <f>L109+K110</f>
        <v/>
      </c>
      <c r="M110" s="587" t="inlineStr">
        <is>
          <t>kg</t>
        </is>
      </c>
      <c r="N110" s="644">
        <f>K110*100/K111</f>
        <v/>
      </c>
      <c r="P110" s="544" t="inlineStr">
        <is>
          <t xml:space="preserve">GRAS </t>
        </is>
      </c>
      <c r="Q110" s="643">
        <f>'Recette viandes'!$H$23</f>
        <v/>
      </c>
      <c r="R110" s="546">
        <f>R109+Q110</f>
        <v/>
      </c>
      <c r="S110" s="587" t="inlineStr">
        <is>
          <t>kg</t>
        </is>
      </c>
      <c r="T110" s="644">
        <f>Q110*100/Q111</f>
        <v/>
      </c>
      <c r="V110" s="542" t="inlineStr">
        <is>
          <t xml:space="preserve">GRAS </t>
        </is>
      </c>
      <c r="W110" s="518">
        <f>'Recette viandes'!N23</f>
        <v/>
      </c>
      <c r="X110" s="543">
        <f>X109+W110</f>
        <v/>
      </c>
      <c r="Y110" s="519" t="inlineStr">
        <is>
          <t>kg</t>
        </is>
      </c>
      <c r="Z110" s="679">
        <f>W110*100/$W$114</f>
        <v/>
      </c>
      <c r="AB110" s="544" t="inlineStr">
        <is>
          <t xml:space="preserve">GRAS </t>
        </is>
      </c>
      <c r="AC110" s="643">
        <f>'Recette viandes'!L23</f>
        <v/>
      </c>
      <c r="AD110" s="546">
        <f>AD109+AC110</f>
        <v/>
      </c>
      <c r="AE110" s="587" t="inlineStr">
        <is>
          <t>kg</t>
        </is>
      </c>
      <c r="AF110" s="644">
        <f>AC110*100/AC111</f>
        <v/>
      </c>
    </row>
    <row r="111" ht="26.25" customHeight="1" s="1025" thickBot="1">
      <c r="J111" s="490" t="inlineStr">
        <is>
          <t>TOTAL VIANDES</t>
        </is>
      </c>
      <c r="K111" s="563">
        <f>SUM(K109:K110)</f>
        <v/>
      </c>
      <c r="L111" s="564">
        <f>L110</f>
        <v/>
      </c>
      <c r="M111" s="492" t="inlineStr">
        <is>
          <t>kg</t>
        </is>
      </c>
      <c r="N111" s="565">
        <f>SUM(N109:N110)</f>
        <v/>
      </c>
      <c r="P111" s="490" t="inlineStr">
        <is>
          <t>TOTAL VIANDES</t>
        </is>
      </c>
      <c r="Q111" s="563">
        <f>SUM(Q109:Q110)</f>
        <v/>
      </c>
      <c r="R111" s="564">
        <f>R110</f>
        <v/>
      </c>
      <c r="S111" s="492" t="inlineStr">
        <is>
          <t>kg</t>
        </is>
      </c>
      <c r="T111" s="565">
        <f>SUM(T109:T110)</f>
        <v/>
      </c>
      <c r="V111" s="541" t="inlineStr">
        <is>
          <t>HAMPES</t>
        </is>
      </c>
      <c r="W111" s="501">
        <f>'Recette viandes'!N24</f>
        <v/>
      </c>
      <c r="X111" s="502">
        <f>X110+W111</f>
        <v/>
      </c>
      <c r="Y111" s="503" t="inlineStr">
        <is>
          <t>kg</t>
        </is>
      </c>
      <c r="Z111" s="815">
        <f>W111*100/$W$114</f>
        <v/>
      </c>
      <c r="AB111" s="490" t="inlineStr">
        <is>
          <t>TOTAL VIANDES</t>
        </is>
      </c>
      <c r="AC111" s="563">
        <f>SUM(AC109:AC110)</f>
        <v/>
      </c>
      <c r="AD111" s="564">
        <f>AD110</f>
        <v/>
      </c>
      <c r="AE111" s="492" t="inlineStr">
        <is>
          <t>kg</t>
        </is>
      </c>
      <c r="AF111" s="565">
        <f>SUM(AF109:AF110)</f>
        <v/>
      </c>
    </row>
    <row r="112">
      <c r="J112" s="574" t="inlineStr">
        <is>
          <t>% Viandes = Viande Concernée X 100 / Total Viandes</t>
        </is>
      </c>
      <c r="K112" s="1075" t="n"/>
      <c r="L112" s="1075" t="n"/>
      <c r="M112" s="1075" t="n"/>
      <c r="N112" s="1075" t="n"/>
      <c r="P112" s="574" t="inlineStr">
        <is>
          <t>% Viandes = Viande Concernée X 100 / Total Viandes</t>
        </is>
      </c>
      <c r="Q112" s="1075" t="n"/>
      <c r="R112" s="1075" t="n"/>
      <c r="S112" s="1075" t="n"/>
      <c r="T112" s="1075" t="n"/>
      <c r="V112" s="542" t="inlineStr">
        <is>
          <t>COUENNE</t>
        </is>
      </c>
      <c r="W112" s="518">
        <f>'Recette viandes'!N26</f>
        <v/>
      </c>
      <c r="X112" s="543">
        <f>X111+W112</f>
        <v/>
      </c>
      <c r="Y112" s="519" t="inlineStr">
        <is>
          <t>kg</t>
        </is>
      </c>
      <c r="Z112" s="679">
        <f>W112*100/$W$114</f>
        <v/>
      </c>
      <c r="AB112" s="574" t="inlineStr">
        <is>
          <t>% Viandes = Viande Concernée X 100 / Total Viandes</t>
        </is>
      </c>
      <c r="AC112" s="1075" t="n"/>
      <c r="AD112" s="1075" t="n"/>
      <c r="AE112" s="1075" t="n"/>
      <c r="AF112" s="1075" t="n"/>
    </row>
    <row r="113" ht="26.25" customHeight="1" s="1025" thickBot="1">
      <c r="R113" s="488" t="n"/>
      <c r="S113" s="995" t="n"/>
      <c r="V113" s="544" t="inlineStr">
        <is>
          <t>TÊTE DE PORC</t>
        </is>
      </c>
      <c r="W113" s="643">
        <f>'Recette viandes'!N27</f>
        <v/>
      </c>
      <c r="X113" s="546">
        <f>X112+W113</f>
        <v/>
      </c>
      <c r="Y113" s="587" t="inlineStr">
        <is>
          <t>kg</t>
        </is>
      </c>
      <c r="Z113" s="680">
        <f>W113*100/$W$114</f>
        <v/>
      </c>
    </row>
    <row r="114" ht="26.25" customHeight="1" s="1025" thickBot="1">
      <c r="V114" s="490" t="inlineStr">
        <is>
          <t>TOTAL VIANDES</t>
        </is>
      </c>
      <c r="W114" s="563">
        <f>SUM(W109:W113)</f>
        <v/>
      </c>
      <c r="X114" s="564">
        <f>X113</f>
        <v/>
      </c>
      <c r="Y114" s="492" t="inlineStr">
        <is>
          <t>kg</t>
        </is>
      </c>
      <c r="Z114" s="816">
        <f>SUM(Z109:Z113)</f>
        <v/>
      </c>
    </row>
    <row r="115">
      <c r="V115" s="574" t="inlineStr">
        <is>
          <t>% Viandes = Viande Concernée X 100 / Total Viandes</t>
        </is>
      </c>
      <c r="W115" s="1075" t="n"/>
      <c r="X115" s="1075" t="n"/>
      <c r="Y115" s="1075" t="n"/>
      <c r="Z115" s="1075" t="n"/>
    </row>
    <row r="116" ht="25.5" customHeight="1" s="1025" thickBot="1"/>
    <row r="117" ht="45.75" customHeight="1" s="1025" thickBot="1">
      <c r="J117" s="490" t="inlineStr">
        <is>
          <t>ASSAISONNEMENT</t>
        </is>
      </c>
      <c r="K117" s="645" t="inlineStr">
        <is>
          <t>Mêlée de 150 kg</t>
        </is>
      </c>
      <c r="L117" s="645" t="inlineStr">
        <is>
          <t>Poids cumulés</t>
        </is>
      </c>
      <c r="M117" s="492" t="inlineStr">
        <is>
          <t>U</t>
        </is>
      </c>
      <c r="N117" s="532" t="inlineStr">
        <is>
          <t>%</t>
        </is>
      </c>
      <c r="P117" s="490" t="inlineStr">
        <is>
          <t>ASSAISONNEMENT</t>
        </is>
      </c>
      <c r="Q117" s="645" t="inlineStr">
        <is>
          <t>Mêlée de 150 kg</t>
        </is>
      </c>
      <c r="R117" s="645" t="inlineStr">
        <is>
          <t>Poids cumulés</t>
        </is>
      </c>
      <c r="S117" s="492" t="inlineStr">
        <is>
          <t>U</t>
        </is>
      </c>
      <c r="T117" s="532" t="inlineStr">
        <is>
          <t>%</t>
        </is>
      </c>
      <c r="V117" s="490" t="inlineStr">
        <is>
          <t>ASSAISONNEMENT</t>
        </is>
      </c>
      <c r="W117" s="645" t="inlineStr">
        <is>
          <t>Mêlée de 150 kg</t>
        </is>
      </c>
      <c r="X117" s="645" t="inlineStr">
        <is>
          <t>Poids cumulés</t>
        </is>
      </c>
      <c r="Y117" s="492" t="inlineStr">
        <is>
          <t>U</t>
        </is>
      </c>
      <c r="Z117" s="532" t="inlineStr">
        <is>
          <t>%</t>
        </is>
      </c>
      <c r="AB117" s="490" t="inlineStr">
        <is>
          <t>ASSAISONNEMENT</t>
        </is>
      </c>
      <c r="AC117" s="645" t="inlineStr">
        <is>
          <t>Mêlée de 150 kg</t>
        </is>
      </c>
      <c r="AD117" s="645" t="inlineStr">
        <is>
          <t>Poids cumulés</t>
        </is>
      </c>
      <c r="AE117" s="492" t="inlineStr">
        <is>
          <t>U</t>
        </is>
      </c>
      <c r="AF117" s="532" t="inlineStr">
        <is>
          <t>%</t>
        </is>
      </c>
    </row>
    <row r="118">
      <c r="J118" s="662" t="inlineStr">
        <is>
          <t>SEL NITRITE</t>
        </is>
      </c>
      <c r="K118" s="620">
        <f>'A cuire'!H6</f>
        <v/>
      </c>
      <c r="L118" s="620">
        <f>K118</f>
        <v/>
      </c>
      <c r="M118" s="646" t="inlineStr">
        <is>
          <t>kg</t>
        </is>
      </c>
      <c r="N118" s="675">
        <f>K118*100/($K$111+SUM($K$118:$K$123,$K$125))</f>
        <v/>
      </c>
      <c r="P118" s="661" t="inlineStr">
        <is>
          <t>SEL NITRITE</t>
        </is>
      </c>
      <c r="Q118" s="652">
        <f>'A cuire'!B6</f>
        <v/>
      </c>
      <c r="R118" s="652">
        <f>Q118</f>
        <v/>
      </c>
      <c r="S118" s="653" t="inlineStr">
        <is>
          <t>kg</t>
        </is>
      </c>
      <c r="T118" s="689">
        <f>Q118*100/($Q$111+SUM($Q$118:$Q$123))</f>
        <v/>
      </c>
      <c r="V118" s="662" t="inlineStr">
        <is>
          <t>SEL NITRITE</t>
        </is>
      </c>
      <c r="W118" s="620">
        <f>'A cuire'!B19</f>
        <v/>
      </c>
      <c r="X118" s="620">
        <f>W118</f>
        <v/>
      </c>
      <c r="Y118" s="646" t="inlineStr">
        <is>
          <t>kg</t>
        </is>
      </c>
      <c r="Z118" s="675">
        <f>W118*100/($W$114+SUM($W$118:$W$123,$W$124))</f>
        <v/>
      </c>
      <c r="AB118" s="662" t="inlineStr">
        <is>
          <t xml:space="preserve">SEL NITRITE </t>
        </is>
      </c>
      <c r="AC118" s="620">
        <f>'A cuire'!H19</f>
        <v/>
      </c>
      <c r="AD118" s="620">
        <f>AC118</f>
        <v/>
      </c>
      <c r="AE118" s="646" t="inlineStr">
        <is>
          <t>kg</t>
        </is>
      </c>
      <c r="AF118" s="675">
        <f>AC118*100/($AC$111+SUM($AC$118:$AC$123,$AC$125:$AC$127))</f>
        <v/>
      </c>
    </row>
    <row r="119" ht="25.5" customHeight="1" s="1025">
      <c r="J119" s="591" t="inlineStr">
        <is>
          <t>ERYTHORBATE DE SODIUM</t>
        </is>
      </c>
      <c r="K119" s="621">
        <f>'A cuire'!H7</f>
        <v/>
      </c>
      <c r="L119" s="621">
        <f>L118+K119</f>
        <v/>
      </c>
      <c r="M119" s="647" t="inlineStr">
        <is>
          <t>kg</t>
        </is>
      </c>
      <c r="N119" s="690">
        <f>K119*100/($K$111+SUM($K$118:$K$123,$K$125))</f>
        <v/>
      </c>
      <c r="P119" s="591" t="inlineStr">
        <is>
          <t>ERYTHORBATE DE SODIUM</t>
        </is>
      </c>
      <c r="Q119" s="621">
        <f>'A cuire'!B7</f>
        <v/>
      </c>
      <c r="R119" s="621">
        <f>R118+Q119</f>
        <v/>
      </c>
      <c r="S119" s="647" t="inlineStr">
        <is>
          <t>kg</t>
        </is>
      </c>
      <c r="T119" s="676">
        <f>Q119*100/($Q$111+SUM($Q$118:$Q$123))</f>
        <v/>
      </c>
      <c r="V119" s="591" t="inlineStr">
        <is>
          <t>ERYTHORBATE DE SODIUM</t>
        </is>
      </c>
      <c r="W119" s="621">
        <f>'A cuire'!B20</f>
        <v/>
      </c>
      <c r="X119" s="621">
        <f>X118+W119</f>
        <v/>
      </c>
      <c r="Y119" s="647" t="inlineStr">
        <is>
          <t>kg</t>
        </is>
      </c>
      <c r="Z119" s="676">
        <f>W119*100/($W$114+SUM($W$118:$W$123,$W$124))</f>
        <v/>
      </c>
      <c r="AB119" s="591" t="inlineStr">
        <is>
          <t>ERYTHORBATE DE SODIUM</t>
        </is>
      </c>
      <c r="AC119" s="621">
        <f>'A cuire'!H20</f>
        <v/>
      </c>
      <c r="AD119" s="621">
        <f>AD118+AC119</f>
        <v/>
      </c>
      <c r="AE119" s="647" t="inlineStr">
        <is>
          <t>kg</t>
        </is>
      </c>
      <c r="AF119" s="676">
        <f>AC119*100/($AC$111+SUM($AC$118:$AC$123,$AC$125:$AC$127))</f>
        <v/>
      </c>
    </row>
    <row r="120">
      <c r="J120" s="500" t="inlineStr">
        <is>
          <t>LACTOSE</t>
        </is>
      </c>
      <c r="K120" s="618">
        <f>'A cuire'!H8</f>
        <v/>
      </c>
      <c r="L120" s="618">
        <f>L119+K120</f>
        <v/>
      </c>
      <c r="M120" s="648" t="inlineStr">
        <is>
          <t>kg</t>
        </is>
      </c>
      <c r="N120" s="691">
        <f>K120*100/($K$111+SUM($K$118:$K$123,$K$125))</f>
        <v/>
      </c>
      <c r="P120" s="500" t="inlineStr">
        <is>
          <t>LACTOSE</t>
        </is>
      </c>
      <c r="Q120" s="618">
        <f>'A cuire'!B8</f>
        <v/>
      </c>
      <c r="R120" s="618">
        <f>R119+Q120</f>
        <v/>
      </c>
      <c r="S120" s="648" t="inlineStr">
        <is>
          <t>kg</t>
        </is>
      </c>
      <c r="T120" s="675">
        <f>Q120*100/($Q$111+SUM($Q$118:$Q$123))</f>
        <v/>
      </c>
      <c r="V120" s="500" t="inlineStr">
        <is>
          <t>LACTOSE</t>
        </is>
      </c>
      <c r="W120" s="618">
        <f>'A cuire'!B21</f>
        <v/>
      </c>
      <c r="X120" s="618">
        <f>X119+W120</f>
        <v/>
      </c>
      <c r="Y120" s="648" t="inlineStr">
        <is>
          <t>kg</t>
        </is>
      </c>
      <c r="Z120" s="675">
        <f>W120*100/($W$114+SUM($W$118:$W$123,$W$124))</f>
        <v/>
      </c>
      <c r="AB120" s="500" t="inlineStr">
        <is>
          <t>LACTOSE</t>
        </is>
      </c>
      <c r="AC120" s="618">
        <f>'A cuire'!H21</f>
        <v/>
      </c>
      <c r="AD120" s="618">
        <f>AD119+AC120</f>
        <v/>
      </c>
      <c r="AE120" s="648" t="inlineStr">
        <is>
          <t>kg</t>
        </is>
      </c>
      <c r="AF120" s="675">
        <f>AC120*100/($AC$111+SUM($AC$118:$AC$123,$AC$125:$AC$127))</f>
        <v/>
      </c>
    </row>
    <row r="121">
      <c r="J121" s="516" t="inlineStr">
        <is>
          <t>DEXTROSE</t>
        </is>
      </c>
      <c r="K121" s="621">
        <f>'A cuire'!H9</f>
        <v/>
      </c>
      <c r="L121" s="621">
        <f>L120+K121</f>
        <v/>
      </c>
      <c r="M121" s="647" t="inlineStr">
        <is>
          <t>kg</t>
        </is>
      </c>
      <c r="N121" s="690">
        <f>K121*100/($K$111+SUM($K$118:$K$123,$K$125))</f>
        <v/>
      </c>
      <c r="P121" s="516" t="inlineStr">
        <is>
          <t>DEXTROSE</t>
        </is>
      </c>
      <c r="Q121" s="621">
        <f>'A cuire'!B9</f>
        <v/>
      </c>
      <c r="R121" s="621">
        <f>R120+Q121</f>
        <v/>
      </c>
      <c r="S121" s="647" t="inlineStr">
        <is>
          <t>kg</t>
        </is>
      </c>
      <c r="T121" s="676">
        <f>Q121*100/($Q$111+SUM($Q$118:$Q$123))</f>
        <v/>
      </c>
      <c r="V121" s="516" t="inlineStr">
        <is>
          <t>DEXTROSE</t>
        </is>
      </c>
      <c r="W121" s="621">
        <f>'A cuire'!B22</f>
        <v/>
      </c>
      <c r="X121" s="621">
        <f>X120+W121</f>
        <v/>
      </c>
      <c r="Y121" s="647" t="inlineStr">
        <is>
          <t>kg</t>
        </is>
      </c>
      <c r="Z121" s="676">
        <f>W121*100/($W$114+SUM($W$118:$W$123,$W$124))</f>
        <v/>
      </c>
      <c r="AB121" s="516" t="inlineStr">
        <is>
          <t>DEXTROSE</t>
        </is>
      </c>
      <c r="AC121" s="621">
        <f>'A cuire'!H22</f>
        <v/>
      </c>
      <c r="AD121" s="621">
        <f>AD120+AC121</f>
        <v/>
      </c>
      <c r="AE121" s="647" t="inlineStr">
        <is>
          <t>kg</t>
        </is>
      </c>
      <c r="AF121" s="676">
        <f>AC121*100/($AC$111+SUM($AC$118:$AC$123,$AC$125:$AC$127))</f>
        <v/>
      </c>
    </row>
    <row r="122">
      <c r="J122" s="500" t="inlineStr">
        <is>
          <t>POIVRE BLANC MOULU</t>
        </is>
      </c>
      <c r="K122" s="618">
        <f>'A cuire'!H10</f>
        <v/>
      </c>
      <c r="L122" s="618">
        <f>L121+K122</f>
        <v/>
      </c>
      <c r="M122" s="648" t="inlineStr">
        <is>
          <t>kg</t>
        </is>
      </c>
      <c r="N122" s="691">
        <f>K122*100/($K$111+SUM($K$118:$K$123,$K$125))</f>
        <v/>
      </c>
      <c r="P122" s="500" t="inlineStr">
        <is>
          <t>POIVRE BLANC MOULU</t>
        </is>
      </c>
      <c r="Q122" s="618">
        <f>'A cuire'!B10</f>
        <v/>
      </c>
      <c r="R122" s="618">
        <f>R121+Q122</f>
        <v/>
      </c>
      <c r="S122" s="648" t="inlineStr">
        <is>
          <t>kg</t>
        </is>
      </c>
      <c r="T122" s="675">
        <f>Q122*100/($Q$111+SUM($Q$118:$Q$123))</f>
        <v/>
      </c>
      <c r="V122" s="500" t="inlineStr">
        <is>
          <t>POIVRE BLANC MOULU</t>
        </is>
      </c>
      <c r="W122" s="618">
        <f>'A cuire'!B23</f>
        <v/>
      </c>
      <c r="X122" s="618">
        <f>X121+W122</f>
        <v/>
      </c>
      <c r="Y122" s="648" t="inlineStr">
        <is>
          <t>kg</t>
        </is>
      </c>
      <c r="Z122" s="675">
        <f>W122*100/($W$114+SUM($W$118:$W$123,$W$124))</f>
        <v/>
      </c>
      <c r="AB122" s="500" t="inlineStr">
        <is>
          <t>POIVRE BLANC MOULU</t>
        </is>
      </c>
      <c r="AC122" s="618">
        <f>'A cuire'!H23</f>
        <v/>
      </c>
      <c r="AD122" s="618">
        <f>AD121+AC122</f>
        <v/>
      </c>
      <c r="AE122" s="648" t="inlineStr">
        <is>
          <t>kg</t>
        </is>
      </c>
      <c r="AF122" s="675">
        <f>AC122*100/($AC$111+SUM($AC$118:$AC$123,$AC$125:$AC$127))</f>
        <v/>
      </c>
    </row>
    <row r="123" ht="26.25" customHeight="1" s="1025" thickBot="1">
      <c r="J123" s="507" t="inlineStr">
        <is>
          <t>AIL SEMOULE</t>
        </is>
      </c>
      <c r="K123" s="619">
        <f>'A cuire'!H11</f>
        <v/>
      </c>
      <c r="L123" s="628">
        <f>L122+K123</f>
        <v/>
      </c>
      <c r="M123" s="649" t="inlineStr">
        <is>
          <t>kg</t>
        </is>
      </c>
      <c r="N123" s="572">
        <f>K123*100/($K$111+SUM($K$118:$K$123,$K$125))</f>
        <v/>
      </c>
      <c r="P123" s="507" t="inlineStr">
        <is>
          <t>AIL SEMOULE</t>
        </is>
      </c>
      <c r="Q123" s="619">
        <f>'A cuire'!B11</f>
        <v/>
      </c>
      <c r="R123" s="628">
        <f>R122+Q123</f>
        <v/>
      </c>
      <c r="S123" s="649" t="inlineStr">
        <is>
          <t>kg</t>
        </is>
      </c>
      <c r="T123" s="572">
        <f>Q123*100/($Q$111+SUM($Q$118:$Q$123))</f>
        <v/>
      </c>
      <c r="V123" s="507" t="inlineStr">
        <is>
          <t>AIL SEMOULE</t>
        </is>
      </c>
      <c r="W123" s="619">
        <f>'A cuire'!B24</f>
        <v/>
      </c>
      <c r="X123" s="628">
        <f>X122+W123</f>
        <v/>
      </c>
      <c r="Y123" s="649" t="inlineStr">
        <is>
          <t>kg</t>
        </is>
      </c>
      <c r="Z123" s="572">
        <f>W123*100/($W$114+SUM($W$118:$W$123,$W$124))</f>
        <v/>
      </c>
      <c r="AB123" s="507" t="inlineStr">
        <is>
          <t>AIL SEMOULE</t>
        </is>
      </c>
      <c r="AC123" s="619">
        <f>'A cuire'!H24</f>
        <v/>
      </c>
      <c r="AD123" s="628">
        <f>AD122+AC123</f>
        <v/>
      </c>
      <c r="AE123" s="649" t="inlineStr">
        <is>
          <t>kg</t>
        </is>
      </c>
      <c r="AF123" s="676">
        <f>AC123*100/($AC$111+SUM($AC$118:$AC$123,$AC$125:$AC$127))</f>
        <v/>
      </c>
    </row>
    <row r="124" ht="27" customHeight="1" s="1025" thickBot="1" thickTop="1">
      <c r="J124" s="803" t="inlineStr">
        <is>
          <t>FERMENT BC 40</t>
        </is>
      </c>
      <c r="K124" s="804">
        <f>'A cuire'!H12</f>
        <v/>
      </c>
      <c r="L124" s="805">
        <f>K124</f>
        <v/>
      </c>
      <c r="M124" s="688" t="inlineStr">
        <is>
          <t>scht</t>
        </is>
      </c>
      <c r="N124" s="806" t="n"/>
      <c r="P124" s="811" t="inlineStr">
        <is>
          <t>FERMENT BC 40</t>
        </is>
      </c>
      <c r="Q124" s="812">
        <f>'A cuire'!B12</f>
        <v/>
      </c>
      <c r="R124" s="813">
        <f>Q124</f>
        <v/>
      </c>
      <c r="S124" s="814" t="inlineStr">
        <is>
          <t>scht</t>
        </is>
      </c>
      <c r="T124" s="693" t="n"/>
      <c r="V124" s="802" t="inlineStr">
        <is>
          <t>Ingrédients : Vin</t>
        </is>
      </c>
      <c r="W124" s="818">
        <f>'A cuire'!B25</f>
        <v/>
      </c>
      <c r="X124" s="819">
        <f>W124</f>
        <v/>
      </c>
      <c r="Y124" s="809" t="inlineStr">
        <is>
          <t>L</t>
        </is>
      </c>
      <c r="Z124" s="810">
        <f>W124*100/(W114+SUM(W118:W123,W124))</f>
        <v/>
      </c>
      <c r="AB124" s="828" t="inlineStr">
        <is>
          <t>FERMENT BC 40</t>
        </is>
      </c>
      <c r="AC124" s="829">
        <f>'A cuire'!H25</f>
        <v/>
      </c>
      <c r="AD124" s="830">
        <f>AC124</f>
        <v/>
      </c>
      <c r="AE124" s="831" t="inlineStr">
        <is>
          <t>scht</t>
        </is>
      </c>
      <c r="AF124" s="832" t="n"/>
    </row>
    <row r="125" ht="27" customHeight="1" s="1025" thickBot="1" thickTop="1">
      <c r="J125" s="802" t="inlineStr">
        <is>
          <t>Ingrédients : Pistaches</t>
        </is>
      </c>
      <c r="K125" s="807">
        <f>'A cuire'!H13</f>
        <v/>
      </c>
      <c r="L125" s="808">
        <f>K125</f>
        <v/>
      </c>
      <c r="M125" s="809" t="inlineStr">
        <is>
          <t>kg</t>
        </is>
      </c>
      <c r="N125" s="810">
        <f>K125*100/($K$111+SUM($K$118:$K$123,$K$125))</f>
        <v/>
      </c>
      <c r="P125" s="574" t="inlineStr">
        <is>
          <t>% Assaisonnement = Ingrédient Concerné X 100 / (Total Assaisonnement sauf Ferment + Total Viandes)</t>
        </is>
      </c>
      <c r="R125" s="488" t="n"/>
      <c r="S125" s="995" t="n"/>
      <c r="V125" s="574" t="inlineStr">
        <is>
          <t>% Assaisonnement = Ingrédient Concerné X 100 / (Total Assaisonnement sauf Ferment + Total Viandes)</t>
        </is>
      </c>
      <c r="X125" s="488" t="n"/>
      <c r="Y125" s="995" t="n"/>
      <c r="AB125" s="801" t="inlineStr">
        <is>
          <t>Ingrédients : Truffes Françaises</t>
        </is>
      </c>
      <c r="AC125" s="827">
        <f>'A cuire'!H26</f>
        <v/>
      </c>
      <c r="AD125" s="827">
        <f>AC125</f>
        <v/>
      </c>
      <c r="AE125" s="826" t="inlineStr">
        <is>
          <t>kg</t>
        </is>
      </c>
      <c r="AF125" s="827">
        <f>AC125*100/($AC$111+SUM($AC$118:$AC$123,$AC$125:$AC$127))</f>
        <v/>
      </c>
    </row>
    <row r="126">
      <c r="J126" s="574" t="inlineStr">
        <is>
          <t>% Assaisonnement = Ingrédient Concerné X 100 / (Total Assaisonnement sauf Ferment + Total Viandes)</t>
        </is>
      </c>
      <c r="Q126" s="800" t="n"/>
      <c r="AB126" s="833" t="inlineStr">
        <is>
          <t>Ingrédients : Cèpes de France</t>
        </is>
      </c>
      <c r="AC126" s="834">
        <f>'A cuire'!H27</f>
        <v/>
      </c>
      <c r="AD126" s="834">
        <f>AD125+AC126</f>
        <v/>
      </c>
      <c r="AE126" s="835" t="inlineStr">
        <is>
          <t>kg</t>
        </is>
      </c>
      <c r="AF126" s="836">
        <f>AC126*100/($AC$111+SUM($AC$118:$AC$123,$AC$125:$AC$127))</f>
        <v/>
      </c>
    </row>
    <row r="127">
      <c r="AB127" s="801" t="inlineStr">
        <is>
          <t>Marc de Savoie</t>
        </is>
      </c>
      <c r="AC127" s="824">
        <f>'A cuire'!H28</f>
        <v/>
      </c>
      <c r="AD127" s="825">
        <f>AD126+AC127</f>
        <v/>
      </c>
      <c r="AE127" s="826" t="inlineStr">
        <is>
          <t>L</t>
        </is>
      </c>
      <c r="AF127" s="827">
        <f>AC127*100/(AC114+SUM(AC118:AC123,AC127))</f>
        <v/>
      </c>
    </row>
    <row r="128">
      <c r="AB128" s="574" t="inlineStr">
        <is>
          <t>% Assaisonnement = Ingrédient Concerné X 100 / (Total Assaisonnement sauf Ferment + Total Viandes)</t>
        </is>
      </c>
      <c r="AC128" s="820" t="n"/>
      <c r="AD128" s="821" t="n"/>
      <c r="AE128" s="822" t="n"/>
      <c r="AF128" s="823" t="n"/>
    </row>
    <row r="129">
      <c r="AB129" s="574" t="n"/>
      <c r="AD129" s="488" t="n"/>
      <c r="AE129" s="995" t="n"/>
    </row>
    <row r="130" ht="26.25" customHeight="1" s="1025" thickBot="1"/>
    <row r="131" ht="30" customHeight="1" s="1025" thickBot="1">
      <c r="J131" s="837" t="inlineStr">
        <is>
          <t>GAMME ALLÉGÉE</t>
        </is>
      </c>
    </row>
    <row r="133" ht="26.25" customHeight="1" s="1025" thickBot="1">
      <c r="J133" s="575" t="inlineStr">
        <is>
          <t>PLU : 107 / 10717-fume / 107317-enr h / 107417-enr p / 109 / -1/2sag</t>
        </is>
      </c>
    </row>
    <row r="134" ht="26.25" customHeight="1" s="1025" thickBot="1">
      <c r="J134" s="1067" t="inlineStr">
        <is>
          <t>SAG</t>
        </is>
      </c>
      <c r="K134" s="919" t="n"/>
      <c r="L134" s="919" t="n"/>
      <c r="M134" s="919" t="n"/>
      <c r="N134" s="932" t="n"/>
    </row>
    <row r="135" ht="45.75" customHeight="1" s="1025" thickBot="1">
      <c r="J135" s="490" t="inlineStr">
        <is>
          <t>VIANDES</t>
        </is>
      </c>
      <c r="K135" s="491" t="inlineStr">
        <is>
          <t>Mêlée de 150 KG</t>
        </is>
      </c>
      <c r="L135" s="491" t="inlineStr">
        <is>
          <t>Poids cumulés</t>
        </is>
      </c>
      <c r="M135" s="492" t="inlineStr">
        <is>
          <t>U</t>
        </is>
      </c>
      <c r="N135" s="532" t="inlineStr">
        <is>
          <t>%</t>
        </is>
      </c>
    </row>
    <row r="136" ht="26.25" customHeight="1" s="1025" thickBot="1">
      <c r="J136" s="639" t="inlineStr">
        <is>
          <t>ÉPAULE 6D</t>
        </is>
      </c>
      <c r="K136" s="640">
        <f>'Recette viandes'!F20</f>
        <v/>
      </c>
      <c r="L136" s="641">
        <f>K136</f>
        <v/>
      </c>
      <c r="M136" s="642" t="inlineStr">
        <is>
          <t>kg</t>
        </is>
      </c>
      <c r="N136" s="497">
        <f>K136*100/K137</f>
        <v/>
      </c>
    </row>
    <row r="137" ht="26.25" customHeight="1" s="1025" thickBot="1">
      <c r="J137" s="490" t="inlineStr">
        <is>
          <t>TOTAL VIANDES</t>
        </is>
      </c>
      <c r="K137" s="563">
        <f>K136</f>
        <v/>
      </c>
      <c r="L137" s="564">
        <f>L136</f>
        <v/>
      </c>
      <c r="M137" s="492" t="inlineStr">
        <is>
          <t>kg</t>
        </is>
      </c>
      <c r="N137" s="565">
        <f>SUM(N136:N136)</f>
        <v/>
      </c>
    </row>
    <row r="138">
      <c r="J138" s="574" t="inlineStr">
        <is>
          <t>% Viandes = Viande Concernée X 100 / Total Viandes</t>
        </is>
      </c>
      <c r="K138" s="1075" t="n"/>
      <c r="L138" s="1075" t="n"/>
      <c r="M138" s="1075" t="n"/>
      <c r="N138" s="1075" t="n"/>
    </row>
    <row r="139" ht="26.25" customHeight="1" s="1025" thickBot="1"/>
    <row r="140" ht="45.75" customHeight="1" s="1025" thickBot="1">
      <c r="J140" s="490" t="inlineStr">
        <is>
          <t>ASSAISONNEMENT</t>
        </is>
      </c>
      <c r="K140" s="645" t="inlineStr">
        <is>
          <t>Mêlée de 150 kg</t>
        </is>
      </c>
      <c r="L140" s="645" t="inlineStr">
        <is>
          <t>Poids cumulés</t>
        </is>
      </c>
      <c r="M140" s="492" t="inlineStr">
        <is>
          <t>U</t>
        </is>
      </c>
      <c r="N140" s="532" t="inlineStr">
        <is>
          <t>%</t>
        </is>
      </c>
    </row>
    <row r="141">
      <c r="J141" s="662" t="inlineStr">
        <is>
          <t xml:space="preserve">SEL </t>
        </is>
      </c>
      <c r="K141" s="620">
        <f>SAG!C6</f>
        <v/>
      </c>
      <c r="L141" s="620">
        <f>K141</f>
        <v/>
      </c>
      <c r="M141" s="646" t="inlineStr">
        <is>
          <t>kg</t>
        </is>
      </c>
      <c r="N141" s="675">
        <f>K141*100/($K$137+SUM($K$141:$K$146,$K$148))</f>
        <v/>
      </c>
    </row>
    <row r="142">
      <c r="J142" s="591" t="inlineStr">
        <is>
          <t>SEL NITRITE</t>
        </is>
      </c>
      <c r="K142" s="621">
        <f>SAG!C7</f>
        <v/>
      </c>
      <c r="L142" s="621">
        <f>L141+K142</f>
        <v/>
      </c>
      <c r="M142" s="647" t="inlineStr">
        <is>
          <t>kg</t>
        </is>
      </c>
      <c r="N142" s="676">
        <f>K142*100/($K$137+SUM($K$141:$K$146,$K$148))</f>
        <v/>
      </c>
    </row>
    <row r="143">
      <c r="J143" s="500" t="inlineStr">
        <is>
          <t>LACTOSE</t>
        </is>
      </c>
      <c r="K143" s="618">
        <f>SAG!C8</f>
        <v/>
      </c>
      <c r="L143" s="618">
        <f>L142+K143</f>
        <v/>
      </c>
      <c r="M143" s="648" t="inlineStr">
        <is>
          <t>kg</t>
        </is>
      </c>
      <c r="N143" s="675">
        <f>K143*100/($K$137+SUM($K$141:$K$146,$K$148))</f>
        <v/>
      </c>
    </row>
    <row r="144">
      <c r="J144" s="516" t="inlineStr">
        <is>
          <t>DEXTROSE</t>
        </is>
      </c>
      <c r="K144" s="621">
        <f>SAG!C9</f>
        <v/>
      </c>
      <c r="L144" s="621">
        <f>L143+K144</f>
        <v/>
      </c>
      <c r="M144" s="647" t="inlineStr">
        <is>
          <t>kg</t>
        </is>
      </c>
      <c r="N144" s="676">
        <f>K144*100/($K$137+SUM($K$141:$K$146,$K$148))</f>
        <v/>
      </c>
    </row>
    <row r="145">
      <c r="J145" s="500" t="inlineStr">
        <is>
          <t>POIVRE BLANC MOULU</t>
        </is>
      </c>
      <c r="K145" s="618">
        <f>SAG!C10</f>
        <v/>
      </c>
      <c r="L145" s="618">
        <f>L144+K145</f>
        <v/>
      </c>
      <c r="M145" s="648" t="inlineStr">
        <is>
          <t>kg</t>
        </is>
      </c>
      <c r="N145" s="675">
        <f>K145*100/($K$137+SUM($K$141:$K$146,$K$148))</f>
        <v/>
      </c>
    </row>
    <row r="146" ht="26.25" customHeight="1" s="1025" thickBot="1">
      <c r="J146" s="507" t="inlineStr">
        <is>
          <t>AIL SEMOULE</t>
        </is>
      </c>
      <c r="K146" s="619">
        <f>SAG!C11</f>
        <v/>
      </c>
      <c r="L146" s="628">
        <f>L145+K146</f>
        <v/>
      </c>
      <c r="M146" s="649" t="inlineStr">
        <is>
          <t>kg</t>
        </is>
      </c>
      <c r="N146" s="572">
        <f>K146*100/($K$137+SUM($K$141:$K$146,$K$148))</f>
        <v/>
      </c>
    </row>
    <row r="147" ht="27" customHeight="1" s="1025" thickBot="1" thickTop="1">
      <c r="J147" s="803" t="inlineStr">
        <is>
          <t>FERMENT MF 244</t>
        </is>
      </c>
      <c r="K147" s="804">
        <f>SAG!C13</f>
        <v/>
      </c>
      <c r="L147" s="805">
        <f>K147</f>
        <v/>
      </c>
      <c r="M147" s="688" t="inlineStr">
        <is>
          <t>scht</t>
        </is>
      </c>
      <c r="N147" s="817" t="n"/>
    </row>
    <row r="148" ht="27" customHeight="1" s="1025" thickBot="1" thickTop="1">
      <c r="J148" s="802" t="inlineStr">
        <is>
          <t>Marc de Savoie</t>
        </is>
      </c>
      <c r="K148" s="818">
        <f>SAG!C12</f>
        <v/>
      </c>
      <c r="L148" s="819">
        <f>K148</f>
        <v/>
      </c>
      <c r="M148" s="809" t="inlineStr">
        <is>
          <t>L</t>
        </is>
      </c>
      <c r="N148" s="810">
        <f>K148*100/(K137+SUM(K141:K146,K148))</f>
        <v/>
      </c>
    </row>
    <row r="149">
      <c r="J149" s="574" t="inlineStr">
        <is>
          <t>% Assaisonnement = Ingrédient Concerné X 100 / (Total Assaisonnement sauf Ferment + Total Viandes)</t>
        </is>
      </c>
    </row>
    <row r="151" ht="26.25" customHeight="1" s="1025" thickBot="1"/>
    <row r="152" ht="29.25" customHeight="1" s="1025" thickBot="1">
      <c r="J152" s="838" t="inlineStr">
        <is>
          <t>GAMME GRIGNOTAGE</t>
        </is>
      </c>
    </row>
    <row r="154" ht="26.25" customHeight="1" s="1025" thickBot="1">
      <c r="J154" s="575" t="inlineStr">
        <is>
          <t>PLU : 166 / 1660</t>
        </is>
      </c>
    </row>
    <row r="155" ht="26.25" customHeight="1" s="1025" thickBot="1">
      <c r="J155" s="1062" t="inlineStr">
        <is>
          <t>MIGNONETTE</t>
        </is>
      </c>
      <c r="K155" s="919" t="n"/>
      <c r="L155" s="919" t="n"/>
      <c r="M155" s="919" t="n"/>
      <c r="N155" s="932" t="n"/>
    </row>
    <row r="156" ht="45.75" customHeight="1" s="1025" thickBot="1">
      <c r="J156" s="490" t="inlineStr">
        <is>
          <t>VIANDES</t>
        </is>
      </c>
      <c r="K156" s="491" t="inlineStr">
        <is>
          <t>Mêlée de 150 KG</t>
        </is>
      </c>
      <c r="L156" s="491" t="inlineStr">
        <is>
          <t>Poids cumulés</t>
        </is>
      </c>
      <c r="M156" s="492" t="inlineStr">
        <is>
          <t>U</t>
        </is>
      </c>
      <c r="N156" s="532" t="inlineStr">
        <is>
          <t>%</t>
        </is>
      </c>
    </row>
    <row r="157">
      <c r="J157" s="639" t="inlineStr">
        <is>
          <t>ÉPAULE 4D</t>
        </is>
      </c>
      <c r="K157" s="640">
        <f>'Recette viandes'!D21</f>
        <v/>
      </c>
      <c r="L157" s="641">
        <f>K157</f>
        <v/>
      </c>
      <c r="M157" s="642" t="inlineStr">
        <is>
          <t>kg</t>
        </is>
      </c>
      <c r="N157" s="497">
        <f>K157*100/K159</f>
        <v/>
      </c>
    </row>
    <row r="158" ht="26.25" customHeight="1" s="1025" thickBot="1">
      <c r="J158" s="544" t="inlineStr">
        <is>
          <t xml:space="preserve">GRAS </t>
        </is>
      </c>
      <c r="K158" s="643">
        <f>'Recette viandes'!D23</f>
        <v/>
      </c>
      <c r="L158" s="546">
        <f>L157+K158</f>
        <v/>
      </c>
      <c r="M158" s="587" t="inlineStr">
        <is>
          <t>kg</t>
        </is>
      </c>
      <c r="N158" s="644">
        <f>K158*100/K159</f>
        <v/>
      </c>
    </row>
    <row r="159" ht="26.25" customHeight="1" s="1025" thickBot="1">
      <c r="J159" s="490" t="inlineStr">
        <is>
          <t>TOTAL VIANDES</t>
        </is>
      </c>
      <c r="K159" s="563">
        <f>SUM(K157:K158)</f>
        <v/>
      </c>
      <c r="L159" s="564">
        <f>L158</f>
        <v/>
      </c>
      <c r="M159" s="492" t="inlineStr">
        <is>
          <t>kg</t>
        </is>
      </c>
      <c r="N159" s="565">
        <f>SUM(N157:N158)</f>
        <v/>
      </c>
    </row>
    <row r="160">
      <c r="J160" s="574" t="inlineStr">
        <is>
          <t>% Viandes = Viande Concernée X 100 / Total Viandes</t>
        </is>
      </c>
      <c r="K160" s="1075" t="n"/>
      <c r="L160" s="1075" t="n"/>
      <c r="M160" s="1075" t="n"/>
      <c r="N160" s="1075" t="n"/>
    </row>
    <row r="161" ht="26.25" customHeight="1" s="1025" thickBot="1"/>
    <row r="162" ht="45.75" customHeight="1" s="1025" thickBot="1">
      <c r="J162" s="490" t="inlineStr">
        <is>
          <t>ASSAISONNEMENT</t>
        </is>
      </c>
      <c r="K162" s="645" t="inlineStr">
        <is>
          <t>Mêlée de 150 kg</t>
        </is>
      </c>
      <c r="L162" s="645" t="inlineStr">
        <is>
          <t>Poids cumulés</t>
        </is>
      </c>
      <c r="M162" s="492" t="inlineStr">
        <is>
          <t>U</t>
        </is>
      </c>
      <c r="N162" s="493" t="inlineStr">
        <is>
          <t>%</t>
        </is>
      </c>
    </row>
    <row r="163">
      <c r="J163" s="729" t="inlineStr">
        <is>
          <t>SEL NITRITE</t>
        </is>
      </c>
      <c r="K163" s="620">
        <f>' Snaking'!B7</f>
        <v/>
      </c>
      <c r="L163" s="730">
        <f>K163</f>
        <v/>
      </c>
      <c r="M163" s="646" t="inlineStr">
        <is>
          <t>kg</t>
        </is>
      </c>
      <c r="N163" s="675">
        <f>K163*100/($K$159+SUM($K$163:$K$169))</f>
        <v/>
      </c>
    </row>
    <row r="164" ht="25.5" customHeight="1" s="1025">
      <c r="J164" s="718" t="inlineStr">
        <is>
          <t xml:space="preserve">SEL </t>
        </is>
      </c>
      <c r="K164" s="621">
        <f>' Snaking'!B8</f>
        <v/>
      </c>
      <c r="L164" s="722">
        <f>L163+K164</f>
        <v/>
      </c>
      <c r="M164" s="647" t="inlineStr">
        <is>
          <t>kg</t>
        </is>
      </c>
      <c r="N164" s="676">
        <f>K164*100/($K$159+SUM($K$163:$K$169))</f>
        <v/>
      </c>
    </row>
    <row r="165">
      <c r="J165" s="719" t="inlineStr">
        <is>
          <t>NITRATE DE POTASSIUM</t>
        </is>
      </c>
      <c r="K165" s="618">
        <f>' Snaking'!B9</f>
        <v/>
      </c>
      <c r="L165" s="723">
        <f>L164+K165</f>
        <v/>
      </c>
      <c r="M165" s="648" t="inlineStr">
        <is>
          <t>kg</t>
        </is>
      </c>
      <c r="N165" s="675">
        <f>K165*100/($K$159+SUM($K$163:$K$169))</f>
        <v/>
      </c>
    </row>
    <row r="166">
      <c r="J166" s="718" t="inlineStr">
        <is>
          <t>LACTOSE</t>
        </is>
      </c>
      <c r="K166" s="621">
        <f>' Snaking'!B10</f>
        <v/>
      </c>
      <c r="L166" s="722">
        <f>L165+K166</f>
        <v/>
      </c>
      <c r="M166" s="647" t="inlineStr">
        <is>
          <t>kg</t>
        </is>
      </c>
      <c r="N166" s="676">
        <f>K166*100/($K$159+SUM($K$163:$K$169))</f>
        <v/>
      </c>
    </row>
    <row r="167">
      <c r="J167" s="719" t="inlineStr">
        <is>
          <t>DEXTROSE</t>
        </is>
      </c>
      <c r="K167" s="618">
        <f>' Snaking'!B11</f>
        <v/>
      </c>
      <c r="L167" s="723">
        <f>L166+K167</f>
        <v/>
      </c>
      <c r="M167" s="648" t="inlineStr">
        <is>
          <t>kg</t>
        </is>
      </c>
      <c r="N167" s="675">
        <f>K167*100/($K$159+SUM($K$163:$K$169))</f>
        <v/>
      </c>
    </row>
    <row r="168">
      <c r="J168" s="718" t="inlineStr">
        <is>
          <t>POIVRE BLANC MOULU</t>
        </is>
      </c>
      <c r="K168" s="621">
        <f>' Snaking'!B12</f>
        <v/>
      </c>
      <c r="L168" s="722">
        <f>L167+K168</f>
        <v/>
      </c>
      <c r="M168" s="647" t="inlineStr">
        <is>
          <t>kg</t>
        </is>
      </c>
      <c r="N168" s="676">
        <f>K168*100/($K$159+SUM($K$163:$K$169))</f>
        <v/>
      </c>
    </row>
    <row r="169" ht="26.25" customHeight="1" s="1025" thickBot="1">
      <c r="J169" s="720" t="inlineStr">
        <is>
          <t>AIL SEMOULE</t>
        </is>
      </c>
      <c r="K169" s="687">
        <f>' Snaking'!B13</f>
        <v/>
      </c>
      <c r="L169" s="724">
        <f>L168+K169</f>
        <v/>
      </c>
      <c r="M169" s="688" t="inlineStr">
        <is>
          <t>kg</t>
        </is>
      </c>
      <c r="N169" s="675">
        <f>K169*100/($K$159+SUM($K$163:$K$169))</f>
        <v/>
      </c>
    </row>
    <row r="170" ht="27" customHeight="1" s="1025" thickBot="1" thickTop="1">
      <c r="J170" s="725" t="inlineStr">
        <is>
          <t>FERMENT MF 244</t>
        </is>
      </c>
      <c r="K170" s="731">
        <f>' Snaking'!B14</f>
        <v/>
      </c>
      <c r="L170" s="839">
        <f>K170</f>
        <v/>
      </c>
      <c r="M170" s="727" t="inlineStr">
        <is>
          <t>scht</t>
        </is>
      </c>
      <c r="N170" s="728" t="n"/>
    </row>
    <row r="171">
      <c r="J171" s="574" t="inlineStr">
        <is>
          <t>% Assaisonnement = Ingrédient Concerné X 100 / (Total Assaisonnement sauf Ferment + Total Viandes)</t>
        </is>
      </c>
    </row>
  </sheetData>
  <mergeCells count="71">
    <mergeCell ref="BR80:BV80"/>
    <mergeCell ref="CD80:CH80"/>
    <mergeCell ref="P35:T35"/>
    <mergeCell ref="P4:T4"/>
    <mergeCell ref="DT80:DX80"/>
    <mergeCell ref="C4:C5"/>
    <mergeCell ref="EF80:EJ80"/>
    <mergeCell ref="AB80:AF80"/>
    <mergeCell ref="ER80:EV80"/>
    <mergeCell ref="J57:N57"/>
    <mergeCell ref="AN80:AR80"/>
    <mergeCell ref="EF99:EJ99"/>
    <mergeCell ref="AT80:AX80"/>
    <mergeCell ref="J155:N155"/>
    <mergeCell ref="ER99:EV99"/>
    <mergeCell ref="AH80:AL80"/>
    <mergeCell ref="CP80:CT80"/>
    <mergeCell ref="V4:Z4"/>
    <mergeCell ref="AB4:AF4"/>
    <mergeCell ref="F18:F19"/>
    <mergeCell ref="AB35:AF35"/>
    <mergeCell ref="V35:Z35"/>
    <mergeCell ref="J77:K77"/>
    <mergeCell ref="BF80:BJ80"/>
    <mergeCell ref="AZ80:BD80"/>
    <mergeCell ref="DB80:DF80"/>
    <mergeCell ref="AH4:AL4"/>
    <mergeCell ref="AN4:AR4"/>
    <mergeCell ref="DH80:DL80"/>
    <mergeCell ref="AH35:AL35"/>
    <mergeCell ref="L1:AC1"/>
    <mergeCell ref="P80:T80"/>
    <mergeCell ref="J107:N107"/>
    <mergeCell ref="F16:I16"/>
    <mergeCell ref="J80:N80"/>
    <mergeCell ref="P107:T107"/>
    <mergeCell ref="V107:Z107"/>
    <mergeCell ref="G18:G19"/>
    <mergeCell ref="BL80:BP80"/>
    <mergeCell ref="AT57:AX57"/>
    <mergeCell ref="FD80:FH80"/>
    <mergeCell ref="J35:N35"/>
    <mergeCell ref="J4:N4"/>
    <mergeCell ref="BX80:CB80"/>
    <mergeCell ref="DN80:DR80"/>
    <mergeCell ref="FJ80:FN80"/>
    <mergeCell ref="A4:A5"/>
    <mergeCell ref="G4:G5"/>
    <mergeCell ref="F3:I3"/>
    <mergeCell ref="AB107:AF107"/>
    <mergeCell ref="P57:T57"/>
    <mergeCell ref="CJ80:CN80"/>
    <mergeCell ref="DZ80:ED80"/>
    <mergeCell ref="AB57:AF57"/>
    <mergeCell ref="EL80:EP80"/>
    <mergeCell ref="H18:H19"/>
    <mergeCell ref="B4:B5"/>
    <mergeCell ref="F12:I14"/>
    <mergeCell ref="J134:N134"/>
    <mergeCell ref="F4:F5"/>
    <mergeCell ref="A3:D3"/>
    <mergeCell ref="H4:H5"/>
    <mergeCell ref="CV80:CZ80"/>
    <mergeCell ref="V57:Z57"/>
    <mergeCell ref="V80:Z80"/>
    <mergeCell ref="AH57:AL57"/>
    <mergeCell ref="AN57:AR57"/>
    <mergeCell ref="EX80:FB80"/>
    <mergeCell ref="FJ99:FN99"/>
    <mergeCell ref="BL98:BP98"/>
    <mergeCell ref="F10:I11"/>
  </mergeCells>
  <pageMargins left="0.7" right="0.7" top="0.75" bottom="0.75" header="0.3" footer="0.3"/>
  <pageSetup orientation="portrait" paperSize="9"/>
  <legacyDrawing xmlns:r="http://schemas.openxmlformats.org/officeDocument/2006/relationships" r:id="anysvml"/>
</worksheet>
</file>

<file path=xl/worksheets/sheet17.xml><?xml version="1.0" encoding="utf-8"?>
<worksheet xmlns="http://schemas.openxmlformats.org/spreadsheetml/2006/main">
  <sheetPr codeName="Sheet16">
    <outlinePr summaryBelow="1" summaryRight="1"/>
    <pageSetUpPr/>
  </sheetPr>
  <dimension ref="A1:K21"/>
  <sheetViews>
    <sheetView zoomScale="70" zoomScaleNormal="70" workbookViewId="0">
      <selection activeCell="Q20" sqref="Q20"/>
    </sheetView>
  </sheetViews>
  <sheetFormatPr baseColWidth="8" defaultColWidth="11.5546875" defaultRowHeight="14.4"/>
  <cols>
    <col width="40.109375" customWidth="1" style="1025" min="1" max="1"/>
    <col width="15.109375" customWidth="1" style="1025" min="2" max="2"/>
    <col width="14.109375" customWidth="1" style="1025" min="3" max="3"/>
    <col width="7" customWidth="1" style="1025" min="4" max="4"/>
    <col width="9.88671875" customWidth="1" style="1025" min="5" max="5"/>
    <col width="40.109375" customWidth="1" style="1025" min="7" max="7"/>
    <col width="15.109375" customWidth="1" style="1025" min="8" max="8"/>
    <col width="14.109375" customWidth="1" style="1025" min="9" max="9"/>
    <col width="7" customWidth="1" style="1025" min="10" max="10"/>
    <col width="9.88671875" customWidth="1" style="1025" min="11" max="11"/>
  </cols>
  <sheetData>
    <row r="1" ht="28.5" customHeight="1" s="1025">
      <c r="A1" s="846" t="inlineStr">
        <is>
          <t>RECETTES PONCTUELLES</t>
        </is>
      </c>
      <c r="G1" s="846" t="n"/>
    </row>
    <row r="3" ht="26.25" customHeight="1" s="1025" thickBot="1">
      <c r="A3" s="575" t="n"/>
      <c r="B3" s="994" t="n"/>
      <c r="C3" s="488" t="n"/>
      <c r="D3" s="995" t="n"/>
      <c r="E3" s="994" t="n"/>
      <c r="G3" s="575" t="n"/>
      <c r="H3" s="994" t="n"/>
      <c r="I3" s="488" t="n"/>
      <c r="J3" s="995" t="n"/>
      <c r="K3" s="994" t="n"/>
    </row>
    <row r="4" ht="23.25" customHeight="1" s="1025" thickBot="1">
      <c r="A4" s="1064" t="inlineStr">
        <is>
          <t>COGNAC</t>
        </is>
      </c>
      <c r="B4" s="919" t="n"/>
      <c r="C4" s="919" t="n"/>
      <c r="D4" s="919" t="n"/>
      <c r="E4" s="932" t="n"/>
      <c r="G4" s="1064" t="inlineStr">
        <is>
          <t>PINEAU</t>
        </is>
      </c>
      <c r="H4" s="919" t="n"/>
      <c r="I4" s="919" t="n"/>
      <c r="J4" s="919" t="n"/>
      <c r="K4" s="932" t="n"/>
    </row>
    <row r="5" ht="45.75" customHeight="1" s="1025" thickBot="1">
      <c r="A5" s="490" t="inlineStr">
        <is>
          <t>VIANDES</t>
        </is>
      </c>
      <c r="B5" s="491" t="inlineStr">
        <is>
          <t>Mêlée de 150 KG</t>
        </is>
      </c>
      <c r="C5" s="491" t="inlineStr">
        <is>
          <t>Poids cumulés</t>
        </is>
      </c>
      <c r="D5" s="492" t="inlineStr">
        <is>
          <t>U</t>
        </is>
      </c>
      <c r="E5" s="532" t="inlineStr">
        <is>
          <t>%</t>
        </is>
      </c>
      <c r="G5" s="490" t="inlineStr">
        <is>
          <t>VIANDES</t>
        </is>
      </c>
      <c r="H5" s="491" t="inlineStr">
        <is>
          <t>Mêlée de 150 KG</t>
        </is>
      </c>
      <c r="I5" s="491" t="inlineStr">
        <is>
          <t>Poids cumulés</t>
        </is>
      </c>
      <c r="J5" s="492" t="inlineStr">
        <is>
          <t>U</t>
        </is>
      </c>
      <c r="K5" s="532" t="inlineStr">
        <is>
          <t>%</t>
        </is>
      </c>
    </row>
    <row r="6" ht="25.5" customHeight="1" s="1025">
      <c r="A6" s="538" t="inlineStr">
        <is>
          <t>ÉPAULE 3D</t>
        </is>
      </c>
      <c r="B6" s="512">
        <f>'Recette viandes'!$S$6</f>
        <v/>
      </c>
      <c r="C6" s="539">
        <f>B6</f>
        <v/>
      </c>
      <c r="D6" s="513" t="inlineStr">
        <is>
          <t>kg</t>
        </is>
      </c>
      <c r="E6" s="511">
        <f>B6*100/B9</f>
        <v/>
      </c>
      <c r="G6" s="538" t="inlineStr">
        <is>
          <t>ÉPAULE 3D</t>
        </is>
      </c>
      <c r="H6" s="512">
        <f>'Recette viandes'!$S$6</f>
        <v/>
      </c>
      <c r="I6" s="539">
        <f>H6</f>
        <v/>
      </c>
      <c r="J6" s="513" t="inlineStr">
        <is>
          <t>kg</t>
        </is>
      </c>
      <c r="K6" s="511">
        <f>H6*100/H9</f>
        <v/>
      </c>
    </row>
    <row r="7" ht="25.5" customHeight="1" s="1025">
      <c r="A7" s="542" t="inlineStr">
        <is>
          <t xml:space="preserve">GRAS </t>
        </is>
      </c>
      <c r="B7" s="518">
        <f>'Recette viandes'!$S$9</f>
        <v/>
      </c>
      <c r="C7" s="543">
        <f>C6+B7</f>
        <v/>
      </c>
      <c r="D7" s="519" t="inlineStr">
        <is>
          <t>kg</t>
        </is>
      </c>
      <c r="E7" s="679">
        <f>B7*100/B9</f>
        <v/>
      </c>
      <c r="G7" s="542" t="inlineStr">
        <is>
          <t xml:space="preserve">GRAS </t>
        </is>
      </c>
      <c r="H7" s="518">
        <f>'Recette viandes'!$S$9</f>
        <v/>
      </c>
      <c r="I7" s="543">
        <f>I6+H7</f>
        <v/>
      </c>
      <c r="J7" s="519" t="inlineStr">
        <is>
          <t>kg</t>
        </is>
      </c>
      <c r="K7" s="679">
        <f>H7*100/H9</f>
        <v/>
      </c>
    </row>
    <row r="8" ht="26.25" customHeight="1" s="1025" thickBot="1">
      <c r="A8" s="544" t="inlineStr">
        <is>
          <t>HAMPES</t>
        </is>
      </c>
      <c r="B8" s="643">
        <f>'Recette viandes'!$S$7</f>
        <v/>
      </c>
      <c r="C8" s="546">
        <f>C7+B8</f>
        <v/>
      </c>
      <c r="D8" s="587" t="inlineStr">
        <is>
          <t>kg</t>
        </is>
      </c>
      <c r="E8" s="680">
        <f>B8*100/B9</f>
        <v/>
      </c>
      <c r="G8" s="544" t="inlineStr">
        <is>
          <t>HAMPES</t>
        </is>
      </c>
      <c r="H8" s="643">
        <f>'Recette viandes'!$S$7</f>
        <v/>
      </c>
      <c r="I8" s="546">
        <f>I7+H8</f>
        <v/>
      </c>
      <c r="J8" s="587" t="inlineStr">
        <is>
          <t>kg</t>
        </is>
      </c>
      <c r="K8" s="680">
        <f>H8*100/H9</f>
        <v/>
      </c>
    </row>
    <row r="9" ht="23.25" customHeight="1" s="1025" thickBot="1">
      <c r="A9" s="490" t="inlineStr">
        <is>
          <t>TOTAL VIANDES</t>
        </is>
      </c>
      <c r="B9" s="563">
        <f>SUM(B6:B8)</f>
        <v/>
      </c>
      <c r="C9" s="564">
        <f>C8</f>
        <v/>
      </c>
      <c r="D9" s="492" t="inlineStr">
        <is>
          <t>kg</t>
        </is>
      </c>
      <c r="E9" s="565">
        <f>SUM(E6:E8)</f>
        <v/>
      </c>
      <c r="G9" s="490" t="inlineStr">
        <is>
          <t>TOTAL VIANDES</t>
        </is>
      </c>
      <c r="H9" s="563">
        <f>SUM(H6:H8)</f>
        <v/>
      </c>
      <c r="I9" s="564">
        <f>I8</f>
        <v/>
      </c>
      <c r="J9" s="492" t="inlineStr">
        <is>
          <t>kg</t>
        </is>
      </c>
      <c r="K9" s="565">
        <f>SUM(K6:K8)</f>
        <v/>
      </c>
    </row>
    <row r="10" ht="26.25" customHeight="1" s="1025" thickBot="1">
      <c r="A10" s="574" t="inlineStr">
        <is>
          <t>% Viandes = Viande Concernée X 100 / Total Viandes</t>
        </is>
      </c>
      <c r="B10" s="1075" t="n"/>
      <c r="C10" s="1075" t="n"/>
      <c r="D10" s="1075" t="n"/>
      <c r="E10" s="1075" t="n"/>
      <c r="G10" s="574" t="inlineStr">
        <is>
          <t>% Viandes = Viande Concernée X 100 / Total Viandes</t>
        </is>
      </c>
      <c r="H10" s="1075" t="n"/>
      <c r="I10" s="1075" t="n"/>
      <c r="J10" s="1075" t="n"/>
      <c r="K10" s="1075" t="n"/>
    </row>
    <row r="11" ht="45.75" customHeight="1" s="1025" thickBot="1">
      <c r="A11" s="490" t="inlineStr">
        <is>
          <t>ASSAISONNEMENT</t>
        </is>
      </c>
      <c r="B11" s="645" t="inlineStr">
        <is>
          <t>Mêlée de 150 kg</t>
        </is>
      </c>
      <c r="C11" s="645" t="inlineStr">
        <is>
          <t>Poids cumulés</t>
        </is>
      </c>
      <c r="D11" s="492" t="inlineStr">
        <is>
          <t>U</t>
        </is>
      </c>
      <c r="E11" s="532" t="inlineStr">
        <is>
          <t>%</t>
        </is>
      </c>
      <c r="G11" s="490" t="inlineStr">
        <is>
          <t>ASSAISONNEMENT</t>
        </is>
      </c>
      <c r="H11" s="645" t="inlineStr">
        <is>
          <t>Mêlée de 150 kg</t>
        </is>
      </c>
      <c r="I11" s="645" t="inlineStr">
        <is>
          <t>Poids cumulés</t>
        </is>
      </c>
      <c r="J11" s="492" t="inlineStr">
        <is>
          <t>U</t>
        </is>
      </c>
      <c r="K11" s="532" t="inlineStr">
        <is>
          <t>%</t>
        </is>
      </c>
    </row>
    <row r="12" ht="25.5" customHeight="1" s="1025">
      <c r="A12" s="667" t="inlineStr">
        <is>
          <t>SEL NITRITE</t>
        </is>
      </c>
      <c r="B12" s="620" t="n">
        <v>1.5</v>
      </c>
      <c r="C12" s="620">
        <f>B12</f>
        <v/>
      </c>
      <c r="D12" s="646" t="inlineStr">
        <is>
          <t>kg</t>
        </is>
      </c>
      <c r="E12" s="675">
        <f>B12*100/($BY$83+SUM($BY$88:$BY$94,$BY$96))</f>
        <v/>
      </c>
      <c r="G12" s="667" t="inlineStr">
        <is>
          <t>SEL NITRITE</t>
        </is>
      </c>
      <c r="H12" s="620" t="n">
        <v>1.5</v>
      </c>
      <c r="I12" s="620">
        <f>H12</f>
        <v/>
      </c>
      <c r="J12" s="646" t="inlineStr">
        <is>
          <t>kg</t>
        </is>
      </c>
      <c r="K12" s="675">
        <f>H12*100/($BY$83+SUM($BY$88:$BY$94,$BY$96))</f>
        <v/>
      </c>
    </row>
    <row r="13" ht="25.5" customHeight="1" s="1025">
      <c r="A13" s="698" t="inlineStr">
        <is>
          <t xml:space="preserve">SEL </t>
        </is>
      </c>
      <c r="B13" s="621" t="n">
        <v>2.4</v>
      </c>
      <c r="C13" s="621">
        <f>C12+B13</f>
        <v/>
      </c>
      <c r="D13" s="647" t="inlineStr">
        <is>
          <t>kg</t>
        </is>
      </c>
      <c r="E13" s="676">
        <f>B13*100/($BY$83+SUM($BY$88:$BY$94,$BY$96))</f>
        <v/>
      </c>
      <c r="G13" s="698" t="inlineStr">
        <is>
          <t xml:space="preserve">SEL </t>
        </is>
      </c>
      <c r="H13" s="621" t="n">
        <v>2.4</v>
      </c>
      <c r="I13" s="621">
        <f>I12+H13</f>
        <v/>
      </c>
      <c r="J13" s="647" t="inlineStr">
        <is>
          <t>kg</t>
        </is>
      </c>
      <c r="K13" s="676">
        <f>H13*100/($BY$83+SUM($BY$88:$BY$94,$BY$96))</f>
        <v/>
      </c>
    </row>
    <row r="14" ht="25.5" customHeight="1" s="1025">
      <c r="A14" s="666" t="inlineStr">
        <is>
          <t>NITRATE DE POTASSIUM</t>
        </is>
      </c>
      <c r="B14" s="618" t="n">
        <v>0.018</v>
      </c>
      <c r="C14" s="618">
        <f>C13+B14</f>
        <v/>
      </c>
      <c r="D14" s="648" t="inlineStr">
        <is>
          <t>kg</t>
        </is>
      </c>
      <c r="E14" s="675">
        <f>B14*100/($BY$83+SUM($BY$88:$BY$94,$BY$96))</f>
        <v/>
      </c>
      <c r="G14" s="666" t="inlineStr">
        <is>
          <t>NITRATE DE POTASSIUM</t>
        </is>
      </c>
      <c r="H14" s="618" t="n">
        <v>0.018</v>
      </c>
      <c r="I14" s="618">
        <f>I13+H14</f>
        <v/>
      </c>
      <c r="J14" s="648" t="inlineStr">
        <is>
          <t>kg</t>
        </is>
      </c>
      <c r="K14" s="675">
        <f>H14*100/($BY$83+SUM($BY$88:$BY$94,$BY$96))</f>
        <v/>
      </c>
    </row>
    <row r="15" ht="25.5" customHeight="1" s="1025">
      <c r="A15" s="698" t="inlineStr">
        <is>
          <t>LACTOSE</t>
        </is>
      </c>
      <c r="B15" s="621" t="n">
        <v>1.5</v>
      </c>
      <c r="C15" s="621">
        <f>C14+B15</f>
        <v/>
      </c>
      <c r="D15" s="647" t="inlineStr">
        <is>
          <t>kg</t>
        </is>
      </c>
      <c r="E15" s="676">
        <f>B15*100/($BY$83+SUM($BY$88:$BY$94,$BY$96))</f>
        <v/>
      </c>
      <c r="G15" s="698" t="inlineStr">
        <is>
          <t>LACTOSE</t>
        </is>
      </c>
      <c r="H15" s="621" t="n">
        <v>1.5</v>
      </c>
      <c r="I15" s="621">
        <f>I14+H15</f>
        <v/>
      </c>
      <c r="J15" s="647" t="inlineStr">
        <is>
          <t>kg</t>
        </is>
      </c>
      <c r="K15" s="676">
        <f>H15*100/($BY$83+SUM($BY$88:$BY$94,$BY$96))</f>
        <v/>
      </c>
    </row>
    <row r="16" ht="25.5" customHeight="1" s="1025">
      <c r="A16" s="666" t="inlineStr">
        <is>
          <t>DEXTROSE</t>
        </is>
      </c>
      <c r="B16" s="618" t="n">
        <v>0.45</v>
      </c>
      <c r="C16" s="618">
        <f>C15+B16</f>
        <v/>
      </c>
      <c r="D16" s="648" t="inlineStr">
        <is>
          <t>kg</t>
        </is>
      </c>
      <c r="E16" s="675">
        <f>B16*100/($BY$83+SUM($BY$88:$BY$94,$BY$96))</f>
        <v/>
      </c>
      <c r="G16" s="666" t="inlineStr">
        <is>
          <t>DEXTROSE</t>
        </is>
      </c>
      <c r="H16" s="618" t="n">
        <v>0.45</v>
      </c>
      <c r="I16" s="618">
        <f>I15+H16</f>
        <v/>
      </c>
      <c r="J16" s="648" t="inlineStr">
        <is>
          <t>kg</t>
        </is>
      </c>
      <c r="K16" s="675">
        <f>H16*100/($BY$83+SUM($BY$88:$BY$94,$BY$96))</f>
        <v/>
      </c>
    </row>
    <row r="17" ht="25.5" customHeight="1" s="1025">
      <c r="A17" s="698" t="inlineStr">
        <is>
          <t>POIVRE BLANC MOULU</t>
        </is>
      </c>
      <c r="B17" s="621" t="n">
        <v>0.25</v>
      </c>
      <c r="C17" s="621">
        <f>C16+B17</f>
        <v/>
      </c>
      <c r="D17" s="647" t="inlineStr">
        <is>
          <t>kg</t>
        </is>
      </c>
      <c r="E17" s="676">
        <f>B17*100/($BY$83+SUM($BY$88:$BY$94,$BY$96))</f>
        <v/>
      </c>
      <c r="G17" s="698" t="inlineStr">
        <is>
          <t>POIVRE BLANC MOULU</t>
        </is>
      </c>
      <c r="H17" s="621" t="n">
        <v>0.25</v>
      </c>
      <c r="I17" s="621">
        <f>I16+H17</f>
        <v/>
      </c>
      <c r="J17" s="647" t="inlineStr">
        <is>
          <t>kg</t>
        </is>
      </c>
      <c r="K17" s="676">
        <f>H17*100/($BY$83+SUM($BY$88:$BY$94,$BY$96))</f>
        <v/>
      </c>
    </row>
    <row r="18" ht="26.25" customHeight="1" s="1025" thickBot="1">
      <c r="A18" s="768" t="inlineStr">
        <is>
          <t>AIL SEMOULE</t>
        </is>
      </c>
      <c r="B18" s="687" t="n">
        <v>0.08</v>
      </c>
      <c r="C18" s="631">
        <f>C17+B18</f>
        <v/>
      </c>
      <c r="D18" s="688" t="inlineStr">
        <is>
          <t>kg</t>
        </is>
      </c>
      <c r="E18" s="573">
        <f>B18*100/($BY$83+SUM($BY$88:$BY$94,$BY$96))</f>
        <v/>
      </c>
      <c r="G18" s="768" t="inlineStr">
        <is>
          <t>AIL SEMOULE</t>
        </is>
      </c>
      <c r="H18" s="687" t="n">
        <v>0.08</v>
      </c>
      <c r="I18" s="631">
        <f>I17+H18</f>
        <v/>
      </c>
      <c r="J18" s="688" t="inlineStr">
        <is>
          <t>kg</t>
        </is>
      </c>
      <c r="K18" s="573">
        <f>H18*100/($BY$83+SUM($BY$88:$BY$94,$BY$96))</f>
        <v/>
      </c>
    </row>
    <row r="19" ht="27" customHeight="1" s="1025" thickBot="1" thickTop="1">
      <c r="A19" s="769" t="inlineStr">
        <is>
          <t>FERMENT MF 244</t>
        </is>
      </c>
      <c r="B19" s="713" t="n">
        <v>1</v>
      </c>
      <c r="C19" s="714">
        <f>B19</f>
        <v/>
      </c>
      <c r="D19" s="715" t="inlineStr">
        <is>
          <t>scht</t>
        </is>
      </c>
      <c r="E19" s="766" t="n"/>
      <c r="G19" s="769" t="inlineStr">
        <is>
          <t>FERMENT MF 244</t>
        </is>
      </c>
      <c r="H19" s="713" t="n">
        <v>1</v>
      </c>
      <c r="I19" s="714">
        <f>H19</f>
        <v/>
      </c>
      <c r="J19" s="715" t="inlineStr">
        <is>
          <t>scht</t>
        </is>
      </c>
      <c r="K19" s="766" t="n"/>
    </row>
    <row r="20" ht="52.5" customHeight="1" s="1025" thickBot="1" thickTop="1">
      <c r="A20" s="767" t="inlineStr">
        <is>
          <t>Ingrédients : Cognac</t>
        </is>
      </c>
      <c r="B20" s="756" t="n">
        <v>1.5</v>
      </c>
      <c r="C20" s="757">
        <f>B20</f>
        <v/>
      </c>
      <c r="D20" s="756" t="inlineStr">
        <is>
          <t>Litres</t>
        </is>
      </c>
      <c r="E20" s="744">
        <f>B20*100/(B9+SUM(B12:B18,B20))</f>
        <v/>
      </c>
      <c r="G20" s="767" t="inlineStr">
        <is>
          <t>Ingrédients : Pineau</t>
        </is>
      </c>
      <c r="H20" s="756" t="n">
        <v>3</v>
      </c>
      <c r="I20" s="757">
        <f>H20</f>
        <v/>
      </c>
      <c r="J20" s="756" t="inlineStr">
        <is>
          <t>Litres</t>
        </is>
      </c>
      <c r="K20" s="744">
        <f>H20*100/(H9+SUM(H12:H18,H20))</f>
        <v/>
      </c>
    </row>
    <row r="21" ht="25.5" customHeight="1" s="1025">
      <c r="A21" s="574" t="inlineStr">
        <is>
          <t>% Assaisonnement = Ingrédient Concerné X 100 / (Total Assaisonnement sauf Ferment + Total Viandes)</t>
        </is>
      </c>
      <c r="B21" s="994" t="n"/>
      <c r="C21" s="994" t="n"/>
      <c r="D21" s="994" t="n"/>
      <c r="E21" s="994" t="n"/>
      <c r="G21" s="574" t="inlineStr">
        <is>
          <t>% Assaisonnement = Ingrédient Concerné X 100 / (Total Assaisonnement sauf Ferment + Total Viandes)</t>
        </is>
      </c>
      <c r="H21" s="994" t="n"/>
      <c r="I21" s="994" t="n"/>
      <c r="J21" s="994" t="n"/>
      <c r="K21" s="994" t="n"/>
    </row>
  </sheetData>
  <mergeCells count="2">
    <mergeCell ref="A4:E4"/>
    <mergeCell ref="G4:K4"/>
  </mergeCells>
  <pageMargins left="0.7" right="0.7" top="0.75" bottom="0.75" header="0.3" footer="0.3"/>
  <pageSetup orientation="portrait" paperSize="9"/>
</worksheet>
</file>

<file path=xl/worksheets/sheet18.xml><?xml version="1.0" encoding="utf-8"?>
<worksheet xmlns="http://schemas.openxmlformats.org/spreadsheetml/2006/main">
  <sheetPr codeName="Sheet17">
    <outlinePr summaryBelow="1" summaryRight="1"/>
    <pageSetUpPr/>
  </sheetPr>
  <dimension ref="A2:AC27"/>
  <sheetViews>
    <sheetView workbookViewId="0">
      <selection activeCell="P19" sqref="P19"/>
    </sheetView>
  </sheetViews>
  <sheetFormatPr baseColWidth="8" defaultColWidth="11.5546875" defaultRowHeight="14.4"/>
  <cols>
    <col width="42.6640625" customWidth="1" style="1025" min="26" max="26"/>
    <col width="16.88671875" customWidth="1" style="1025" min="27" max="27"/>
    <col width="6" customWidth="1" style="1047" min="28" max="28"/>
    <col width="13.5546875" customWidth="1" style="1025" min="29" max="29"/>
  </cols>
  <sheetData>
    <row r="2" ht="19.5" customHeight="1" s="1025" thickBot="1">
      <c r="Z2" s="1093" t="inlineStr">
        <is>
          <t>200 gr Nature BIO</t>
        </is>
      </c>
    </row>
    <row r="3" ht="35.25" customHeight="1" s="1025" thickBot="1" thickTop="1">
      <c r="A3" s="1092" t="inlineStr">
        <is>
          <t>Grelot aux noix</t>
        </is>
      </c>
      <c r="B3" s="902" t="n"/>
      <c r="C3" s="902" t="n"/>
      <c r="D3" s="902" t="n"/>
      <c r="E3" s="414" t="n"/>
      <c r="G3" s="1092" t="inlineStr">
        <is>
          <t>JESUS</t>
        </is>
      </c>
      <c r="H3" s="902" t="n"/>
      <c r="I3" s="902" t="n"/>
      <c r="J3" s="902" t="n"/>
      <c r="K3" s="414" t="n"/>
      <c r="M3" s="1088" t="inlineStr">
        <is>
          <t>Chaudins: 250 grs Salaison de Provence</t>
        </is>
      </c>
      <c r="N3" s="902" t="n"/>
      <c r="O3" s="902" t="n"/>
      <c r="P3" s="902" t="n"/>
      <c r="Q3" s="426" t="n"/>
      <c r="T3" s="1090" t="inlineStr">
        <is>
          <t xml:space="preserve">BN 200 Leclerc </t>
        </is>
      </c>
      <c r="U3" s="902" t="n"/>
      <c r="V3" s="902" t="n"/>
      <c r="W3" s="902" t="n"/>
      <c r="X3" s="430" t="n"/>
      <c r="Z3" s="10" t="n"/>
      <c r="AA3" s="9" t="n"/>
    </row>
    <row r="4" ht="16.5" customHeight="1" s="1025" thickBot="1" thickTop="1">
      <c r="A4" s="10" t="n"/>
      <c r="B4" s="9" t="n"/>
      <c r="C4" s="9" t="n"/>
      <c r="D4" s="1047" t="n"/>
      <c r="G4" s="10" t="n"/>
      <c r="H4" s="9" t="n"/>
      <c r="I4" s="9" t="n"/>
      <c r="J4" s="1047" t="n"/>
      <c r="M4" s="10" t="n"/>
      <c r="N4" s="9" t="n"/>
      <c r="O4" s="9" t="n"/>
      <c r="P4" s="1047" t="n"/>
      <c r="T4" s="10" t="n"/>
      <c r="U4" s="9" t="n"/>
      <c r="V4" s="9" t="n"/>
      <c r="W4" s="1047" t="n"/>
      <c r="Z4" s="1094" t="inlineStr">
        <is>
          <t>ASSAISONNEMENT</t>
        </is>
      </c>
      <c r="AA4" s="1091" t="inlineStr">
        <is>
          <t>Mêlée de 150 kg</t>
        </is>
      </c>
      <c r="AB4" s="1089" t="inlineStr">
        <is>
          <t>Unités</t>
        </is>
      </c>
      <c r="AC4" s="92" t="inlineStr">
        <is>
          <t>Nb Mêlées</t>
        </is>
      </c>
    </row>
    <row r="5" ht="34.5" customHeight="1" s="1025" thickBot="1">
      <c r="A5" s="1019" t="inlineStr">
        <is>
          <t>ASSAISONNEMENT</t>
        </is>
      </c>
      <c r="B5" s="1019" t="inlineStr">
        <is>
          <t>Mêlée de 150 kg</t>
        </is>
      </c>
      <c r="C5" s="1019" t="inlineStr">
        <is>
          <t>Poids cumulés</t>
        </is>
      </c>
      <c r="D5" s="1016" t="inlineStr">
        <is>
          <t>Unités</t>
        </is>
      </c>
      <c r="E5" s="388" t="inlineStr">
        <is>
          <t>Nb Mêlées</t>
        </is>
      </c>
      <c r="G5" s="1019" t="inlineStr">
        <is>
          <t>ASSAISONNEMENT</t>
        </is>
      </c>
      <c r="H5" s="1019" t="inlineStr">
        <is>
          <t>Mêlée de 150 kg</t>
        </is>
      </c>
      <c r="I5" s="1019" t="inlineStr">
        <is>
          <t>Poids cumulés</t>
        </is>
      </c>
      <c r="J5" s="1016" t="inlineStr">
        <is>
          <t>Unités</t>
        </is>
      </c>
      <c r="K5" s="388" t="inlineStr">
        <is>
          <t>Nb Mêlées</t>
        </is>
      </c>
      <c r="M5" s="1019" t="inlineStr">
        <is>
          <t>ASSAISONNEMENT</t>
        </is>
      </c>
      <c r="N5" s="1014" t="inlineStr">
        <is>
          <t>Mêlée de 150 kg</t>
        </is>
      </c>
      <c r="O5" s="1014" t="inlineStr">
        <is>
          <t>Poids cumulés</t>
        </is>
      </c>
      <c r="P5" s="1016" t="inlineStr">
        <is>
          <t>Unités</t>
        </is>
      </c>
      <c r="Q5" s="388" t="inlineStr">
        <is>
          <t>Nb Mêlées</t>
        </is>
      </c>
      <c r="T5" s="1043" t="inlineStr">
        <is>
          <t>ASSAISONNEMENT</t>
        </is>
      </c>
      <c r="U5" s="1042" t="inlineStr">
        <is>
          <t>Mêlée de 150 kg</t>
        </is>
      </c>
      <c r="V5" s="1049" t="inlineStr">
        <is>
          <t>Poids cumulés</t>
        </is>
      </c>
      <c r="W5" s="1048" t="inlineStr">
        <is>
          <t>Unités</t>
        </is>
      </c>
      <c r="X5" s="92" t="inlineStr">
        <is>
          <t>Nb Mêlées</t>
        </is>
      </c>
      <c r="Z5" s="987" t="n"/>
      <c r="AA5" s="987" t="n"/>
      <c r="AB5" s="987" t="n"/>
      <c r="AC5" s="34">
        <f>'PLANNING DE FABRICATION'!E94</f>
        <v/>
      </c>
    </row>
    <row r="6" ht="34.5" customHeight="1" s="1025" thickBot="1">
      <c r="A6" s="979" t="n"/>
      <c r="B6" s="979" t="n"/>
      <c r="C6" s="979" t="n"/>
      <c r="D6" s="979" t="n"/>
      <c r="E6" s="343">
        <f>0</f>
        <v/>
      </c>
      <c r="G6" s="979" t="n"/>
      <c r="H6" s="979" t="n"/>
      <c r="I6" s="979" t="n"/>
      <c r="J6" s="979" t="n"/>
      <c r="K6" s="343">
        <f>'PLANNING DE FABRICATION'!E36</f>
        <v/>
      </c>
      <c r="M6" s="979" t="n"/>
      <c r="N6" s="979" t="n"/>
      <c r="O6" s="979" t="n"/>
      <c r="P6" s="979" t="n"/>
      <c r="Q6" s="343">
        <f>'PLANNING DE FABRICATION'!E40</f>
        <v/>
      </c>
      <c r="T6" s="1044" t="n"/>
      <c r="U6" s="1034" t="n"/>
      <c r="V6" s="987" t="n"/>
      <c r="W6" s="1034" t="n"/>
      <c r="X6" s="34">
        <f>'PLANNING DE FABRICATION'!E62</f>
        <v/>
      </c>
      <c r="Z6" s="120" t="inlineStr">
        <is>
          <t xml:space="preserve">SEL </t>
        </is>
      </c>
      <c r="AA6" s="111" t="n">
        <v>3.9</v>
      </c>
      <c r="AB6" s="304" t="inlineStr">
        <is>
          <t>kg</t>
        </is>
      </c>
      <c r="AC6" s="72">
        <f>AA6*$AC$5</f>
        <v/>
      </c>
    </row>
    <row r="7" ht="35.25" customHeight="1" s="1025">
      <c r="A7" s="371" t="inlineStr">
        <is>
          <t>SEL NITRITE</t>
        </is>
      </c>
      <c r="B7" s="78" t="n">
        <v>2</v>
      </c>
      <c r="C7" s="78">
        <f>B7</f>
        <v/>
      </c>
      <c r="D7" s="349" t="inlineStr">
        <is>
          <t>kg</t>
        </is>
      </c>
      <c r="E7" s="79">
        <f>B7*$E$6</f>
        <v/>
      </c>
      <c r="G7" s="371" t="inlineStr">
        <is>
          <t xml:space="preserve">SEL </t>
        </is>
      </c>
      <c r="H7" s="78" t="n">
        <v>4</v>
      </c>
      <c r="I7" s="78">
        <f>H7</f>
        <v/>
      </c>
      <c r="J7" s="349" t="inlineStr">
        <is>
          <t>kg</t>
        </is>
      </c>
      <c r="K7" s="79">
        <f>H7*$K$6</f>
        <v/>
      </c>
      <c r="M7" s="371" t="inlineStr">
        <is>
          <t xml:space="preserve">SEL </t>
        </is>
      </c>
      <c r="N7" s="78" t="n">
        <v>3.9</v>
      </c>
      <c r="O7" s="78">
        <f>N7</f>
        <v/>
      </c>
      <c r="P7" s="349" t="inlineStr">
        <is>
          <t>kg</t>
        </is>
      </c>
      <c r="Q7" s="79">
        <f>N7*$Q$6</f>
        <v/>
      </c>
      <c r="T7" s="123" t="inlineStr">
        <is>
          <t>SEL NITRITE</t>
        </is>
      </c>
      <c r="U7" s="54" t="n">
        <v>1.5</v>
      </c>
      <c r="V7" s="54">
        <f>U7</f>
        <v/>
      </c>
      <c r="W7" s="64" t="inlineStr">
        <is>
          <t>kg</t>
        </is>
      </c>
      <c r="X7" s="72">
        <f>U7*$X$6</f>
        <v/>
      </c>
      <c r="Z7" s="121" t="inlineStr">
        <is>
          <t>NITRATE DE POTASSIUM</t>
        </is>
      </c>
      <c r="AA7" s="13" t="n">
        <v>0.012</v>
      </c>
      <c r="AB7" s="65" t="inlineStr">
        <is>
          <t>kg</t>
        </is>
      </c>
      <c r="AC7" s="56">
        <f>AA7*$AC$5</f>
        <v/>
      </c>
    </row>
    <row r="8" ht="35.25" customHeight="1" s="1025">
      <c r="A8" s="370" t="inlineStr">
        <is>
          <t xml:space="preserve">SEL </t>
        </is>
      </c>
      <c r="B8" s="80" t="n">
        <v>2.2</v>
      </c>
      <c r="C8" s="80">
        <f>C7+B8</f>
        <v/>
      </c>
      <c r="D8" s="1031" t="inlineStr">
        <is>
          <t>kg</t>
        </is>
      </c>
      <c r="E8" s="79">
        <f>B8*$E$6</f>
        <v/>
      </c>
      <c r="G8" s="370" t="inlineStr">
        <is>
          <t>NITRATE DE POTASSIUM</t>
        </is>
      </c>
      <c r="H8" s="80" t="n">
        <v>0.03</v>
      </c>
      <c r="I8" s="80">
        <f>I7+H8</f>
        <v/>
      </c>
      <c r="J8" s="1031" t="inlineStr">
        <is>
          <t>kg</t>
        </is>
      </c>
      <c r="K8" s="79">
        <f>H8*$K$6</f>
        <v/>
      </c>
      <c r="M8" s="370" t="inlineStr">
        <is>
          <t>NITRATE DE POTASSIUM</t>
        </is>
      </c>
      <c r="N8" s="80" t="n">
        <v>0.03</v>
      </c>
      <c r="O8" s="80">
        <f>O7+N8</f>
        <v/>
      </c>
      <c r="P8" s="1031" t="inlineStr">
        <is>
          <t>kg</t>
        </is>
      </c>
      <c r="Q8" s="79">
        <f>N8*$Q$6</f>
        <v/>
      </c>
      <c r="T8" s="122" t="inlineStr">
        <is>
          <t xml:space="preserve">SEL </t>
        </is>
      </c>
      <c r="U8" s="84" t="n">
        <v>2.4</v>
      </c>
      <c r="V8" s="84">
        <f>V7+U8</f>
        <v/>
      </c>
      <c r="W8" s="81" t="inlineStr">
        <is>
          <t>kg</t>
        </is>
      </c>
      <c r="X8" s="56">
        <f>U8*$X$6</f>
        <v/>
      </c>
      <c r="Z8" s="122" t="inlineStr">
        <is>
          <t>LACTOSE</t>
        </is>
      </c>
      <c r="AA8" s="55" t="n">
        <v>1.5</v>
      </c>
      <c r="AB8" s="81" t="inlineStr">
        <is>
          <t>kg</t>
        </is>
      </c>
      <c r="AC8" s="56">
        <f>AA8*$AC$5</f>
        <v/>
      </c>
    </row>
    <row r="9" ht="35.25" customHeight="1" s="1025">
      <c r="A9" s="371" t="inlineStr">
        <is>
          <t>NITRATE DE POTASSIUM</t>
        </is>
      </c>
      <c r="B9" s="78" t="n">
        <v>0.018</v>
      </c>
      <c r="C9" s="78">
        <f>C8+B9</f>
        <v/>
      </c>
      <c r="D9" s="349" t="inlineStr">
        <is>
          <t>kg</t>
        </is>
      </c>
      <c r="E9" s="79">
        <f>B9*$E$6</f>
        <v/>
      </c>
      <c r="G9" s="371" t="inlineStr">
        <is>
          <t>LACTOSE</t>
        </is>
      </c>
      <c r="H9" s="78" t="n">
        <v>1.5</v>
      </c>
      <c r="I9" s="78">
        <f>I8+H9</f>
        <v/>
      </c>
      <c r="J9" s="349" t="inlineStr">
        <is>
          <t>kg</t>
        </is>
      </c>
      <c r="K9" s="79">
        <f>H9*$K$6</f>
        <v/>
      </c>
      <c r="M9" s="371" t="inlineStr">
        <is>
          <t>LACTOSE</t>
        </is>
      </c>
      <c r="N9" s="78" t="n">
        <v>1.5</v>
      </c>
      <c r="O9" s="78">
        <f>O8+N9</f>
        <v/>
      </c>
      <c r="P9" s="349" t="inlineStr">
        <is>
          <t>kg</t>
        </is>
      </c>
      <c r="Q9" s="79">
        <f>N9*$Q$6</f>
        <v/>
      </c>
      <c r="T9" s="121" t="inlineStr">
        <is>
          <t>NITRATE DE POTASSIUM</t>
        </is>
      </c>
      <c r="U9" s="15" t="n">
        <v>0.018</v>
      </c>
      <c r="V9" s="15">
        <f>V8+U9</f>
        <v/>
      </c>
      <c r="W9" s="65" t="inlineStr">
        <is>
          <t>kg</t>
        </is>
      </c>
      <c r="X9" s="56">
        <f>U9*$X$6</f>
        <v/>
      </c>
      <c r="Z9" s="121" t="inlineStr">
        <is>
          <t>DEXTROSE</t>
        </is>
      </c>
      <c r="AA9" s="13" t="n">
        <v>0.45</v>
      </c>
      <c r="AB9" s="65" t="inlineStr">
        <is>
          <t>kg</t>
        </is>
      </c>
      <c r="AC9" s="56">
        <f>AA9*$AC$5</f>
        <v/>
      </c>
    </row>
    <row r="10" ht="35.25" customHeight="1" s="1025">
      <c r="A10" s="370" t="inlineStr">
        <is>
          <t>LACTOSE</t>
        </is>
      </c>
      <c r="B10" s="80" t="n">
        <v>3</v>
      </c>
      <c r="C10" s="80">
        <f>C9+B10</f>
        <v/>
      </c>
      <c r="D10" s="1031" t="inlineStr">
        <is>
          <t>kg</t>
        </is>
      </c>
      <c r="E10" s="79">
        <f>B10*$E$6</f>
        <v/>
      </c>
      <c r="G10" s="370" t="inlineStr">
        <is>
          <t>DEXTROSE</t>
        </is>
      </c>
      <c r="H10" s="80" t="n">
        <v>0.5</v>
      </c>
      <c r="I10" s="80">
        <f>I9+H10</f>
        <v/>
      </c>
      <c r="J10" s="1031" t="inlineStr">
        <is>
          <t>kg</t>
        </is>
      </c>
      <c r="K10" s="79">
        <f>H10*$K$6</f>
        <v/>
      </c>
      <c r="M10" s="370" t="inlineStr">
        <is>
          <t>DEXTROSE</t>
        </is>
      </c>
      <c r="N10" s="80" t="n">
        <v>0.45</v>
      </c>
      <c r="O10" s="80">
        <f>O9+N10</f>
        <v/>
      </c>
      <c r="P10" s="1031" t="inlineStr">
        <is>
          <t>kg</t>
        </is>
      </c>
      <c r="Q10" s="79">
        <f>N10*$Q$6</f>
        <v/>
      </c>
      <c r="T10" s="122" t="inlineStr">
        <is>
          <t>LACTOSE</t>
        </is>
      </c>
      <c r="U10" s="84" t="n">
        <v>1.5</v>
      </c>
      <c r="V10" s="84">
        <f>V9+U10</f>
        <v/>
      </c>
      <c r="W10" s="81" t="inlineStr">
        <is>
          <t>kg</t>
        </is>
      </c>
      <c r="X10" s="56">
        <f>U10*$X$6</f>
        <v/>
      </c>
      <c r="Z10" s="122" t="inlineStr">
        <is>
          <t>POIVRE BLANC MOULU</t>
        </is>
      </c>
      <c r="AA10" s="55" t="n">
        <v>0.25</v>
      </c>
      <c r="AB10" s="81" t="inlineStr">
        <is>
          <t>kg</t>
        </is>
      </c>
      <c r="AC10" s="56">
        <f>AA10*$AC$5</f>
        <v/>
      </c>
    </row>
    <row r="11" ht="35.25" customHeight="1" s="1025" thickBot="1">
      <c r="A11" s="371" t="inlineStr">
        <is>
          <t>DEXTROSE</t>
        </is>
      </c>
      <c r="B11" s="78" t="n">
        <v>0.75</v>
      </c>
      <c r="C11" s="78">
        <f>C10+B11</f>
        <v/>
      </c>
      <c r="D11" s="349" t="inlineStr">
        <is>
          <t>kg</t>
        </is>
      </c>
      <c r="E11" s="79">
        <f>B11*$E$6</f>
        <v/>
      </c>
      <c r="G11" s="371" t="inlineStr">
        <is>
          <t>POIVRE BLANC MOULU</t>
        </is>
      </c>
      <c r="H11" s="78" t="n">
        <v>0.25</v>
      </c>
      <c r="I11" s="78">
        <f>I10+H11</f>
        <v/>
      </c>
      <c r="J11" s="349" t="inlineStr">
        <is>
          <t>kg</t>
        </is>
      </c>
      <c r="K11" s="79">
        <f>H11*$K$6</f>
        <v/>
      </c>
      <c r="M11" s="371" t="inlineStr">
        <is>
          <t>POIVRE BLANC MOULU</t>
        </is>
      </c>
      <c r="N11" s="78" t="n">
        <v>0.2</v>
      </c>
      <c r="O11" s="78">
        <f>O10+N11</f>
        <v/>
      </c>
      <c r="P11" s="349" t="inlineStr">
        <is>
          <t>kg</t>
        </is>
      </c>
      <c r="Q11" s="79">
        <f>N11*$Q$6</f>
        <v/>
      </c>
      <c r="T11" s="121" t="inlineStr">
        <is>
          <t>DEXTROSE</t>
        </is>
      </c>
      <c r="U11" s="15" t="n">
        <v>0.45</v>
      </c>
      <c r="V11" s="15">
        <f>V10+U11</f>
        <v/>
      </c>
      <c r="W11" s="65" t="inlineStr">
        <is>
          <t>kg</t>
        </is>
      </c>
      <c r="X11" s="56">
        <f>U11*$X$6</f>
        <v/>
      </c>
      <c r="Z11" s="126" t="inlineStr">
        <is>
          <t>AIL SEMOULE</t>
        </is>
      </c>
      <c r="AA11" s="75" t="n">
        <v>0.08</v>
      </c>
      <c r="AB11" s="71" t="inlineStr">
        <is>
          <t>kg</t>
        </is>
      </c>
      <c r="AC11" s="58">
        <f>AA11*$AC$5</f>
        <v/>
      </c>
    </row>
    <row r="12" ht="35.25" customHeight="1" s="1025" thickBot="1" thickTop="1">
      <c r="A12" s="370" t="inlineStr">
        <is>
          <t>POIVRE BLANC MOULU</t>
        </is>
      </c>
      <c r="B12" s="80" t="n">
        <v>0.25</v>
      </c>
      <c r="C12" s="80">
        <f>C11+B12</f>
        <v/>
      </c>
      <c r="D12" s="1031" t="inlineStr">
        <is>
          <t>kg</t>
        </is>
      </c>
      <c r="E12" s="79">
        <f>B12*$E$6</f>
        <v/>
      </c>
      <c r="G12" s="373" t="inlineStr">
        <is>
          <t>AIL SEMOULE</t>
        </is>
      </c>
      <c r="H12" s="354" t="n">
        <v>0.08</v>
      </c>
      <c r="I12" s="354">
        <f>I11+H12</f>
        <v/>
      </c>
      <c r="J12" s="355" t="inlineStr">
        <is>
          <t>kg</t>
        </is>
      </c>
      <c r="K12" s="82">
        <f>H12*$K$6</f>
        <v/>
      </c>
      <c r="M12" s="373" t="inlineStr">
        <is>
          <t>AIL SEMOULE</t>
        </is>
      </c>
      <c r="N12" s="354" t="n">
        <v>0.08</v>
      </c>
      <c r="O12" s="354">
        <f>O11+N12</f>
        <v/>
      </c>
      <c r="P12" s="355" t="inlineStr">
        <is>
          <t>kg</t>
        </is>
      </c>
      <c r="Q12" s="82">
        <f>N12*$Q$6</f>
        <v/>
      </c>
      <c r="T12" s="122" t="inlineStr">
        <is>
          <t>POIVRE BLANC MOULU</t>
        </is>
      </c>
      <c r="U12" s="84" t="n">
        <v>0.25</v>
      </c>
      <c r="V12" s="84">
        <f>V11+U12</f>
        <v/>
      </c>
      <c r="W12" s="81" t="inlineStr">
        <is>
          <t>kg</t>
        </is>
      </c>
      <c r="X12" s="56">
        <f>U12*$X$6</f>
        <v/>
      </c>
      <c r="Z12" s="435" t="inlineStr">
        <is>
          <t>FERMENT MF 55 ou  MF 244</t>
        </is>
      </c>
      <c r="AA12" s="436" t="n">
        <v>1</v>
      </c>
      <c r="AB12" s="437" t="inlineStr">
        <is>
          <t>Sachet</t>
        </is>
      </c>
      <c r="AC12" s="72">
        <f>AA12*$AC$5</f>
        <v/>
      </c>
    </row>
    <row r="13" ht="35.25" customHeight="1" s="1025" thickBot="1" thickTop="1">
      <c r="A13" s="386" t="inlineStr">
        <is>
          <t>AIL SEMOULE</t>
        </is>
      </c>
      <c r="B13" s="361" t="n">
        <v>0.08</v>
      </c>
      <c r="C13" s="361">
        <f>C12+B13</f>
        <v/>
      </c>
      <c r="D13" s="362" t="inlineStr">
        <is>
          <t>kg</t>
        </is>
      </c>
      <c r="E13" s="82">
        <f>B13*$E$6</f>
        <v/>
      </c>
      <c r="G13" s="411" t="inlineStr">
        <is>
          <t>FERMENT MF 55</t>
        </is>
      </c>
      <c r="H13" s="412" t="n">
        <v>1</v>
      </c>
      <c r="I13" s="412">
        <f>H13</f>
        <v/>
      </c>
      <c r="J13" s="51" t="inlineStr">
        <is>
          <t>Sachet</t>
        </is>
      </c>
      <c r="K13" s="38">
        <f>H13*$K$6</f>
        <v/>
      </c>
      <c r="M13" s="411" t="inlineStr">
        <is>
          <t>FERMENT MF 244</t>
        </is>
      </c>
      <c r="N13" s="412" t="n">
        <v>1</v>
      </c>
      <c r="O13" s="412">
        <f>N13</f>
        <v/>
      </c>
      <c r="P13" s="51" t="inlineStr">
        <is>
          <t>Sachet</t>
        </is>
      </c>
      <c r="Q13" s="38">
        <f>N13*$Q$6</f>
        <v/>
      </c>
      <c r="T13" s="126" t="inlineStr">
        <is>
          <t>AIL SEMOULE</t>
        </is>
      </c>
      <c r="U13" s="57" t="n">
        <v>0.08</v>
      </c>
      <c r="V13" s="311">
        <f>V12+U13</f>
        <v/>
      </c>
      <c r="W13" s="71" t="inlineStr">
        <is>
          <t>kg</t>
        </is>
      </c>
      <c r="X13" s="60">
        <f>U13*$X$6</f>
        <v/>
      </c>
      <c r="AC13" s="83" t="n"/>
    </row>
    <row r="14" ht="35.25" customHeight="1" s="1025" thickBot="1">
      <c r="A14" s="375" t="inlineStr">
        <is>
          <t>FERMENT MF 55</t>
        </is>
      </c>
      <c r="B14" s="390" t="n">
        <v>1</v>
      </c>
      <c r="C14" s="77">
        <f>B14</f>
        <v/>
      </c>
      <c r="D14" s="43" t="inlineStr">
        <is>
          <t>Sachet</t>
        </is>
      </c>
      <c r="E14" s="38">
        <f>B14*$E$6</f>
        <v/>
      </c>
      <c r="P14" s="1047" t="n"/>
      <c r="Q14" s="91" t="n"/>
      <c r="T14" s="305" t="inlineStr">
        <is>
          <t>FERMENT MF 244</t>
        </is>
      </c>
      <c r="U14" s="306" t="n">
        <v>1</v>
      </c>
      <c r="V14" s="302">
        <f>U14</f>
        <v/>
      </c>
      <c r="W14" s="313" t="inlineStr">
        <is>
          <t>Sachet</t>
        </is>
      </c>
      <c r="X14" s="62">
        <f>U14*$X$6</f>
        <v/>
      </c>
    </row>
    <row r="15" ht="35.25" customHeight="1" s="1025">
      <c r="A15" s="379" t="inlineStr">
        <is>
          <t>Ingrédient : Noix</t>
        </is>
      </c>
      <c r="B15" s="377" t="n">
        <v>4.5</v>
      </c>
      <c r="C15" s="377">
        <f>B15</f>
        <v/>
      </c>
      <c r="D15" s="392" t="inlineStr">
        <is>
          <t>kg</t>
        </is>
      </c>
      <c r="E15" s="38">
        <f>B15*$E$6</f>
        <v/>
      </c>
      <c r="J15" s="1047" t="n"/>
      <c r="K15" s="91" t="n"/>
    </row>
    <row r="16" ht="35.25" customHeight="1" s="1025">
      <c r="D16" s="1047" t="n"/>
      <c r="E16" s="91" t="n"/>
      <c r="Z16" s="1093" t="inlineStr">
        <is>
          <t>Acuire Nature BIO</t>
        </is>
      </c>
    </row>
    <row r="17" ht="22.5" customHeight="1" s="1025" thickBot="1">
      <c r="Z17" s="10" t="n"/>
      <c r="AA17" s="9" t="n"/>
    </row>
    <row r="18" ht="22.5" customHeight="1" s="1025" thickBot="1">
      <c r="Z18" s="1094" t="inlineStr">
        <is>
          <t>ASSAISONNEMENT</t>
        </is>
      </c>
      <c r="AA18" s="1091" t="inlineStr">
        <is>
          <t>Mêlée de 150 kg</t>
        </is>
      </c>
      <c r="AB18" s="1089" t="inlineStr">
        <is>
          <t>Unités</t>
        </is>
      </c>
      <c r="AC18" s="92" t="inlineStr">
        <is>
          <t>Nb Mêlées</t>
        </is>
      </c>
    </row>
    <row r="19" ht="19.5" customHeight="1" s="1025" thickBot="1">
      <c r="Z19" s="987" t="n"/>
      <c r="AA19" s="987" t="n"/>
      <c r="AB19" s="987" t="n"/>
      <c r="AC19" s="34">
        <f>'PLANNING DE FABRICATION'!E108</f>
        <v/>
      </c>
    </row>
    <row r="20" ht="21.75" customHeight="1" s="1025">
      <c r="Z20" s="120" t="inlineStr">
        <is>
          <t xml:space="preserve">SEL </t>
        </is>
      </c>
      <c r="AA20" s="111" t="n">
        <v>0.6</v>
      </c>
      <c r="AB20" s="304" t="inlineStr">
        <is>
          <t>kg</t>
        </is>
      </c>
      <c r="AC20" s="72">
        <f>AA20*$AC$19</f>
        <v/>
      </c>
    </row>
    <row r="21" ht="21.75" customHeight="1" s="1025">
      <c r="Z21" s="121" t="inlineStr">
        <is>
          <t>NITRATE DE POTASSIUM</t>
        </is>
      </c>
      <c r="AA21" s="13" t="n">
        <v>2.4</v>
      </c>
      <c r="AB21" s="65" t="inlineStr">
        <is>
          <t>kg</t>
        </is>
      </c>
      <c r="AC21" s="72">
        <f>AA21*$AC$19</f>
        <v/>
      </c>
    </row>
    <row r="22" ht="21.75" customHeight="1" s="1025">
      <c r="Z22" s="122" t="inlineStr">
        <is>
          <t>LACTOSE</t>
        </is>
      </c>
      <c r="AA22" s="55" t="n">
        <v>0.9</v>
      </c>
      <c r="AB22" s="81" t="inlineStr">
        <is>
          <t>kg</t>
        </is>
      </c>
      <c r="AC22" s="72">
        <f>AA22*$AC$19</f>
        <v/>
      </c>
    </row>
    <row r="23" ht="21.75" customHeight="1" s="1025">
      <c r="Z23" s="121" t="inlineStr">
        <is>
          <t>DEXTROSE</t>
        </is>
      </c>
      <c r="AA23" s="13" t="n">
        <v>0.45</v>
      </c>
      <c r="AB23" s="65" t="inlineStr">
        <is>
          <t>kg</t>
        </is>
      </c>
      <c r="AC23" s="72">
        <f>AA23*$AC$19</f>
        <v/>
      </c>
    </row>
    <row r="24" ht="21.75" customHeight="1" s="1025">
      <c r="Z24" s="122" t="inlineStr">
        <is>
          <t>POIVRE BLANC MOULU</t>
        </is>
      </c>
      <c r="AA24" s="55" t="n">
        <v>0.25</v>
      </c>
      <c r="AB24" s="81" t="inlineStr">
        <is>
          <t>kg</t>
        </is>
      </c>
      <c r="AC24" s="72">
        <f>AA24*$AC$19</f>
        <v/>
      </c>
    </row>
    <row r="25" ht="22.5" customHeight="1" s="1025" thickBot="1">
      <c r="Z25" s="128" t="inlineStr">
        <is>
          <t>AIL SEMOULE</t>
        </is>
      </c>
      <c r="AA25" s="59" t="n">
        <v>0.08</v>
      </c>
      <c r="AB25" s="66" t="inlineStr">
        <is>
          <t>kg</t>
        </is>
      </c>
      <c r="AC25" s="93">
        <f>AA25*$AC$19</f>
        <v/>
      </c>
    </row>
    <row r="26" ht="22.5" customHeight="1" s="1025" thickBot="1">
      <c r="Z26" s="301" t="inlineStr">
        <is>
          <t>FERMENT BC 40</t>
        </is>
      </c>
      <c r="AA26" s="302" t="n">
        <v>1</v>
      </c>
      <c r="AB26" s="423" t="inlineStr">
        <is>
          <t>Sachet</t>
        </is>
      </c>
      <c r="AC26" s="62">
        <f>AA26*$AC$19</f>
        <v/>
      </c>
    </row>
    <row r="27" ht="18.75" customHeight="1" s="1025">
      <c r="AC27" s="83" t="n"/>
    </row>
  </sheetData>
  <sheetProtection selectLockedCells="0" selectUnlockedCells="0" algorithmName="SHA-512" sheet="1" objects="1" insertRows="1" insertHyperlinks="1" autoFilter="1" scenarios="1" formatColumns="1" deleteColumns="1" insertColumns="1" pivotTables="1" deleteRows="1" formatCells="1" saltValue="GpUW6OHTusY6yq4m7NB6jw==" formatRows="1" sort="1" spinCount="100000" hashValue="V4wRo+wA5FJf09/xj0c4yIQpPKLwdy0/BzfK4NjkVYohQFOEHxuNZPpF/OTPV5LU//oLlaReAjztJ2i2CLfruQ=="/>
  <mergeCells count="28">
    <mergeCell ref="O5:O6"/>
    <mergeCell ref="W5:W6"/>
    <mergeCell ref="M3:P3"/>
    <mergeCell ref="AB4:AB5"/>
    <mergeCell ref="N5:N6"/>
    <mergeCell ref="T3:W3"/>
    <mergeCell ref="AA4:AA5"/>
    <mergeCell ref="Z18:Z19"/>
    <mergeCell ref="I5:I6"/>
    <mergeCell ref="A5:A6"/>
    <mergeCell ref="G5:G6"/>
    <mergeCell ref="U5:U6"/>
    <mergeCell ref="Z4:Z5"/>
    <mergeCell ref="Z16:AC16"/>
    <mergeCell ref="B5:B6"/>
    <mergeCell ref="D5:D6"/>
    <mergeCell ref="AA18:AA19"/>
    <mergeCell ref="P5:P6"/>
    <mergeCell ref="H5:H6"/>
    <mergeCell ref="J5:J6"/>
    <mergeCell ref="G3:J3"/>
    <mergeCell ref="A3:D3"/>
    <mergeCell ref="Z2:AC2"/>
    <mergeCell ref="C5:C6"/>
    <mergeCell ref="AB18:AB19"/>
    <mergeCell ref="T5:T6"/>
    <mergeCell ref="V5:V6"/>
    <mergeCell ref="M5:M6"/>
  </mergeCell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8">
    <outlinePr summaryBelow="1" summaryRight="1"/>
    <pageSetUpPr/>
  </sheetPr>
  <dimension ref="A1:E31"/>
  <sheetViews>
    <sheetView workbookViewId="0">
      <selection activeCell="E8" sqref="E8"/>
    </sheetView>
  </sheetViews>
  <sheetFormatPr baseColWidth="8" defaultColWidth="11.5546875" defaultRowHeight="14.4"/>
  <cols>
    <col width="19.6640625" bestFit="1" customWidth="1" style="1025" min="1" max="1"/>
    <col width="19.6640625" customWidth="1" style="1025" min="2" max="2"/>
    <col width="21" bestFit="1" customWidth="1" style="1025" min="5" max="5"/>
  </cols>
  <sheetData>
    <row r="1" ht="51.75" customHeight="1" s="1025">
      <c r="A1" s="844" t="inlineStr">
        <is>
          <t>PRODUIT</t>
        </is>
      </c>
      <c r="B1" s="844" t="inlineStr">
        <is>
          <t xml:space="preserve">Récap besoin </t>
        </is>
      </c>
      <c r="C1" s="845" t="inlineStr">
        <is>
          <t>Halrizo GP</t>
        </is>
      </c>
      <c r="D1" s="845" t="inlineStr">
        <is>
          <t>Halrizo 200g</t>
        </is>
      </c>
      <c r="E1" s="844" t="n"/>
    </row>
    <row r="2">
      <c r="A2" s="844" t="inlineStr">
        <is>
          <t>VIANDE</t>
        </is>
      </c>
    </row>
    <row r="3">
      <c r="A3" t="inlineStr">
        <is>
          <t>Cuisse de dinde</t>
        </is>
      </c>
    </row>
    <row r="4">
      <c r="A4" t="inlineStr">
        <is>
          <t>Viande rouge dinde</t>
        </is>
      </c>
    </row>
    <row r="5">
      <c r="A5" t="inlineStr">
        <is>
          <t>Minerai de boeuf</t>
        </is>
      </c>
    </row>
    <row r="6">
      <c r="A6" t="inlineStr">
        <is>
          <t>Capa de bœuf</t>
        </is>
      </c>
    </row>
    <row r="7">
      <c r="A7" t="inlineStr">
        <is>
          <t>Gros bovin</t>
        </is>
      </c>
      <c r="B7">
        <f>SUM(C7:D7)</f>
        <v/>
      </c>
      <c r="C7" t="n">
        <v>58</v>
      </c>
      <c r="D7" t="n">
        <v>60</v>
      </c>
    </row>
    <row r="8">
      <c r="A8" t="inlineStr">
        <is>
          <t>Flanchet de dinde</t>
        </is>
      </c>
      <c r="B8">
        <f>SUM(C8:D8)</f>
        <v/>
      </c>
      <c r="C8" t="n">
        <v>92</v>
      </c>
      <c r="D8" t="n">
        <v>90</v>
      </c>
    </row>
    <row r="11">
      <c r="A11" s="844" t="inlineStr">
        <is>
          <t>ASSAISONNEMENT</t>
        </is>
      </c>
      <c r="C11" s="445" t="n"/>
    </row>
    <row r="12">
      <c r="A12" t="inlineStr">
        <is>
          <t>Sel nitrité</t>
        </is>
      </c>
      <c r="B12">
        <f>SUM(C12:D12)</f>
        <v/>
      </c>
      <c r="C12" s="445" t="n">
        <v>3.75</v>
      </c>
      <c r="D12" s="445" t="n">
        <v>3.75</v>
      </c>
    </row>
    <row r="13">
      <c r="A13" t="inlineStr">
        <is>
          <t>Sel</t>
        </is>
      </c>
      <c r="B13">
        <f>SUM(C13:D13)</f>
        <v/>
      </c>
      <c r="C13" s="445" t="n">
        <v>0.75</v>
      </c>
      <c r="D13" s="445" t="n">
        <v>0.75</v>
      </c>
    </row>
    <row r="14">
      <c r="A14" t="inlineStr">
        <is>
          <t>Nitrate de potassium</t>
        </is>
      </c>
      <c r="B14">
        <f>SUM(C14:D14)</f>
        <v/>
      </c>
      <c r="C14" s="445" t="n">
        <v>0.02</v>
      </c>
      <c r="D14" s="445" t="n">
        <v>0.02</v>
      </c>
    </row>
    <row r="15">
      <c r="A15" t="inlineStr">
        <is>
          <t>Dextrose de blé</t>
        </is>
      </c>
      <c r="B15">
        <f>SUM(C15:D15)</f>
        <v/>
      </c>
      <c r="C15" s="445" t="n">
        <v>0.45</v>
      </c>
      <c r="D15" s="445" t="n">
        <v>0.45</v>
      </c>
    </row>
    <row r="16">
      <c r="A16" t="inlineStr">
        <is>
          <t>Saccharose</t>
        </is>
      </c>
      <c r="B16">
        <f>SUM(C16:D16)</f>
        <v/>
      </c>
      <c r="C16" s="445" t="n">
        <v>0.3</v>
      </c>
      <c r="D16" s="445" t="n">
        <v>0.3</v>
      </c>
    </row>
    <row r="17">
      <c r="A17" t="inlineStr">
        <is>
          <t>Lactose</t>
        </is>
      </c>
      <c r="B17">
        <f>SUM(C17:D17)</f>
        <v/>
      </c>
      <c r="C17" s="445" t="n">
        <v>3</v>
      </c>
      <c r="D17" s="445" t="n">
        <v>3</v>
      </c>
    </row>
    <row r="18">
      <c r="A18" t="inlineStr">
        <is>
          <t>Poivre blanc moulu</t>
        </is>
      </c>
      <c r="B18">
        <f>SUM(C18:D18)</f>
        <v/>
      </c>
      <c r="C18" s="445" t="n">
        <v>0.3</v>
      </c>
      <c r="D18" s="445" t="n">
        <v>0.3</v>
      </c>
    </row>
    <row r="19">
      <c r="A19" t="inlineStr">
        <is>
          <t>Ail semoulé</t>
        </is>
      </c>
      <c r="B19">
        <f>SUM(C19:D19)</f>
        <v/>
      </c>
      <c r="C19" s="445" t="n">
        <v>0.08</v>
      </c>
      <c r="D19" s="445" t="n">
        <v>0.08</v>
      </c>
    </row>
    <row r="20">
      <c r="A20" t="inlineStr">
        <is>
          <t>Phosphate</t>
        </is>
      </c>
      <c r="B20">
        <f>SUM(C20:D20)</f>
        <v/>
      </c>
      <c r="C20" s="445" t="n">
        <v>0.75</v>
      </c>
      <c r="D20" s="445" t="n">
        <v>0.75</v>
      </c>
    </row>
    <row r="21">
      <c r="A21" t="inlineStr">
        <is>
          <t>Piment fort</t>
        </is>
      </c>
      <c r="B21">
        <f>SUM(C21:D21)</f>
        <v/>
      </c>
      <c r="C21" s="445" t="n">
        <v>0.75</v>
      </c>
      <c r="D21" s="445" t="n">
        <v>0.75</v>
      </c>
    </row>
    <row r="22">
      <c r="A22" t="inlineStr">
        <is>
          <t>Piment doux</t>
        </is>
      </c>
      <c r="B22">
        <f>SUM(C22:D22)</f>
        <v/>
      </c>
      <c r="C22" s="445" t="n">
        <v>6</v>
      </c>
      <c r="D22" s="445" t="n">
        <v>6</v>
      </c>
    </row>
    <row r="23">
      <c r="A23" t="inlineStr">
        <is>
          <t>Piment doux fumé</t>
        </is>
      </c>
      <c r="B23">
        <f>SUM(C23:D23)</f>
        <v/>
      </c>
      <c r="C23" s="445" t="n">
        <v>0.2</v>
      </c>
      <c r="D23" s="445" t="n">
        <v>0.2</v>
      </c>
    </row>
    <row r="24">
      <c r="A24" t="inlineStr">
        <is>
          <t>Cumin</t>
        </is>
      </c>
      <c r="B24">
        <f>SUM(C24:D24)</f>
        <v/>
      </c>
      <c r="C24" s="445" t="n">
        <v>0.2</v>
      </c>
      <c r="D24" s="445" t="n">
        <v>0.2</v>
      </c>
    </row>
    <row r="25">
      <c r="A25" t="inlineStr">
        <is>
          <t>Origan</t>
        </is>
      </c>
      <c r="B25">
        <f>SUM(C25:D25)</f>
        <v/>
      </c>
      <c r="C25" s="445" t="n">
        <v>0.2</v>
      </c>
      <c r="D25" s="445" t="n">
        <v>0.15</v>
      </c>
    </row>
    <row r="26">
      <c r="A26" t="inlineStr">
        <is>
          <t>Arôme de Paprika</t>
        </is>
      </c>
      <c r="B26">
        <f>SUM(C26:D26)</f>
        <v/>
      </c>
      <c r="C26" s="445" t="n">
        <v>0.15</v>
      </c>
      <c r="D26" s="445" t="n">
        <v>0.075</v>
      </c>
    </row>
    <row r="27">
      <c r="C27" s="445" t="n"/>
    </row>
    <row r="28">
      <c r="A28" s="844" t="inlineStr">
        <is>
          <t>FERMENTS</t>
        </is>
      </c>
      <c r="C28" s="445" t="n"/>
    </row>
    <row r="29">
      <c r="A29" t="inlineStr">
        <is>
          <t>Ferments 42R</t>
        </is>
      </c>
      <c r="B29">
        <f>SUM(C29:D29)</f>
        <v/>
      </c>
      <c r="C29" s="461" t="n">
        <v>2</v>
      </c>
    </row>
    <row r="30">
      <c r="C30" s="445" t="n"/>
    </row>
    <row r="31">
      <c r="A31" s="844" t="inlineStr">
        <is>
          <t>INGRÉDIENTS</t>
        </is>
      </c>
      <c r="B31" s="844" t="n"/>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marjolaine</dc:creator>
  <dcterms:created xmlns:dcterms="http://purl.org/dc/terms/" xmlns:xsi="http://www.w3.org/2001/XMLSchema-instance" xsi:type="dcterms:W3CDTF">2019-09-26T08:58:14Z</dcterms:created>
  <dcterms:modified xmlns:dcterms="http://purl.org/dc/terms/" xmlns:xsi="http://www.w3.org/2001/XMLSchema-instance" xsi:type="dcterms:W3CDTF">2023-10-02T09:32:46Z</dcterms:modified>
  <cp:lastModifiedBy>JIN HYEONG KIM</cp:lastModifiedBy>
  <cp:lastPrinted>2023-07-12T10:17:53Z</cp:lastPrinted>
</cp:coreProperties>
</file>