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lawl\Desktop\Salaison fiches\"/>
    </mc:Choice>
  </mc:AlternateContent>
  <xr:revisionPtr revIDLastSave="0" documentId="13_ncr:1_{BAB6F74C-7873-4314-9DAD-1A5B4C89057A}" xr6:coauthVersionLast="47" xr6:coauthVersionMax="47" xr10:uidLastSave="{00000000-0000-0000-0000-000000000000}"/>
  <bookViews>
    <workbookView xWindow="-108" yWindow="-108" windowWidth="23256" windowHeight="12456" activeTab="2" xr2:uid="{622B730D-3601-4D62-8DF2-D1794971BA59}"/>
  </bookViews>
  <sheets>
    <sheet name="PROCEDURE MAJ STOCK" sheetId="8" r:id="rId1"/>
    <sheet name="HALAL" sheetId="1" r:id="rId2"/>
    <sheet name="H.G + S.A.G + FILET MIGNON" sheetId="2" r:id="rId3"/>
    <sheet name="BN 200" sheetId="3" r:id="rId4"/>
    <sheet name="H.M" sheetId="5" r:id="rId5"/>
    <sheet name="SPECIALITES" sheetId="4" r:id="rId6"/>
    <sheet name="NEGOCE (Jambon + Terrine)" sheetId="7" r:id="rId7"/>
    <sheet name="A CUIRE" sheetId="6" r:id="rId8"/>
  </sheets>
  <externalReferences>
    <externalReference r:id="rId9"/>
  </externalReferences>
  <definedNames>
    <definedName name="_xlnm.Print_Area" localSheetId="7">'A CUIRE'!$A$1:$M$72</definedName>
    <definedName name="_xlnm.Print_Area" localSheetId="3">'BN 200'!$A$1:$M$105</definedName>
    <definedName name="_xlnm.Print_Area" localSheetId="2">'H.G + S.A.G + FILET MIGNON'!$A$1:$M$134</definedName>
    <definedName name="_xlnm.Print_Area" localSheetId="4">H.M!$A$1:$M$80</definedName>
    <definedName name="_xlnm.Print_Area" localSheetId="1">HALAL!$A$1:$M$136</definedName>
    <definedName name="_xlnm.Print_Area" localSheetId="6">'NEGOCE (Jambon + Terrine)'!$A:$K</definedName>
    <definedName name="_xlnm.Print_Area" localSheetId="5">SPECIALITES!$A$1:$M$285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2" l="1"/>
  <c r="M117" i="1"/>
  <c r="R88" i="3"/>
  <c r="R87" i="3"/>
  <c r="R86" i="3"/>
  <c r="R85" i="3"/>
  <c r="R84" i="3"/>
  <c r="G70" i="5"/>
  <c r="G69" i="5"/>
  <c r="G55" i="3"/>
  <c r="N98" i="3"/>
  <c r="G265" i="4"/>
  <c r="M267" i="4"/>
  <c r="G266" i="4"/>
  <c r="G263" i="4"/>
  <c r="G262" i="4"/>
  <c r="M234" i="4"/>
  <c r="G228" i="4"/>
  <c r="G229" i="4"/>
  <c r="G227" i="4"/>
  <c r="M211" i="4"/>
  <c r="G203" i="4"/>
  <c r="G204" i="4"/>
  <c r="G202" i="4"/>
  <c r="G191" i="4"/>
  <c r="M199" i="4"/>
  <c r="J192" i="4"/>
  <c r="H192" i="4"/>
  <c r="G192" i="4"/>
  <c r="M176" i="4"/>
  <c r="G173" i="4"/>
  <c r="M162" i="4"/>
  <c r="G157" i="4"/>
  <c r="M154" i="4"/>
  <c r="G149" i="4"/>
  <c r="G148" i="4"/>
  <c r="M145" i="4"/>
  <c r="G139" i="4"/>
  <c r="M136" i="4"/>
  <c r="J132" i="4"/>
  <c r="H132" i="4"/>
  <c r="G132" i="4"/>
  <c r="G131" i="4"/>
  <c r="M128" i="4"/>
  <c r="J124" i="4"/>
  <c r="G124" i="4" s="1"/>
  <c r="H124" i="4" s="1"/>
  <c r="G122" i="4"/>
  <c r="M119" i="4"/>
  <c r="G113" i="4"/>
  <c r="J115" i="4"/>
  <c r="H115" i="4"/>
  <c r="G115" i="4"/>
  <c r="G105" i="4"/>
  <c r="M110" i="4"/>
  <c r="G103" i="4"/>
  <c r="G92" i="4"/>
  <c r="M100" i="4"/>
  <c r="G88" i="4"/>
  <c r="G89" i="4"/>
  <c r="G87" i="4"/>
  <c r="J94" i="4"/>
  <c r="H94" i="4"/>
  <c r="H95" i="4"/>
  <c r="G94" i="4"/>
  <c r="G77" i="4"/>
  <c r="M84" i="4"/>
  <c r="G75" i="4"/>
  <c r="G74" i="4"/>
  <c r="G63" i="4"/>
  <c r="M71" i="4"/>
  <c r="G60" i="4"/>
  <c r="G58" i="4"/>
  <c r="M55" i="4"/>
  <c r="J49" i="4"/>
  <c r="G49" i="4"/>
  <c r="H49" i="4" s="1"/>
  <c r="G48" i="4"/>
  <c r="G47" i="4"/>
  <c r="G36" i="4"/>
  <c r="L44" i="4"/>
  <c r="G34" i="4"/>
  <c r="G33" i="4"/>
  <c r="G24" i="4"/>
  <c r="M30" i="4"/>
  <c r="G21" i="4"/>
  <c r="G22" i="4"/>
  <c r="G20" i="4"/>
  <c r="M17" i="4"/>
  <c r="G5" i="4"/>
  <c r="G6" i="4"/>
  <c r="G4" i="4"/>
  <c r="K28" i="6"/>
  <c r="G18" i="6"/>
  <c r="G110" i="2"/>
  <c r="M119" i="2"/>
  <c r="G106" i="2"/>
  <c r="G105" i="2"/>
  <c r="G50" i="2"/>
  <c r="M62" i="2"/>
  <c r="G45" i="2"/>
  <c r="G27" i="2"/>
  <c r="M42" i="2"/>
  <c r="J29" i="2"/>
  <c r="H29" i="2"/>
  <c r="G29" i="2"/>
  <c r="G24" i="2"/>
  <c r="G23" i="2"/>
  <c r="G22" i="2"/>
  <c r="G5" i="2"/>
  <c r="M11" i="2"/>
  <c r="J8" i="2"/>
  <c r="G8" i="2" s="1"/>
  <c r="H8" i="2" s="1"/>
  <c r="G4" i="2"/>
  <c r="G57" i="3"/>
  <c r="G56" i="3"/>
  <c r="G39" i="3"/>
  <c r="G25" i="3"/>
  <c r="G8" i="3"/>
  <c r="H62" i="3"/>
  <c r="H63" i="3"/>
  <c r="H64" i="3"/>
  <c r="G62" i="3"/>
  <c r="G63" i="3"/>
  <c r="G64" i="3"/>
  <c r="G7" i="3"/>
  <c r="H9" i="3"/>
  <c r="H10" i="3"/>
  <c r="H11" i="3"/>
  <c r="H12" i="3"/>
  <c r="G13" i="3"/>
  <c r="H13" i="3"/>
  <c r="H14" i="3"/>
  <c r="H15" i="3"/>
  <c r="H16" i="3"/>
  <c r="H17" i="3"/>
  <c r="H18" i="3"/>
  <c r="H19" i="3"/>
  <c r="H20" i="3"/>
  <c r="H21" i="3"/>
  <c r="H22" i="3"/>
  <c r="H23" i="3"/>
  <c r="H24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K40" i="3"/>
  <c r="J40" i="3" s="1"/>
  <c r="G40" i="3" s="1"/>
  <c r="H40" i="3" s="1"/>
  <c r="K41" i="3"/>
  <c r="J41" i="3" s="1"/>
  <c r="G41" i="3" s="1"/>
  <c r="H41" i="3" s="1"/>
  <c r="J42" i="3"/>
  <c r="G42" i="3" s="1"/>
  <c r="H42" i="3" s="1"/>
  <c r="K43" i="3"/>
  <c r="J43" i="3" s="1"/>
  <c r="G43" i="3" s="1"/>
  <c r="H43" i="3" s="1"/>
  <c r="J44" i="3"/>
  <c r="G44" i="3" s="1"/>
  <c r="H44" i="3" s="1"/>
  <c r="J45" i="3"/>
  <c r="G45" i="3" s="1"/>
  <c r="H45" i="3" s="1"/>
  <c r="J46" i="3"/>
  <c r="G46" i="3" s="1"/>
  <c r="H46" i="3" s="1"/>
  <c r="J47" i="3"/>
  <c r="G47" i="3" s="1"/>
  <c r="H47" i="3" s="1"/>
  <c r="K48" i="3"/>
  <c r="J48" i="3" s="1"/>
  <c r="G48" i="3" s="1"/>
  <c r="H48" i="3" s="1"/>
  <c r="K49" i="3"/>
  <c r="J49" i="3" s="1"/>
  <c r="G49" i="3" s="1"/>
  <c r="H49" i="3" s="1"/>
  <c r="J50" i="3"/>
  <c r="G50" i="3" s="1"/>
  <c r="H50" i="3" s="1"/>
  <c r="J51" i="3"/>
  <c r="G51" i="3" s="1"/>
  <c r="H51" i="3" s="1"/>
  <c r="J52" i="3"/>
  <c r="G52" i="3" s="1"/>
  <c r="H52" i="3" s="1"/>
  <c r="J53" i="3"/>
  <c r="G53" i="3" s="1"/>
  <c r="H53" i="3" s="1"/>
  <c r="J54" i="3"/>
  <c r="G54" i="3" s="1"/>
  <c r="H54" i="3" s="1"/>
  <c r="K55" i="3"/>
  <c r="J55" i="3" s="1"/>
  <c r="K56" i="3"/>
  <c r="J56" i="3" s="1"/>
  <c r="J57" i="3"/>
  <c r="J58" i="3"/>
  <c r="G58" i="3" s="1"/>
  <c r="H58" i="3" s="1"/>
  <c r="J59" i="3"/>
  <c r="G59" i="3" s="1"/>
  <c r="H59" i="3" s="1"/>
  <c r="J60" i="3"/>
  <c r="G60" i="3" s="1"/>
  <c r="H60" i="3" s="1"/>
  <c r="J61" i="3"/>
  <c r="G61" i="3" s="1"/>
  <c r="H61" i="3" s="1"/>
  <c r="G71" i="5" l="1"/>
  <c r="G48" i="5"/>
  <c r="G47" i="5"/>
  <c r="N60" i="5"/>
  <c r="G39" i="5"/>
  <c r="G42" i="5"/>
  <c r="G43" i="5"/>
  <c r="G44" i="5"/>
  <c r="G45" i="5"/>
  <c r="G46" i="5"/>
  <c r="G38" i="5"/>
  <c r="G37" i="5"/>
  <c r="N34" i="5"/>
  <c r="G27" i="5"/>
  <c r="N8" i="5"/>
  <c r="G4" i="5"/>
  <c r="G89" i="1"/>
  <c r="G88" i="1"/>
  <c r="G95" i="1"/>
  <c r="J95" i="1"/>
  <c r="G91" i="1"/>
  <c r="J60" i="1"/>
  <c r="G60" i="1" s="1"/>
  <c r="H60" i="1" s="1"/>
  <c r="J61" i="1"/>
  <c r="G61" i="1" s="1"/>
  <c r="H61" i="1" s="1"/>
  <c r="M85" i="1"/>
  <c r="G54" i="1"/>
  <c r="J36" i="1"/>
  <c r="G36" i="1" s="1"/>
  <c r="H36" i="1" s="1"/>
  <c r="J9" i="1"/>
  <c r="G9" i="1"/>
  <c r="H9" i="1" s="1"/>
  <c r="G31" i="1"/>
  <c r="G4" i="1"/>
  <c r="R151" i="4"/>
  <c r="K48" i="5"/>
  <c r="K47" i="5"/>
  <c r="Y126" i="1" l="1"/>
  <c r="AK125" i="2" l="1"/>
  <c r="G64" i="6"/>
  <c r="G44" i="6"/>
  <c r="G43" i="6"/>
  <c r="J22" i="6"/>
  <c r="G22" i="6" s="1"/>
  <c r="H22" i="6" s="1"/>
  <c r="J21" i="6"/>
  <c r="G21" i="6" s="1"/>
  <c r="H21" i="6" s="1"/>
  <c r="J20" i="6"/>
  <c r="G20" i="6" s="1"/>
  <c r="H20" i="6" s="1"/>
  <c r="J19" i="6"/>
  <c r="G19" i="6"/>
  <c r="H19" i="6" s="1"/>
  <c r="J18" i="6"/>
  <c r="H6" i="7"/>
  <c r="H5" i="7"/>
  <c r="H4" i="7"/>
  <c r="G3" i="7"/>
  <c r="H3" i="7" s="1"/>
  <c r="J195" i="4"/>
  <c r="G195" i="4" s="1"/>
  <c r="H195" i="4" s="1"/>
  <c r="J194" i="4"/>
  <c r="G194" i="4" s="1"/>
  <c r="H194" i="4" s="1"/>
  <c r="J193" i="4"/>
  <c r="G193" i="4" s="1"/>
  <c r="H193" i="4" s="1"/>
  <c r="J191" i="4"/>
  <c r="J190" i="4"/>
  <c r="G190" i="4" s="1"/>
  <c r="H190" i="4" s="1"/>
  <c r="J189" i="4"/>
  <c r="G189" i="4" s="1"/>
  <c r="H189" i="4" s="1"/>
  <c r="J160" i="4"/>
  <c r="G160" i="4" s="1"/>
  <c r="H160" i="4" s="1"/>
  <c r="J159" i="4"/>
  <c r="G159" i="4" s="1"/>
  <c r="H159" i="4" s="1"/>
  <c r="H158" i="4"/>
  <c r="J150" i="4"/>
  <c r="G150" i="4" s="1"/>
  <c r="H150" i="4" s="1"/>
  <c r="J149" i="4"/>
  <c r="J148" i="4"/>
  <c r="J151" i="4"/>
  <c r="J142" i="4"/>
  <c r="G142" i="4" s="1"/>
  <c r="H142" i="4"/>
  <c r="J141" i="4"/>
  <c r="G141" i="4" s="1"/>
  <c r="H141" i="4" s="1"/>
  <c r="J140" i="4"/>
  <c r="G140" i="4" s="1"/>
  <c r="H140" i="4" s="1"/>
  <c r="J106" i="4"/>
  <c r="G106" i="4" s="1"/>
  <c r="H106" i="4" s="1"/>
  <c r="J105" i="4"/>
  <c r="J93" i="4"/>
  <c r="G93" i="4" s="1"/>
  <c r="H93" i="4" s="1"/>
  <c r="J92" i="4"/>
  <c r="J91" i="4"/>
  <c r="G91" i="4" s="1"/>
  <c r="H91" i="4" s="1"/>
  <c r="J90" i="4"/>
  <c r="G90" i="4" s="1"/>
  <c r="H90" i="4" s="1"/>
  <c r="J80" i="4"/>
  <c r="G80" i="4" s="1"/>
  <c r="H80" i="4" s="1"/>
  <c r="J79" i="4"/>
  <c r="G79" i="4" s="1"/>
  <c r="H79" i="4" s="1"/>
  <c r="J78" i="4"/>
  <c r="G78" i="4" s="1"/>
  <c r="H78" i="4" s="1"/>
  <c r="J77" i="4"/>
  <c r="J76" i="4"/>
  <c r="G76" i="4" s="1"/>
  <c r="H76" i="4" s="1"/>
  <c r="J65" i="4"/>
  <c r="G65" i="4" s="1"/>
  <c r="H65" i="4" s="1"/>
  <c r="J64" i="4"/>
  <c r="G64" i="4" s="1"/>
  <c r="H64" i="4" s="1"/>
  <c r="J63" i="4"/>
  <c r="J62" i="4"/>
  <c r="G62" i="4" s="1"/>
  <c r="H62" i="4" s="1"/>
  <c r="H61" i="4"/>
  <c r="H59" i="4"/>
  <c r="J38" i="4"/>
  <c r="G38" i="4" s="1"/>
  <c r="H38" i="4" s="1"/>
  <c r="J37" i="4"/>
  <c r="G37" i="4" s="1"/>
  <c r="H37" i="4" s="1"/>
  <c r="J36" i="4"/>
  <c r="J35" i="4"/>
  <c r="G35" i="4" s="1"/>
  <c r="H35" i="4" s="1"/>
  <c r="J27" i="4"/>
  <c r="G27" i="4" s="1"/>
  <c r="H27" i="4" s="1"/>
  <c r="J26" i="4"/>
  <c r="G26" i="4" s="1"/>
  <c r="H26" i="4" s="1"/>
  <c r="J25" i="4"/>
  <c r="G25" i="4" s="1"/>
  <c r="H25" i="4" s="1"/>
  <c r="J24" i="4"/>
  <c r="J23" i="4"/>
  <c r="G23" i="4"/>
  <c r="H23" i="4" s="1"/>
  <c r="J12" i="4"/>
  <c r="G12" i="4" s="1"/>
  <c r="H12" i="4" s="1"/>
  <c r="J11" i="4"/>
  <c r="G11" i="4" s="1"/>
  <c r="H11" i="4" s="1"/>
  <c r="J10" i="4"/>
  <c r="G10" i="4" s="1"/>
  <c r="H10" i="4" s="1"/>
  <c r="J9" i="4"/>
  <c r="G9" i="4" s="1"/>
  <c r="H9" i="4" s="1"/>
  <c r="H8" i="4"/>
  <c r="H7" i="4"/>
  <c r="J72" i="5"/>
  <c r="G72" i="5" s="1"/>
  <c r="H72" i="5" s="1"/>
  <c r="J71" i="5"/>
  <c r="J70" i="5"/>
  <c r="J69" i="5"/>
  <c r="J68" i="5"/>
  <c r="G68" i="5" s="1"/>
  <c r="H68" i="5" s="1"/>
  <c r="J67" i="5"/>
  <c r="G67" i="5" s="1"/>
  <c r="H67" i="5" s="1"/>
  <c r="H66" i="5"/>
  <c r="H65" i="5"/>
  <c r="H64" i="5"/>
  <c r="G63" i="5"/>
  <c r="H63" i="5" s="1"/>
  <c r="J89" i="3"/>
  <c r="G89" i="3" s="1"/>
  <c r="H89" i="3" s="1"/>
  <c r="J88" i="3"/>
  <c r="G88" i="3" s="1"/>
  <c r="H88" i="3" s="1"/>
  <c r="J87" i="3"/>
  <c r="G87" i="3" s="1"/>
  <c r="H87" i="3" s="1"/>
  <c r="J86" i="3"/>
  <c r="G86" i="3" s="1"/>
  <c r="H86" i="3" s="1"/>
  <c r="J85" i="3"/>
  <c r="G85" i="3" s="1"/>
  <c r="H85" i="3" s="1"/>
  <c r="J84" i="3"/>
  <c r="G84" i="3" s="1"/>
  <c r="H84" i="3" s="1"/>
  <c r="J83" i="3"/>
  <c r="G83" i="3" s="1"/>
  <c r="H83" i="3" s="1"/>
  <c r="J82" i="3"/>
  <c r="G82" i="3" s="1"/>
  <c r="H82" i="3" s="1"/>
  <c r="J81" i="3"/>
  <c r="G81" i="3" s="1"/>
  <c r="H81" i="3" s="1"/>
  <c r="J80" i="3"/>
  <c r="G80" i="3" s="1"/>
  <c r="H80" i="3" s="1"/>
  <c r="J79" i="3"/>
  <c r="G79" i="3" s="1"/>
  <c r="H79" i="3" s="1"/>
  <c r="J78" i="3"/>
  <c r="G78" i="3" s="1"/>
  <c r="H78" i="3" s="1"/>
  <c r="J77" i="3"/>
  <c r="G77" i="3" s="1"/>
  <c r="H77" i="3" s="1"/>
  <c r="J76" i="3"/>
  <c r="G76" i="3" s="1"/>
  <c r="H76" i="3" s="1"/>
  <c r="J75" i="3"/>
  <c r="G75" i="3" s="1"/>
  <c r="H75" i="3" s="1"/>
  <c r="J74" i="3"/>
  <c r="G74" i="3" s="1"/>
  <c r="H74" i="3" s="1"/>
  <c r="J73" i="3"/>
  <c r="G73" i="3" s="1"/>
  <c r="H73" i="3" s="1"/>
  <c r="J72" i="3"/>
  <c r="G72" i="3" s="1"/>
  <c r="H72" i="3" s="1"/>
  <c r="J71" i="3"/>
  <c r="G71" i="3" s="1"/>
  <c r="H71" i="3" s="1"/>
  <c r="J70" i="3"/>
  <c r="G70" i="3" s="1"/>
  <c r="H70" i="3" s="1"/>
  <c r="J69" i="3"/>
  <c r="G69" i="3" s="1"/>
  <c r="H69" i="3" s="1"/>
  <c r="J68" i="3"/>
  <c r="G68" i="3" s="1"/>
  <c r="H68" i="3" s="1"/>
  <c r="J67" i="3"/>
  <c r="G67" i="3" s="1"/>
  <c r="H67" i="3" s="1"/>
  <c r="J66" i="3"/>
  <c r="G66" i="3" s="1"/>
  <c r="H66" i="3" s="1"/>
  <c r="J65" i="3"/>
  <c r="G65" i="3" s="1"/>
  <c r="H65" i="3" s="1"/>
  <c r="H6" i="3"/>
  <c r="H5" i="3"/>
  <c r="J74" i="5"/>
  <c r="G74" i="5"/>
  <c r="H74" i="5" s="1"/>
  <c r="J73" i="5"/>
  <c r="G73" i="5" s="1"/>
  <c r="H73" i="5" s="1"/>
  <c r="J49" i="5"/>
  <c r="G49" i="5" s="1"/>
  <c r="H49" i="5" s="1"/>
  <c r="J48" i="5"/>
  <c r="J47" i="5"/>
  <c r="K46" i="5"/>
  <c r="J46" i="5" s="1"/>
  <c r="J45" i="5"/>
  <c r="J44" i="5"/>
  <c r="K43" i="5"/>
  <c r="J43" i="5" s="1"/>
  <c r="J42" i="5"/>
  <c r="J13" i="5"/>
  <c r="G13" i="5"/>
  <c r="H13" i="5" s="1"/>
  <c r="J12" i="5"/>
  <c r="G12" i="5" s="1"/>
  <c r="H12" i="5" s="1"/>
  <c r="H11" i="5"/>
  <c r="J90" i="3"/>
  <c r="G90" i="3" s="1"/>
  <c r="H90" i="3" s="1"/>
  <c r="J115" i="2"/>
  <c r="G115" i="2" s="1"/>
  <c r="H115" i="2" s="1"/>
  <c r="J114" i="2"/>
  <c r="G114" i="2" s="1"/>
  <c r="H114" i="2" s="1"/>
  <c r="J113" i="2"/>
  <c r="G113" i="2" s="1"/>
  <c r="H113" i="2" s="1"/>
  <c r="J112" i="2"/>
  <c r="G112" i="2" s="1"/>
  <c r="H112" i="2" s="1"/>
  <c r="J111" i="2"/>
  <c r="G111" i="2" s="1"/>
  <c r="H111" i="2" s="1"/>
  <c r="J110" i="2"/>
  <c r="J109" i="2"/>
  <c r="G109" i="2" s="1"/>
  <c r="H109" i="2" s="1"/>
  <c r="K108" i="2"/>
  <c r="J108" i="2" s="1"/>
  <c r="G108" i="2" s="1"/>
  <c r="H108" i="2" s="1"/>
  <c r="K107" i="2"/>
  <c r="J107" i="2" s="1"/>
  <c r="G107" i="2" s="1"/>
  <c r="H107" i="2" s="1"/>
  <c r="J33" i="2"/>
  <c r="G33" i="2" s="1"/>
  <c r="H33" i="2" s="1"/>
  <c r="J32" i="2"/>
  <c r="G32" i="2" s="1"/>
  <c r="H32" i="2" s="1"/>
  <c r="J31" i="2"/>
  <c r="G31" i="2" s="1"/>
  <c r="H31" i="2" s="1"/>
  <c r="J30" i="2"/>
  <c r="G30" i="2" s="1"/>
  <c r="H30" i="2" s="1"/>
  <c r="J28" i="2"/>
  <c r="G28" i="2" s="1"/>
  <c r="H28" i="2" s="1"/>
  <c r="J27" i="2"/>
  <c r="K26" i="2"/>
  <c r="J26" i="2" s="1"/>
  <c r="G26" i="2" s="1"/>
  <c r="H26" i="2" s="1"/>
  <c r="H25" i="2"/>
  <c r="J16" i="2"/>
  <c r="G16" i="2" s="1"/>
  <c r="H16" i="2" s="1"/>
  <c r="J15" i="2"/>
  <c r="G15" i="2" s="1"/>
  <c r="H15" i="2" s="1"/>
  <c r="G14" i="2"/>
  <c r="H14" i="2" s="1"/>
  <c r="J102" i="1"/>
  <c r="G102" i="1" s="1"/>
  <c r="H102" i="1" s="1"/>
  <c r="J101" i="1"/>
  <c r="G101" i="1" s="1"/>
  <c r="H101" i="1" s="1"/>
  <c r="J100" i="1"/>
  <c r="G100" i="1" s="1"/>
  <c r="H100" i="1" s="1"/>
  <c r="J99" i="1"/>
  <c r="G99" i="1" s="1"/>
  <c r="H99" i="1" s="1"/>
  <c r="J98" i="1"/>
  <c r="G98" i="1" s="1"/>
  <c r="H98" i="1" s="1"/>
  <c r="J97" i="1"/>
  <c r="G97" i="1" s="1"/>
  <c r="H97" i="1" s="1"/>
  <c r="J96" i="1"/>
  <c r="G96" i="1" s="1"/>
  <c r="H96" i="1" s="1"/>
  <c r="H94" i="1"/>
  <c r="H93" i="1"/>
  <c r="H92" i="1"/>
  <c r="H90" i="1"/>
  <c r="J67" i="1"/>
  <c r="G67" i="1" s="1"/>
  <c r="H67" i="1" s="1"/>
  <c r="J66" i="1"/>
  <c r="G66" i="1" s="1"/>
  <c r="H66" i="1" s="1"/>
  <c r="J65" i="1"/>
  <c r="G65" i="1" s="1"/>
  <c r="H65" i="1" s="1"/>
  <c r="J64" i="1"/>
  <c r="G64" i="1" s="1"/>
  <c r="H64" i="1" s="1"/>
  <c r="J63" i="1"/>
  <c r="G63" i="1" s="1"/>
  <c r="H63" i="1" s="1"/>
  <c r="J62" i="1"/>
  <c r="G62" i="1" s="1"/>
  <c r="H62" i="1" s="1"/>
  <c r="H59" i="1"/>
  <c r="H58" i="1"/>
  <c r="H57" i="1"/>
  <c r="H56" i="1"/>
  <c r="H55" i="1"/>
  <c r="J43" i="1"/>
  <c r="G43" i="1" s="1"/>
  <c r="H43" i="1" s="1"/>
  <c r="J42" i="1"/>
  <c r="G42" i="1" s="1"/>
  <c r="H42" i="1" s="1"/>
  <c r="J41" i="1"/>
  <c r="G41" i="1" s="1"/>
  <c r="H41" i="1" s="1"/>
  <c r="J40" i="1"/>
  <c r="G40" i="1" s="1"/>
  <c r="H40" i="1" s="1"/>
  <c r="J39" i="1"/>
  <c r="G39" i="1" s="1"/>
  <c r="H39" i="1" s="1"/>
  <c r="J38" i="1"/>
  <c r="G38" i="1" s="1"/>
  <c r="H38" i="1" s="1"/>
  <c r="J37" i="1"/>
  <c r="G37" i="1" s="1"/>
  <c r="H37" i="1" s="1"/>
  <c r="H35" i="1"/>
  <c r="H34" i="1"/>
  <c r="H33" i="1"/>
  <c r="H32" i="1"/>
  <c r="J17" i="1"/>
  <c r="G17" i="1" s="1"/>
  <c r="H17" i="1" s="1"/>
  <c r="J16" i="1"/>
  <c r="G16" i="1" s="1"/>
  <c r="H16" i="1" s="1"/>
  <c r="J15" i="1"/>
  <c r="G15" i="1" s="1"/>
  <c r="H15" i="1" s="1"/>
  <c r="J14" i="1"/>
  <c r="G14" i="1" s="1"/>
  <c r="H14" i="1" s="1"/>
  <c r="J13" i="1"/>
  <c r="G13" i="1" s="1"/>
  <c r="H13" i="1" s="1"/>
  <c r="J12" i="1"/>
  <c r="G12" i="1" s="1"/>
  <c r="H12" i="1" s="1"/>
  <c r="J11" i="1"/>
  <c r="G11" i="1" s="1"/>
  <c r="H11" i="1" s="1"/>
  <c r="J10" i="1"/>
  <c r="G10" i="1" s="1"/>
  <c r="H10" i="1" s="1"/>
  <c r="H8" i="1"/>
  <c r="H7" i="1"/>
  <c r="H6" i="1"/>
  <c r="H5" i="1"/>
  <c r="R125" i="2" l="1"/>
  <c r="Y125" i="2"/>
  <c r="AJ125" i="2"/>
  <c r="J126" i="2"/>
  <c r="J127" i="2"/>
  <c r="J128" i="2" s="1"/>
  <c r="G128" i="2"/>
  <c r="AJ13" i="5"/>
  <c r="Y92" i="4"/>
  <c r="AC92" i="4" s="1"/>
  <c r="Y134" i="4"/>
  <c r="R126" i="2" l="1"/>
  <c r="Y128" i="2" l="1"/>
  <c r="AL125" i="2"/>
  <c r="Y127" i="2"/>
  <c r="AJ122" i="2"/>
  <c r="J49" i="2"/>
  <c r="G49" i="2" s="1"/>
  <c r="H49" i="2" s="1"/>
  <c r="H64" i="6"/>
  <c r="J66" i="6"/>
  <c r="G66" i="6" s="1"/>
  <c r="H66" i="6" s="1"/>
  <c r="J65" i="6"/>
  <c r="G65" i="6" s="1"/>
  <c r="H65" i="6" s="1"/>
  <c r="H43" i="6"/>
  <c r="J45" i="6"/>
  <c r="G45" i="6" s="1"/>
  <c r="H45" i="6" s="1"/>
  <c r="J44" i="6"/>
  <c r="H44" i="6" s="1"/>
  <c r="J24" i="6"/>
  <c r="G24" i="6" s="1"/>
  <c r="H24" i="6" s="1"/>
  <c r="J23" i="6"/>
  <c r="G23" i="6" s="1"/>
  <c r="H23" i="6" s="1"/>
  <c r="H63" i="7"/>
  <c r="H55" i="7"/>
  <c r="H54" i="7"/>
  <c r="H53" i="7"/>
  <c r="H52" i="7"/>
  <c r="H43" i="7"/>
  <c r="H46" i="7"/>
  <c r="H45" i="7"/>
  <c r="H44" i="7"/>
  <c r="H34" i="7"/>
  <c r="H33" i="7"/>
  <c r="H32" i="7"/>
  <c r="H31" i="7"/>
  <c r="H30" i="7"/>
  <c r="I24" i="7"/>
  <c r="H24" i="7" s="1"/>
  <c r="I23" i="7"/>
  <c r="H23" i="7" s="1"/>
  <c r="H22" i="7"/>
  <c r="H15" i="7"/>
  <c r="H14" i="7"/>
  <c r="H13" i="7"/>
  <c r="J264" i="4"/>
  <c r="G264" i="4" s="1"/>
  <c r="H264" i="4" s="1"/>
  <c r="J231" i="4"/>
  <c r="G231" i="4" s="1"/>
  <c r="H231" i="4" s="1"/>
  <c r="J230" i="4"/>
  <c r="G230" i="4" s="1"/>
  <c r="H230" i="4" s="1"/>
  <c r="G174" i="4"/>
  <c r="H174" i="4" s="1"/>
  <c r="J125" i="4"/>
  <c r="G125" i="4" s="1"/>
  <c r="H125" i="4" s="1"/>
  <c r="J123" i="4"/>
  <c r="G123" i="4" s="1"/>
  <c r="H123" i="4" s="1"/>
  <c r="J116" i="4"/>
  <c r="G116" i="4" s="1"/>
  <c r="H116" i="4" s="1"/>
  <c r="J114" i="4"/>
  <c r="G114" i="4" s="1"/>
  <c r="H114" i="4" s="1"/>
  <c r="J95" i="4"/>
  <c r="G95" i="4" s="1"/>
  <c r="J81" i="4"/>
  <c r="G81" i="4" s="1"/>
  <c r="H81" i="4" s="1"/>
  <c r="J13" i="4"/>
  <c r="G13" i="4" s="1"/>
  <c r="H13" i="4" s="1"/>
  <c r="J51" i="5"/>
  <c r="G51" i="5" s="1"/>
  <c r="H51" i="5" s="1"/>
  <c r="J50" i="5"/>
  <c r="G50" i="5" s="1"/>
  <c r="H50" i="5" s="1"/>
  <c r="H20" i="5"/>
  <c r="H19" i="5"/>
  <c r="H21" i="5"/>
  <c r="H132" i="1"/>
  <c r="H125" i="1"/>
  <c r="H124" i="1"/>
  <c r="J133" i="1"/>
  <c r="G133" i="1" s="1"/>
  <c r="H133" i="1" s="1"/>
  <c r="J52" i="2"/>
  <c r="G52" i="2" s="1"/>
  <c r="H52" i="2" s="1"/>
  <c r="J51" i="2"/>
  <c r="G51" i="2" s="1"/>
  <c r="H51" i="2" s="1"/>
  <c r="J50" i="2"/>
  <c r="H48" i="2"/>
  <c r="H47" i="2"/>
  <c r="H46" i="2"/>
  <c r="J206" i="4"/>
  <c r="G206" i="4" s="1"/>
  <c r="H206" i="4" s="1"/>
  <c r="J205" i="4"/>
  <c r="G205" i="4" s="1"/>
  <c r="H205" i="4" s="1"/>
  <c r="J67" i="4"/>
  <c r="G67" i="4" s="1"/>
  <c r="H67" i="4" s="1"/>
  <c r="J66" i="4"/>
  <c r="G66" i="4" s="1"/>
  <c r="H66" i="4" s="1"/>
  <c r="Y25" i="1"/>
  <c r="Y48" i="1"/>
  <c r="AC48" i="1" s="1"/>
  <c r="J5" i="5" l="1"/>
  <c r="G5" i="5" s="1"/>
  <c r="H5" i="5" s="1"/>
  <c r="AC25" i="1" l="1"/>
  <c r="N68" i="7" l="1"/>
  <c r="J47" i="6"/>
  <c r="G47" i="6" s="1"/>
  <c r="H47" i="6" s="1"/>
  <c r="J46" i="6"/>
  <c r="G46" i="6" s="1"/>
  <c r="H46" i="6" s="1"/>
  <c r="H56" i="7"/>
  <c r="H47" i="7"/>
  <c r="H7" i="7"/>
  <c r="J196" i="4"/>
  <c r="G196" i="4" s="1"/>
  <c r="H196" i="4" s="1"/>
  <c r="J68" i="4" l="1"/>
  <c r="G68" i="4" s="1"/>
  <c r="H68" i="4" s="1"/>
  <c r="J14" i="4"/>
  <c r="G14" i="4" s="1"/>
  <c r="H14" i="4" s="1"/>
  <c r="J56" i="5"/>
  <c r="G56" i="5" s="1"/>
  <c r="H56" i="5" s="1"/>
  <c r="J55" i="5"/>
  <c r="G55" i="5" s="1"/>
  <c r="H55" i="5" s="1"/>
  <c r="J54" i="5"/>
  <c r="G54" i="5" s="1"/>
  <c r="H54" i="5" s="1"/>
  <c r="J53" i="5"/>
  <c r="G53" i="5" s="1"/>
  <c r="H53" i="5" s="1"/>
  <c r="J52" i="5"/>
  <c r="G52" i="5" s="1"/>
  <c r="H52" i="5" s="1"/>
  <c r="J30" i="5"/>
  <c r="G30" i="5" s="1"/>
  <c r="H30" i="5" s="1"/>
  <c r="J29" i="5"/>
  <c r="G29" i="5" s="1"/>
  <c r="H29" i="5" s="1"/>
  <c r="J28" i="5"/>
  <c r="G28" i="5" s="1"/>
  <c r="H28" i="5" s="1"/>
  <c r="J68" i="6" l="1"/>
  <c r="G68" i="6" s="1"/>
  <c r="H68" i="6" s="1"/>
  <c r="J67" i="6"/>
  <c r="G67" i="6" s="1"/>
  <c r="H67" i="6" s="1"/>
  <c r="H65" i="7"/>
  <c r="H64" i="7"/>
  <c r="H16" i="7"/>
  <c r="J208" i="4"/>
  <c r="G208" i="4" s="1"/>
  <c r="H208" i="4" s="1"/>
  <c r="J207" i="4"/>
  <c r="G207" i="4" s="1"/>
  <c r="H207" i="4" s="1"/>
  <c r="G151" i="4"/>
  <c r="H151" i="4" s="1"/>
  <c r="J133" i="4"/>
  <c r="G133" i="4" s="1"/>
  <c r="H133" i="4" s="1"/>
  <c r="J52" i="4"/>
  <c r="G52" i="4" s="1"/>
  <c r="H52" i="4" s="1"/>
  <c r="J51" i="4"/>
  <c r="G51" i="4" s="1"/>
  <c r="H51" i="4" s="1"/>
  <c r="J50" i="4"/>
  <c r="G50" i="4" s="1"/>
  <c r="H50" i="4" s="1"/>
  <c r="J39" i="4"/>
  <c r="G39" i="4" s="1"/>
  <c r="H39" i="4" s="1"/>
  <c r="J15" i="4"/>
  <c r="G15" i="4" s="1"/>
  <c r="H15" i="4" s="1"/>
  <c r="J75" i="5"/>
  <c r="G75" i="5" s="1"/>
  <c r="H75" i="5" s="1"/>
  <c r="J57" i="2"/>
  <c r="G57" i="2" s="1"/>
  <c r="H57" i="2" s="1"/>
  <c r="J56" i="2"/>
  <c r="G56" i="2" s="1"/>
  <c r="H56" i="2" s="1"/>
  <c r="J55" i="2"/>
  <c r="G55" i="2" s="1"/>
  <c r="H55" i="2" s="1"/>
  <c r="J54" i="2"/>
  <c r="G54" i="2" s="1"/>
  <c r="H54" i="2" s="1"/>
  <c r="J53" i="2"/>
  <c r="G53" i="2" s="1"/>
  <c r="H53" i="2" s="1"/>
  <c r="J36" i="2"/>
  <c r="G36" i="2" s="1"/>
  <c r="H36" i="2" s="1"/>
  <c r="J35" i="2"/>
  <c r="G35" i="2" s="1"/>
  <c r="H35" i="2" s="1"/>
  <c r="J34" i="2"/>
  <c r="G34" i="2" s="1"/>
  <c r="H34" i="2" s="1"/>
  <c r="J19" i="1"/>
  <c r="G19" i="1" s="1"/>
  <c r="H19" i="1" s="1"/>
  <c r="J18" i="1"/>
  <c r="G18" i="1" s="1"/>
  <c r="H18" i="1" s="1"/>
  <c r="R283" i="4"/>
  <c r="R274" i="4"/>
  <c r="Y143" i="4" l="1"/>
  <c r="Y82" i="4"/>
  <c r="Y66" i="4"/>
  <c r="Y28" i="4"/>
  <c r="Y38" i="4"/>
  <c r="Y15" i="4"/>
  <c r="Y118" i="2"/>
  <c r="Y8" i="2"/>
  <c r="Y114" i="1" l="1"/>
  <c r="Y82" i="1"/>
  <c r="H36" i="7" l="1"/>
  <c r="H35" i="7"/>
  <c r="J76" i="5"/>
  <c r="G76" i="5" s="1"/>
  <c r="H76" i="5" s="1"/>
  <c r="J116" i="2"/>
  <c r="G116" i="2" s="1"/>
  <c r="H116" i="2" s="1"/>
  <c r="J7" i="2"/>
  <c r="G7" i="2" s="1"/>
  <c r="H7" i="2" s="1"/>
  <c r="R209" i="4"/>
  <c r="R15" i="5"/>
  <c r="N41" i="5"/>
  <c r="O41" i="5" s="1"/>
  <c r="Y209" i="4"/>
  <c r="Y197" i="4"/>
  <c r="Y176" i="4"/>
  <c r="Y160" i="4"/>
  <c r="Y126" i="4"/>
  <c r="Y53" i="4"/>
  <c r="Y66" i="3"/>
  <c r="Y21" i="5"/>
  <c r="Y13" i="5"/>
  <c r="Y5" i="5"/>
  <c r="Y72" i="5"/>
  <c r="Y48" i="5"/>
  <c r="Y16" i="2"/>
  <c r="AJ53" i="4" l="1"/>
  <c r="AJ197" i="4"/>
  <c r="AJ38" i="4"/>
  <c r="AJ160" i="4"/>
  <c r="AJ107" i="4"/>
  <c r="AJ143" i="4"/>
  <c r="AJ232" i="4"/>
  <c r="AJ92" i="4"/>
  <c r="AJ21" i="5"/>
  <c r="AJ29" i="5"/>
  <c r="AJ66" i="3"/>
  <c r="AJ15" i="4" l="1"/>
  <c r="AJ5" i="5"/>
  <c r="AJ176" i="4"/>
  <c r="AJ151" i="4"/>
  <c r="AJ126" i="4"/>
  <c r="AJ72" i="5"/>
  <c r="AJ265" i="4"/>
  <c r="AJ28" i="4"/>
  <c r="AJ134" i="4"/>
  <c r="AJ117" i="4"/>
  <c r="AJ66" i="4"/>
  <c r="AJ82" i="4"/>
  <c r="AJ209" i="4"/>
  <c r="AJ35" i="2"/>
  <c r="AJ8" i="2"/>
  <c r="AK25" i="1"/>
  <c r="AK48" i="1"/>
  <c r="AK82" i="1"/>
  <c r="AK114" i="1"/>
  <c r="AK133" i="1"/>
  <c r="AK126" i="1"/>
  <c r="AJ116" i="2" l="1"/>
  <c r="AJ80" i="2"/>
  <c r="AJ48" i="5"/>
  <c r="AJ58" i="2"/>
  <c r="AJ16" i="2"/>
  <c r="H144" i="4"/>
  <c r="R134" i="4"/>
  <c r="J96" i="4"/>
  <c r="G96" i="4" s="1"/>
  <c r="H96" i="4" s="1"/>
  <c r="R15" i="4"/>
  <c r="J17" i="2"/>
  <c r="G17" i="2" s="1"/>
  <c r="H17" i="2" s="1"/>
  <c r="P64" i="7"/>
  <c r="R53" i="4"/>
  <c r="R117" i="4"/>
  <c r="R70" i="6"/>
  <c r="R27" i="1"/>
  <c r="Y60" i="2"/>
  <c r="AC8" i="2"/>
  <c r="R197" i="4" l="1"/>
  <c r="R160" i="4" l="1"/>
  <c r="J25" i="6" l="1"/>
  <c r="G25" i="6" s="1"/>
  <c r="H25" i="6" s="1"/>
  <c r="J57" i="5"/>
  <c r="G57" i="5" s="1"/>
  <c r="H57" i="5" s="1"/>
  <c r="J38" i="2"/>
  <c r="G38" i="2" s="1"/>
  <c r="H38" i="2" s="1"/>
  <c r="J37" i="2"/>
  <c r="G37" i="2" s="1"/>
  <c r="H37" i="2" s="1"/>
  <c r="J107" i="1"/>
  <c r="G107" i="1" s="1"/>
  <c r="H107" i="1" s="1"/>
  <c r="J106" i="1"/>
  <c r="G106" i="1" s="1"/>
  <c r="H106" i="1" s="1"/>
  <c r="J105" i="1"/>
  <c r="G105" i="1" s="1"/>
  <c r="H105" i="1" s="1"/>
  <c r="J104" i="1"/>
  <c r="G104" i="1" s="1"/>
  <c r="H104" i="1" s="1"/>
  <c r="J103" i="1"/>
  <c r="G103" i="1" s="1"/>
  <c r="H103" i="1" s="1"/>
  <c r="J69" i="1"/>
  <c r="G69" i="1" s="1"/>
  <c r="H69" i="1" s="1"/>
  <c r="J68" i="1"/>
  <c r="G68" i="1" s="1"/>
  <c r="H68" i="1" s="1"/>
  <c r="R92" i="4" l="1"/>
  <c r="J86" i="2" l="1"/>
  <c r="G86" i="2" s="1"/>
  <c r="H86" i="2" s="1"/>
  <c r="J48" i="6"/>
  <c r="G48" i="6" s="1"/>
  <c r="H48" i="6" s="1"/>
  <c r="J270" i="4" l="1"/>
  <c r="G270" i="4" s="1"/>
  <c r="H270" i="4" s="1"/>
  <c r="F285" i="4"/>
  <c r="J284" i="4"/>
  <c r="G284" i="4" s="1"/>
  <c r="H284" i="4" s="1"/>
  <c r="J283" i="4"/>
  <c r="G283" i="4" s="1"/>
  <c r="H283" i="4" s="1"/>
  <c r="J282" i="4"/>
  <c r="G282" i="4" s="1"/>
  <c r="H282" i="4" s="1"/>
  <c r="J281" i="4"/>
  <c r="G281" i="4" s="1"/>
  <c r="H281" i="4" s="1"/>
  <c r="J280" i="4"/>
  <c r="G280" i="4" s="1"/>
  <c r="H280" i="4" s="1"/>
  <c r="F275" i="4"/>
  <c r="J274" i="4"/>
  <c r="G274" i="4" s="1"/>
  <c r="H274" i="4" s="1"/>
  <c r="J273" i="4"/>
  <c r="G273" i="4" s="1"/>
  <c r="H273" i="4" s="1"/>
  <c r="J272" i="4"/>
  <c r="G272" i="4" s="1"/>
  <c r="H272" i="4" s="1"/>
  <c r="J271" i="4"/>
  <c r="G271" i="4" s="1"/>
  <c r="H271" i="4" s="1"/>
  <c r="J58" i="2"/>
  <c r="G58" i="2" s="1"/>
  <c r="H58" i="2" s="1"/>
  <c r="J108" i="1"/>
  <c r="G108" i="1" s="1"/>
  <c r="H108" i="1" s="1"/>
  <c r="J285" i="4" l="1"/>
  <c r="J275" i="4"/>
  <c r="H285" i="4"/>
  <c r="G285" i="4"/>
  <c r="R284" i="4" s="1"/>
  <c r="H275" i="4"/>
  <c r="G275" i="4"/>
  <c r="R275" i="4" s="1"/>
  <c r="Y265" i="4"/>
  <c r="Y232" i="4"/>
  <c r="AC197" i="4"/>
  <c r="AC176" i="4"/>
  <c r="AC160" i="4"/>
  <c r="Y151" i="4"/>
  <c r="Y117" i="4"/>
  <c r="Y107" i="4"/>
  <c r="Y29" i="5"/>
  <c r="Y88" i="2"/>
  <c r="Y82" i="2"/>
  <c r="AC58" i="2"/>
  <c r="Y35" i="2"/>
  <c r="AC35" i="2" s="1"/>
  <c r="Y133" i="1"/>
  <c r="AC126" i="1"/>
  <c r="J72" i="1" l="1"/>
  <c r="G72" i="1" s="1"/>
  <c r="H72" i="1" s="1"/>
  <c r="J71" i="1"/>
  <c r="G71" i="1" s="1"/>
  <c r="H71" i="1" s="1"/>
  <c r="J70" i="1"/>
  <c r="G70" i="1" s="1"/>
  <c r="H70" i="1" s="1"/>
  <c r="J39" i="2" l="1"/>
  <c r="G39" i="2" s="1"/>
  <c r="H39" i="2" s="1"/>
  <c r="J77" i="1"/>
  <c r="G77" i="1" s="1"/>
  <c r="H77" i="1" s="1"/>
  <c r="J76" i="1"/>
  <c r="G76" i="1" s="1"/>
  <c r="H76" i="1" s="1"/>
  <c r="J75" i="1"/>
  <c r="G75" i="1" s="1"/>
  <c r="H75" i="1" s="1"/>
  <c r="J74" i="1"/>
  <c r="G74" i="1" s="1"/>
  <c r="H74" i="1" s="1"/>
  <c r="J73" i="1"/>
  <c r="G73" i="1" s="1"/>
  <c r="H73" i="1" s="1"/>
  <c r="R18" i="2" l="1"/>
  <c r="J21" i="1"/>
  <c r="G21" i="1" s="1"/>
  <c r="H21" i="1" s="1"/>
  <c r="J20" i="1"/>
  <c r="G20" i="1" s="1"/>
  <c r="H20" i="1" s="1"/>
  <c r="J107" i="4" l="1"/>
  <c r="G107" i="4" s="1"/>
  <c r="H107" i="4" s="1"/>
  <c r="J126" i="1" l="1"/>
  <c r="G126" i="1" s="1"/>
  <c r="H126" i="1" s="1"/>
  <c r="J6" i="5" l="1"/>
  <c r="H6" i="5"/>
  <c r="F267" i="4"/>
  <c r="J265" i="4"/>
  <c r="AC265" i="4"/>
  <c r="R265" i="4"/>
  <c r="J267" i="4" l="1"/>
  <c r="G267" i="4"/>
  <c r="R266" i="4" s="1"/>
  <c r="AJ263" i="4" s="1"/>
  <c r="H267" i="4"/>
  <c r="J31" i="5" l="1"/>
  <c r="G31" i="5" s="1"/>
  <c r="H31" i="5" s="1"/>
  <c r="J109" i="1"/>
  <c r="G109" i="1" s="1"/>
  <c r="H109" i="1" s="1"/>
  <c r="J79" i="1"/>
  <c r="G79" i="1" s="1"/>
  <c r="H79" i="1" s="1"/>
  <c r="J78" i="1"/>
  <c r="G78" i="1" s="1"/>
  <c r="H78" i="1" s="1"/>
  <c r="H78" i="7" l="1"/>
  <c r="F78" i="7"/>
  <c r="J80" i="1" l="1"/>
  <c r="G80" i="1" s="1"/>
  <c r="H80" i="1" s="1"/>
  <c r="I25" i="7" l="1"/>
  <c r="G54" i="6" l="1"/>
  <c r="J44" i="1"/>
  <c r="G44" i="1" s="1"/>
  <c r="H44" i="1" s="1"/>
  <c r="J91" i="3" l="1"/>
  <c r="G91" i="3" s="1"/>
  <c r="H91" i="3" s="1"/>
  <c r="Q70" i="7" l="1"/>
  <c r="J15" i="5" l="1"/>
  <c r="J14" i="5"/>
  <c r="J214" i="4" l="1"/>
  <c r="G214" i="4" s="1"/>
  <c r="J215" i="4"/>
  <c r="G215" i="4" s="1"/>
  <c r="H215" i="4" s="1"/>
  <c r="J216" i="4"/>
  <c r="G216" i="4" s="1"/>
  <c r="H216" i="4" s="1"/>
  <c r="J217" i="4"/>
  <c r="G217" i="4" s="1"/>
  <c r="H217" i="4" s="1"/>
  <c r="J218" i="4"/>
  <c r="G218" i="4" s="1"/>
  <c r="H218" i="4" s="1"/>
  <c r="J219" i="4"/>
  <c r="G219" i="4" s="1"/>
  <c r="H219" i="4" s="1"/>
  <c r="J220" i="4"/>
  <c r="G220" i="4" s="1"/>
  <c r="H220" i="4" s="1"/>
  <c r="R220" i="4"/>
  <c r="Y220" i="4"/>
  <c r="AC220" i="4" s="1"/>
  <c r="AI219" i="4" s="1"/>
  <c r="J221" i="4"/>
  <c r="G221" i="4" s="1"/>
  <c r="H221" i="4" s="1"/>
  <c r="AQ222" i="4"/>
  <c r="AR222" i="4"/>
  <c r="AS222" i="4"/>
  <c r="AT222" i="4"/>
  <c r="AU222" i="4"/>
  <c r="AV222" i="4"/>
  <c r="AW222" i="4"/>
  <c r="AX222" i="4"/>
  <c r="AY222" i="4"/>
  <c r="AZ222" i="4"/>
  <c r="F224" i="4"/>
  <c r="J82" i="1"/>
  <c r="G82" i="1" s="1"/>
  <c r="H82" i="1" s="1"/>
  <c r="J81" i="1"/>
  <c r="G81" i="1" s="1"/>
  <c r="H81" i="1" l="1"/>
  <c r="J224" i="4"/>
  <c r="H214" i="4"/>
  <c r="H224" i="4" s="1"/>
  <c r="G224" i="4"/>
  <c r="R221" i="4" s="1"/>
  <c r="Y224" i="4" s="1"/>
  <c r="J55" i="6" l="1"/>
  <c r="G55" i="6" s="1"/>
  <c r="H55" i="6" s="1"/>
  <c r="J54" i="6"/>
  <c r="H54" i="6"/>
  <c r="R49" i="6" l="1"/>
  <c r="S46" i="6"/>
  <c r="J57" i="6" l="1"/>
  <c r="G57" i="6" s="1"/>
  <c r="H57" i="6" s="1"/>
  <c r="J56" i="6"/>
  <c r="G56" i="6" s="1"/>
  <c r="H56" i="6" s="1"/>
  <c r="J165" i="4"/>
  <c r="G165" i="4" s="1"/>
  <c r="H165" i="4" s="1"/>
  <c r="R50" i="1"/>
  <c r="R59" i="6" l="1"/>
  <c r="H8" i="7" l="1"/>
  <c r="H9" i="7"/>
  <c r="I10" i="7" l="1"/>
  <c r="J111" i="1" l="1"/>
  <c r="G111" i="1" s="1"/>
  <c r="H111" i="1" s="1"/>
  <c r="J110" i="1"/>
  <c r="G110" i="1" s="1"/>
  <c r="H110" i="1" s="1"/>
  <c r="R143" i="4"/>
  <c r="J93" i="3" l="1"/>
  <c r="G93" i="3" s="1"/>
  <c r="H93" i="3" s="1"/>
  <c r="J92" i="3"/>
  <c r="G92" i="3" s="1"/>
  <c r="H92" i="3" s="1"/>
  <c r="P23" i="7" l="1"/>
  <c r="H66" i="7" l="1"/>
  <c r="J45" i="1"/>
  <c r="G45" i="1" s="1"/>
  <c r="H45" i="1" s="1"/>
  <c r="H39" i="7" l="1"/>
  <c r="H38" i="7"/>
  <c r="H37" i="7"/>
  <c r="H25" i="7"/>
  <c r="I84" i="7" l="1"/>
  <c r="G84" i="7"/>
  <c r="E84" i="7"/>
  <c r="P79" i="7"/>
  <c r="G75" i="7"/>
  <c r="E75" i="7"/>
  <c r="P72" i="7"/>
  <c r="I68" i="7"/>
  <c r="G68" i="7"/>
  <c r="E68" i="7"/>
  <c r="Q77" i="7" l="1"/>
  <c r="Q78" i="7"/>
  <c r="Q71" i="7"/>
  <c r="Q72" i="7" s="1"/>
  <c r="I85" i="7"/>
  <c r="K85" i="7" s="1"/>
  <c r="I69" i="7"/>
  <c r="Q63" i="7"/>
  <c r="Q62" i="7"/>
  <c r="Q64" i="7"/>
  <c r="R64" i="7" s="1"/>
  <c r="H84" i="7"/>
  <c r="F84" i="7"/>
  <c r="I75" i="7"/>
  <c r="I76" i="7" s="1"/>
  <c r="K76" i="7" s="1"/>
  <c r="H75" i="7"/>
  <c r="F75" i="7"/>
  <c r="H68" i="7"/>
  <c r="P65" i="7" s="1"/>
  <c r="F68" i="7"/>
  <c r="J46" i="1"/>
  <c r="G46" i="1" s="1"/>
  <c r="H46" i="1" s="1"/>
  <c r="Q79" i="7" l="1"/>
  <c r="Q80" i="7" s="1"/>
  <c r="Q65" i="7"/>
  <c r="R65" i="7" s="1"/>
  <c r="P73" i="7"/>
  <c r="P80" i="7"/>
  <c r="Q73" i="7"/>
  <c r="H48" i="7" l="1"/>
  <c r="AC66" i="3" l="1"/>
  <c r="R126" i="4" l="1"/>
  <c r="G15" i="5" l="1"/>
  <c r="H15" i="5" s="1"/>
  <c r="G14" i="5"/>
  <c r="H14" i="5" s="1"/>
  <c r="J126" i="4" l="1"/>
  <c r="G126" i="4" s="1"/>
  <c r="H126" i="4" s="1"/>
  <c r="J152" i="4" l="1"/>
  <c r="G152" i="4" s="1"/>
  <c r="H152" i="4" s="1"/>
  <c r="J82" i="4"/>
  <c r="G82" i="4" s="1"/>
  <c r="H82" i="4" s="1"/>
  <c r="R108" i="5" l="1"/>
  <c r="R102" i="5"/>
  <c r="R96" i="5"/>
  <c r="R90" i="5"/>
  <c r="R84" i="5"/>
  <c r="J197" i="4" l="1"/>
  <c r="G197" i="4" s="1"/>
  <c r="H197" i="4" s="1"/>
  <c r="J47" i="1" l="1"/>
  <c r="G47" i="1" s="1"/>
  <c r="H47" i="1" s="1"/>
  <c r="F154" i="4" l="1"/>
  <c r="J153" i="4"/>
  <c r="J154" i="4" s="1"/>
  <c r="J109" i="4"/>
  <c r="G109" i="4" s="1"/>
  <c r="H109" i="4" s="1"/>
  <c r="F110" i="4"/>
  <c r="G153" i="4" l="1"/>
  <c r="H153" i="4" l="1"/>
  <c r="G154" i="4"/>
  <c r="R10" i="2" l="1"/>
  <c r="P31" i="7" l="1"/>
  <c r="F128" i="4" l="1"/>
  <c r="J106" i="5" l="1"/>
  <c r="H106" i="5" s="1"/>
  <c r="H109" i="5" s="1"/>
  <c r="R109" i="5" s="1"/>
  <c r="J100" i="5"/>
  <c r="H100" i="5" s="1"/>
  <c r="H103" i="5" s="1"/>
  <c r="R103" i="5" s="1"/>
  <c r="J94" i="5"/>
  <c r="H94" i="5" s="1"/>
  <c r="H97" i="5" s="1"/>
  <c r="R97" i="5" s="1"/>
  <c r="J88" i="5"/>
  <c r="H88" i="5" s="1"/>
  <c r="H91" i="5" s="1"/>
  <c r="R91" i="5" s="1"/>
  <c r="J82" i="5"/>
  <c r="H82" i="5" s="1"/>
  <c r="H85" i="5" s="1"/>
  <c r="R85" i="5" s="1"/>
  <c r="G103" i="5" l="1"/>
  <c r="F103" i="5"/>
  <c r="J102" i="5"/>
  <c r="J103" i="5" s="1"/>
  <c r="G97" i="5"/>
  <c r="F97" i="5"/>
  <c r="J96" i="5"/>
  <c r="J97" i="5" s="1"/>
  <c r="G91" i="5"/>
  <c r="F91" i="5"/>
  <c r="J90" i="5"/>
  <c r="J91" i="5" s="1"/>
  <c r="G85" i="5"/>
  <c r="F85" i="5"/>
  <c r="J84" i="5"/>
  <c r="J85" i="5" s="1"/>
  <c r="AC209" i="4"/>
  <c r="AC53" i="4"/>
  <c r="AR181" i="4" l="1"/>
  <c r="AS181" i="4"/>
  <c r="AT181" i="4"/>
  <c r="AU181" i="4"/>
  <c r="AV181" i="4"/>
  <c r="AW181" i="4"/>
  <c r="AX181" i="4"/>
  <c r="AY181" i="4"/>
  <c r="AZ181" i="4"/>
  <c r="AQ181" i="4"/>
  <c r="AR154" i="4"/>
  <c r="AY154" i="4"/>
  <c r="AZ154" i="4"/>
  <c r="AQ154" i="4"/>
  <c r="AC114" i="1"/>
  <c r="J114" i="1" l="1"/>
  <c r="G114" i="1" s="1"/>
  <c r="H114" i="1" s="1"/>
  <c r="J113" i="1"/>
  <c r="G113" i="1" s="1"/>
  <c r="H113" i="1" s="1"/>
  <c r="J112" i="1"/>
  <c r="G112" i="1" s="1"/>
  <c r="H112" i="1" s="1"/>
  <c r="R107" i="4" l="1"/>
  <c r="AP64" i="3" l="1"/>
  <c r="AQ68" i="3" l="1"/>
  <c r="AP68" i="3" l="1"/>
  <c r="AO68" i="3" l="1"/>
  <c r="AN68" i="3" l="1"/>
  <c r="AQ66" i="3" l="1"/>
  <c r="AP66" i="3" l="1"/>
  <c r="AO66" i="3" l="1"/>
  <c r="AN66" i="3" l="1"/>
  <c r="AR64" i="3" l="1"/>
  <c r="AQ64" i="3" l="1"/>
  <c r="AO64" i="3" l="1"/>
  <c r="AN64" i="3" l="1"/>
  <c r="AC29" i="5" l="1"/>
  <c r="P14" i="7" l="1"/>
  <c r="AC48" i="5" l="1"/>
  <c r="J26" i="6"/>
  <c r="G26" i="6" s="1"/>
  <c r="H26" i="6" s="1"/>
  <c r="R50" i="5" l="1"/>
  <c r="R66" i="4" l="1"/>
  <c r="AC80" i="2"/>
  <c r="AC38" i="4"/>
  <c r="J32" i="6" l="1"/>
  <c r="G32" i="6" s="1"/>
  <c r="H32" i="6" s="1"/>
  <c r="J36" i="6" l="1"/>
  <c r="G36" i="6" s="1"/>
  <c r="H36" i="6" s="1"/>
  <c r="J35" i="6"/>
  <c r="G35" i="6" s="1"/>
  <c r="H35" i="6" s="1"/>
  <c r="J34" i="6"/>
  <c r="G34" i="6" s="1"/>
  <c r="H34" i="6" s="1"/>
  <c r="J33" i="6"/>
  <c r="G33" i="6" s="1"/>
  <c r="H33" i="6" s="1"/>
  <c r="J38" i="6" l="1"/>
  <c r="G38" i="6" s="1"/>
  <c r="H38" i="6" s="1"/>
  <c r="J37" i="6"/>
  <c r="G37" i="6" s="1"/>
  <c r="H37" i="6" s="1"/>
  <c r="J10" i="6"/>
  <c r="G10" i="6" s="1"/>
  <c r="H10" i="6" s="1"/>
  <c r="J9" i="6"/>
  <c r="G9" i="6" s="1"/>
  <c r="H9" i="6" s="1"/>
  <c r="J8" i="6"/>
  <c r="G8" i="6" s="1"/>
  <c r="H8" i="6" s="1"/>
  <c r="J7" i="6"/>
  <c r="G7" i="6" s="1"/>
  <c r="H7" i="6" s="1"/>
  <c r="J6" i="6"/>
  <c r="G6" i="6" s="1"/>
  <c r="H6" i="6" s="1"/>
  <c r="J5" i="6"/>
  <c r="G5" i="6" s="1"/>
  <c r="H5" i="6" s="1"/>
  <c r="J4" i="6"/>
  <c r="G4" i="6" s="1"/>
  <c r="H4" i="6" s="1"/>
  <c r="J143" i="4" l="1"/>
  <c r="G143" i="4" s="1"/>
  <c r="H143" i="4" s="1"/>
  <c r="J40" i="2" l="1"/>
  <c r="G40" i="2" s="1"/>
  <c r="H40" i="2" s="1"/>
  <c r="J117" i="4" l="1"/>
  <c r="G117" i="4" s="1"/>
  <c r="H117" i="4" s="1"/>
  <c r="J32" i="5"/>
  <c r="G32" i="5" s="1"/>
  <c r="H32" i="5" s="1"/>
  <c r="AC15" i="4" l="1"/>
  <c r="AC72" i="5"/>
  <c r="F28" i="1" l="1"/>
  <c r="J232" i="4" l="1"/>
  <c r="G232" i="4" s="1"/>
  <c r="H232" i="4" s="1"/>
  <c r="J39" i="6" l="1"/>
  <c r="G39" i="6" s="1"/>
  <c r="H39" i="6" s="1"/>
  <c r="I19" i="7" l="1"/>
  <c r="F19" i="7"/>
  <c r="E19" i="7"/>
  <c r="H18" i="7"/>
  <c r="J40" i="4" l="1"/>
  <c r="G40" i="4" s="1"/>
  <c r="H40" i="4" s="1"/>
  <c r="R37" i="2"/>
  <c r="J11" i="6" l="1"/>
  <c r="G11" i="6" s="1"/>
  <c r="H11" i="6" s="1"/>
  <c r="J134" i="4"/>
  <c r="G134" i="4" s="1"/>
  <c r="H134" i="4" s="1"/>
  <c r="AC13" i="5" l="1"/>
  <c r="J27" i="6" l="1"/>
  <c r="G27" i="6" s="1"/>
  <c r="H27" i="6" s="1"/>
  <c r="F100" i="4"/>
  <c r="J97" i="4"/>
  <c r="G97" i="4" s="1"/>
  <c r="H97" i="4" s="1"/>
  <c r="J100" i="4" l="1"/>
  <c r="H100" i="4" l="1"/>
  <c r="G100" i="4"/>
  <c r="R93" i="4" s="1"/>
  <c r="J83" i="1"/>
  <c r="G83" i="1" s="1"/>
  <c r="AJ90" i="4" l="1"/>
  <c r="Y96" i="4"/>
  <c r="H83" i="1"/>
  <c r="G85" i="1"/>
  <c r="R23" i="5"/>
  <c r="H154" i="4" l="1"/>
  <c r="R118" i="2" l="1"/>
  <c r="P4" i="7"/>
  <c r="H57" i="7" l="1"/>
  <c r="R28" i="4" l="1"/>
  <c r="J25" i="1" l="1"/>
  <c r="G25" i="1" s="1"/>
  <c r="H25" i="1" s="1"/>
  <c r="J24" i="1"/>
  <c r="G24" i="1" s="1"/>
  <c r="H24" i="1" s="1"/>
  <c r="J23" i="1"/>
  <c r="G23" i="1" s="1"/>
  <c r="H23" i="1" s="1"/>
  <c r="J22" i="1"/>
  <c r="G22" i="1" s="1"/>
  <c r="H22" i="1" s="1"/>
  <c r="G16" i="5" l="1"/>
  <c r="R38" i="4"/>
  <c r="R27" i="6"/>
  <c r="R60" i="2" l="1"/>
  <c r="F34" i="5" l="1"/>
  <c r="H17" i="7" l="1"/>
  <c r="J96" i="3" l="1"/>
  <c r="G96" i="3" s="1"/>
  <c r="H96" i="3" s="1"/>
  <c r="J95" i="3"/>
  <c r="G95" i="3" s="1"/>
  <c r="H95" i="3" s="1"/>
  <c r="J94" i="3"/>
  <c r="G94" i="3" s="1"/>
  <c r="H94" i="3" s="1"/>
  <c r="R118" i="3"/>
  <c r="R168" i="4"/>
  <c r="R74" i="5"/>
  <c r="F199" i="4" l="1"/>
  <c r="F162" i="4"/>
  <c r="J161" i="4"/>
  <c r="G161" i="4" s="1"/>
  <c r="H161" i="4" s="1"/>
  <c r="J127" i="4"/>
  <c r="G127" i="4" s="1"/>
  <c r="H127" i="4" s="1"/>
  <c r="F55" i="4"/>
  <c r="AC28" i="4"/>
  <c r="F44" i="4"/>
  <c r="F30" i="4"/>
  <c r="F17" i="4"/>
  <c r="F79" i="5"/>
  <c r="J16" i="5"/>
  <c r="F61" i="2"/>
  <c r="F42" i="2"/>
  <c r="F85" i="1"/>
  <c r="J85" i="1"/>
  <c r="Y17" i="2" l="1"/>
  <c r="AA83" i="2"/>
  <c r="F117" i="1" l="1"/>
  <c r="J117" i="1" l="1"/>
  <c r="G117" i="1"/>
  <c r="H117" i="1"/>
  <c r="H85" i="1" l="1"/>
  <c r="AC116" i="2" l="1"/>
  <c r="J69" i="4" l="1"/>
  <c r="G69" i="4" s="1"/>
  <c r="H69" i="4" s="1"/>
  <c r="R184" i="4" l="1"/>
  <c r="F185" i="4"/>
  <c r="J184" i="4"/>
  <c r="G184" i="4" s="1"/>
  <c r="H184" i="4" s="1"/>
  <c r="J183" i="4"/>
  <c r="G183" i="4" s="1"/>
  <c r="H183" i="4" s="1"/>
  <c r="J182" i="4"/>
  <c r="G182" i="4" s="1"/>
  <c r="J185" i="4" l="1"/>
  <c r="I182" i="4"/>
  <c r="H182" i="4"/>
  <c r="G185" i="4" l="1"/>
  <c r="R185" i="4" s="1"/>
  <c r="U145" i="4"/>
  <c r="U146" i="4" s="1"/>
  <c r="J41" i="4" l="1"/>
  <c r="J44" i="4" s="1"/>
  <c r="G41" i="4" l="1"/>
  <c r="J34" i="5"/>
  <c r="G34" i="5"/>
  <c r="H34" i="5" l="1"/>
  <c r="H41" i="4"/>
  <c r="H44" i="4" s="1"/>
  <c r="G44" i="4"/>
  <c r="R39" i="4" s="1"/>
  <c r="AJ36" i="4" s="1"/>
  <c r="J70" i="4"/>
  <c r="F71" i="4"/>
  <c r="G70" i="4" l="1"/>
  <c r="H70" i="4" s="1"/>
  <c r="H71" i="4" s="1"/>
  <c r="Y44" i="4"/>
  <c r="Y43" i="4"/>
  <c r="J71" i="4"/>
  <c r="G71" i="4" l="1"/>
  <c r="R68" i="4" s="1"/>
  <c r="AJ64" i="4" s="1"/>
  <c r="AH112" i="4" l="1"/>
  <c r="I49" i="7" l="1"/>
  <c r="G8" i="5" l="1"/>
  <c r="AC232" i="4" l="1"/>
  <c r="AI73" i="4"/>
  <c r="AJ57" i="4"/>
  <c r="AI33" i="4"/>
  <c r="AC82" i="1" l="1"/>
  <c r="R84" i="1" l="1"/>
  <c r="R85" i="1" s="1"/>
  <c r="AK84" i="1" s="1"/>
  <c r="R31" i="5" l="1"/>
  <c r="R7" i="5"/>
  <c r="Y85" i="1" l="1"/>
  <c r="Y84" i="1"/>
  <c r="J84" i="1"/>
  <c r="J166" i="4" l="1"/>
  <c r="G166" i="4" s="1"/>
  <c r="H166" i="4" s="1"/>
  <c r="J49" i="6" l="1"/>
  <c r="G49" i="6" s="1"/>
  <c r="H49" i="6" s="1"/>
  <c r="AC126" i="4" l="1"/>
  <c r="AC134" i="4"/>
  <c r="I40" i="7" l="1"/>
  <c r="I59" i="7"/>
  <c r="J12" i="6" l="1"/>
  <c r="G12" i="6" s="1"/>
  <c r="H12" i="6" s="1"/>
  <c r="J167" i="4"/>
  <c r="G167" i="4" s="1"/>
  <c r="H167" i="4" s="1"/>
  <c r="J40" i="6" l="1"/>
  <c r="G40" i="6" s="1"/>
  <c r="H40" i="6" s="1"/>
  <c r="H59" i="7" l="1"/>
  <c r="T36" i="2" l="1"/>
  <c r="H19" i="7" l="1"/>
  <c r="H10" i="7"/>
  <c r="J13" i="6"/>
  <c r="G13" i="6" s="1"/>
  <c r="H13" i="6" l="1"/>
  <c r="T30" i="5" l="1"/>
  <c r="T17" i="2"/>
  <c r="H27" i="7" l="1"/>
  <c r="J115" i="1" l="1"/>
  <c r="G115" i="1" s="1"/>
  <c r="H115" i="1" s="1"/>
  <c r="H49" i="7" l="1"/>
  <c r="H40" i="7" l="1"/>
  <c r="R116" i="1"/>
  <c r="R117" i="1" s="1"/>
  <c r="AK116" i="1" s="1"/>
  <c r="Y116" i="1" l="1"/>
  <c r="Y117" i="1"/>
  <c r="J77" i="5" l="1"/>
  <c r="J78" i="5"/>
  <c r="G78" i="5" s="1"/>
  <c r="H78" i="5" s="1"/>
  <c r="G77" i="5" l="1"/>
  <c r="G79" i="5" s="1"/>
  <c r="J79" i="5"/>
  <c r="J14" i="6"/>
  <c r="G14" i="6" s="1"/>
  <c r="R75" i="5" l="1"/>
  <c r="AJ70" i="5" s="1"/>
  <c r="H77" i="5"/>
  <c r="H79" i="5" s="1"/>
  <c r="H14" i="6"/>
  <c r="J48" i="1"/>
  <c r="G48" i="1" s="1"/>
  <c r="H48" i="1" l="1"/>
  <c r="R82" i="4"/>
  <c r="AC82" i="4" l="1"/>
  <c r="J41" i="6" l="1"/>
  <c r="G41" i="6" s="1"/>
  <c r="H41" i="6" s="1"/>
  <c r="J15" i="6"/>
  <c r="G15" i="6" s="1"/>
  <c r="J16" i="6"/>
  <c r="G16" i="6" s="1"/>
  <c r="H16" i="6" s="1"/>
  <c r="H15" i="6" l="1"/>
  <c r="R68" i="3" l="1"/>
  <c r="J64" i="2" l="1"/>
  <c r="G64" i="2" s="1"/>
  <c r="H64" i="2" s="1"/>
  <c r="J65" i="2"/>
  <c r="G65" i="2" s="1"/>
  <c r="H65" i="2" s="1"/>
  <c r="S41" i="6" l="1"/>
  <c r="S18" i="6" l="1"/>
  <c r="S17" i="6"/>
  <c r="R82" i="2" l="1"/>
  <c r="R67" i="2" l="1"/>
  <c r="R74" i="2" l="1"/>
  <c r="J66" i="2" l="1"/>
  <c r="G66" i="2" s="1"/>
  <c r="H66" i="2" s="1"/>
  <c r="J67" i="2" l="1"/>
  <c r="G67" i="2" s="1"/>
  <c r="H67" i="2" s="1"/>
  <c r="J118" i="4" l="1"/>
  <c r="G118" i="4" s="1"/>
  <c r="H118" i="4" s="1"/>
  <c r="J128" i="1" l="1"/>
  <c r="G128" i="1" s="1"/>
  <c r="H128" i="1" s="1"/>
  <c r="J70" i="6" l="1"/>
  <c r="G70" i="6" s="1"/>
  <c r="H70" i="6" s="1"/>
  <c r="S16" i="6" l="1"/>
  <c r="J116" i="1" l="1"/>
  <c r="G116" i="1" s="1"/>
  <c r="H116" i="1" s="1"/>
  <c r="J134" i="1" l="1"/>
  <c r="G134" i="1" s="1"/>
  <c r="H134" i="1" l="1"/>
  <c r="J97" i="3"/>
  <c r="G97" i="3" s="1"/>
  <c r="H97" i="3" l="1"/>
  <c r="G59" i="7"/>
  <c r="J60" i="2" l="1"/>
  <c r="G60" i="2" s="1"/>
  <c r="H60" i="2" s="1"/>
  <c r="J59" i="5"/>
  <c r="G59" i="5" l="1"/>
  <c r="H59" i="5" s="1"/>
  <c r="R232" i="4"/>
  <c r="J105" i="3" l="1"/>
  <c r="G105" i="3" s="1"/>
  <c r="H105" i="3" s="1"/>
  <c r="J104" i="3"/>
  <c r="G104" i="3" s="1"/>
  <c r="H104" i="3" s="1"/>
  <c r="J103" i="3"/>
  <c r="G103" i="3" s="1"/>
  <c r="H103" i="3" s="1"/>
  <c r="J102" i="3"/>
  <c r="H102" i="3"/>
  <c r="H101" i="3"/>
  <c r="J108" i="3" l="1"/>
  <c r="G108" i="3" s="1"/>
  <c r="H108" i="3" s="1"/>
  <c r="J107" i="3"/>
  <c r="G107" i="3" s="1"/>
  <c r="H107" i="3" s="1"/>
  <c r="J106" i="3"/>
  <c r="G106" i="3" s="1"/>
  <c r="H106" i="3" s="1"/>
  <c r="J18" i="2" l="1"/>
  <c r="J58" i="5" l="1"/>
  <c r="J60" i="5" s="1"/>
  <c r="G58" i="5" l="1"/>
  <c r="H58" i="5" l="1"/>
  <c r="Q52" i="7"/>
  <c r="F59" i="7"/>
  <c r="E59" i="7"/>
  <c r="P53" i="7"/>
  <c r="Q53" i="7" s="1"/>
  <c r="G49" i="7"/>
  <c r="F49" i="7"/>
  <c r="E49" i="7"/>
  <c r="P44" i="7"/>
  <c r="F40" i="7"/>
  <c r="E40" i="7"/>
  <c r="G40" i="7"/>
  <c r="Q29" i="7" s="1"/>
  <c r="F27" i="7"/>
  <c r="E27" i="7"/>
  <c r="G19" i="7"/>
  <c r="F10" i="7"/>
  <c r="E10" i="7"/>
  <c r="Q43" i="7" l="1"/>
  <c r="Q42" i="7"/>
  <c r="Q51" i="7"/>
  <c r="Q44" i="7"/>
  <c r="P45" i="7"/>
  <c r="P32" i="7"/>
  <c r="P24" i="7"/>
  <c r="P15" i="7"/>
  <c r="Q31" i="7"/>
  <c r="Q30" i="7"/>
  <c r="Q14" i="7"/>
  <c r="Q15" i="7" s="1"/>
  <c r="Q13" i="7"/>
  <c r="Q12" i="7"/>
  <c r="I27" i="7"/>
  <c r="G10" i="7"/>
  <c r="Q4" i="7" s="1"/>
  <c r="G27" i="7"/>
  <c r="Q23" i="7" s="1"/>
  <c r="Q24" i="7" l="1"/>
  <c r="Q32" i="7"/>
  <c r="Q45" i="7"/>
  <c r="Q22" i="7"/>
  <c r="Q21" i="7"/>
  <c r="Q3" i="7"/>
  <c r="Q2" i="7"/>
  <c r="J99" i="2" l="1"/>
  <c r="G99" i="2" s="1"/>
  <c r="H99" i="2" s="1"/>
  <c r="J92" i="2" l="1"/>
  <c r="G92" i="2" s="1"/>
  <c r="H92" i="2" s="1"/>
  <c r="J93" i="2"/>
  <c r="G93" i="2" s="1"/>
  <c r="H93" i="2" s="1"/>
  <c r="F19" i="2" l="1"/>
  <c r="J49" i="1" l="1"/>
  <c r="J50" i="1"/>
  <c r="G49" i="1" l="1"/>
  <c r="J51" i="1"/>
  <c r="J118" i="2"/>
  <c r="G118" i="2" s="1"/>
  <c r="H118" i="2" s="1"/>
  <c r="J117" i="2"/>
  <c r="G117" i="2" l="1"/>
  <c r="J119" i="2"/>
  <c r="H49" i="1"/>
  <c r="G18" i="2"/>
  <c r="H18" i="2" s="1"/>
  <c r="H117" i="2" l="1"/>
  <c r="H119" i="2" s="1"/>
  <c r="G119" i="2"/>
  <c r="R119" i="2" s="1"/>
  <c r="Y121" i="2" l="1"/>
  <c r="Y120" i="2"/>
  <c r="AJ118" i="2"/>
  <c r="J168" i="4"/>
  <c r="G168" i="4" s="1"/>
  <c r="G24" i="5" l="1"/>
  <c r="H168" i="4"/>
  <c r="R101" i="2" l="1"/>
  <c r="J135" i="1" l="1"/>
  <c r="G135" i="1" s="1"/>
  <c r="H135" i="1" l="1"/>
  <c r="G136" i="1"/>
  <c r="AC151" i="4" l="1"/>
  <c r="AC143" i="4"/>
  <c r="AC117" i="4"/>
  <c r="AC107" i="4"/>
  <c r="AC66" i="4"/>
  <c r="AC21" i="5"/>
  <c r="AC5" i="5"/>
  <c r="Y101" i="2"/>
  <c r="Y95" i="2"/>
  <c r="AC95" i="2" s="1"/>
  <c r="AC86" i="2"/>
  <c r="Y74" i="2"/>
  <c r="Y67" i="2"/>
  <c r="AC16" i="2"/>
  <c r="AC133" i="1"/>
  <c r="AC67" i="2" l="1"/>
  <c r="AC74" i="2"/>
  <c r="AC101" i="2"/>
  <c r="Y104" i="2"/>
  <c r="J94" i="2"/>
  <c r="G94" i="2" s="1"/>
  <c r="H94" i="2" s="1"/>
  <c r="R16" i="5" l="1"/>
  <c r="J58" i="6"/>
  <c r="G58" i="6" s="1"/>
  <c r="H58" i="6" s="1"/>
  <c r="Y15" i="5" l="1"/>
  <c r="AJ11" i="5"/>
  <c r="J100" i="2"/>
  <c r="G100" i="2" s="1"/>
  <c r="H100" i="2" s="1"/>
  <c r="F75" i="2"/>
  <c r="F211" i="4"/>
  <c r="J41" i="2" l="1"/>
  <c r="G41" i="2" l="1"/>
  <c r="G42" i="2" s="1"/>
  <c r="R38" i="2" s="1"/>
  <c r="AJ37" i="2" s="1"/>
  <c r="J42" i="2"/>
  <c r="J42" i="6"/>
  <c r="S42" i="6"/>
  <c r="S43" i="6"/>
  <c r="S44" i="6"/>
  <c r="J17" i="6"/>
  <c r="Y37" i="2" l="1"/>
  <c r="H41" i="2"/>
  <c r="H42" i="2" s="1"/>
  <c r="Y38" i="2" l="1"/>
  <c r="S66" i="6"/>
  <c r="S67" i="6"/>
  <c r="S68" i="6"/>
  <c r="S69" i="6"/>
  <c r="S65" i="6"/>
  <c r="S55" i="6"/>
  <c r="S56" i="6"/>
  <c r="S57" i="6"/>
  <c r="S58" i="6"/>
  <c r="S54" i="6"/>
  <c r="S45" i="6"/>
  <c r="S49" i="6" s="1"/>
  <c r="S19" i="6"/>
  <c r="S20" i="6"/>
  <c r="S27" i="6" l="1"/>
  <c r="S70" i="6"/>
  <c r="J209" i="4"/>
  <c r="J9" i="2"/>
  <c r="J59" i="2"/>
  <c r="G59" i="2" s="1"/>
  <c r="H59" i="2" s="1"/>
  <c r="J127" i="1"/>
  <c r="G127" i="1" s="1"/>
  <c r="H127" i="1" s="1"/>
  <c r="G61" i="2" l="1"/>
  <c r="J61" i="2"/>
  <c r="G9" i="2"/>
  <c r="H9" i="2" s="1"/>
  <c r="H119" i="4"/>
  <c r="G119" i="4"/>
  <c r="R118" i="4" s="1"/>
  <c r="AJ115" i="4" s="1"/>
  <c r="G209" i="4"/>
  <c r="S59" i="6"/>
  <c r="R135" i="1"/>
  <c r="R128" i="1"/>
  <c r="R88" i="2"/>
  <c r="R176" i="4"/>
  <c r="R61" i="2" l="1"/>
  <c r="Y225" i="4"/>
  <c r="H61" i="2"/>
  <c r="H209" i="4"/>
  <c r="J59" i="6"/>
  <c r="G59" i="6" s="1"/>
  <c r="G60" i="6" s="1"/>
  <c r="Y62" i="2" l="1"/>
  <c r="AJ60" i="2"/>
  <c r="H59" i="6"/>
  <c r="H60" i="6" s="1"/>
  <c r="R60" i="6"/>
  <c r="F83" i="2"/>
  <c r="F98" i="3" l="1"/>
  <c r="F119" i="4"/>
  <c r="J108" i="4"/>
  <c r="G108" i="4" l="1"/>
  <c r="G110" i="4" s="1"/>
  <c r="R108" i="4" s="1"/>
  <c r="J110" i="4"/>
  <c r="H19" i="2"/>
  <c r="Y110" i="4" l="1"/>
  <c r="AJ105" i="4"/>
  <c r="H108" i="4"/>
  <c r="H110" i="4" s="1"/>
  <c r="G19" i="2"/>
  <c r="R19" i="2" s="1"/>
  <c r="Y18" i="2" l="1"/>
  <c r="AJ18" i="2"/>
  <c r="J109" i="3"/>
  <c r="G109" i="3" s="1"/>
  <c r="H109" i="3" s="1"/>
  <c r="J110" i="3"/>
  <c r="G110" i="3" s="1"/>
  <c r="H110" i="3" s="1"/>
  <c r="J111" i="3"/>
  <c r="G111" i="3" s="1"/>
  <c r="H111" i="3" s="1"/>
  <c r="J112" i="3"/>
  <c r="G112" i="3" s="1"/>
  <c r="H112" i="3" s="1"/>
  <c r="J113" i="3"/>
  <c r="G113" i="3" s="1"/>
  <c r="H113" i="3" s="1"/>
  <c r="J114" i="3"/>
  <c r="G114" i="3" s="1"/>
  <c r="H114" i="3" s="1"/>
  <c r="J115" i="3"/>
  <c r="G115" i="3" s="1"/>
  <c r="H115" i="3" s="1"/>
  <c r="F116" i="3"/>
  <c r="Y19" i="2" l="1"/>
  <c r="H116" i="3"/>
  <c r="J116" i="3"/>
  <c r="G116" i="3"/>
  <c r="R119" i="3" s="1"/>
  <c r="J254" i="4" l="1"/>
  <c r="J258" i="4"/>
  <c r="J257" i="4"/>
  <c r="G257" i="4" s="1"/>
  <c r="H257" i="4" s="1"/>
  <c r="H259" i="4" s="1"/>
  <c r="J253" i="4"/>
  <c r="J250" i="4"/>
  <c r="J249" i="4"/>
  <c r="J245" i="4"/>
  <c r="J246" i="4"/>
  <c r="J242" i="4"/>
  <c r="J241" i="4"/>
  <c r="J238" i="4"/>
  <c r="J237" i="4"/>
  <c r="J233" i="4"/>
  <c r="J234" i="4" s="1"/>
  <c r="J210" i="4"/>
  <c r="J211" i="4" s="1"/>
  <c r="J169" i="4"/>
  <c r="J162" i="4"/>
  <c r="J144" i="4"/>
  <c r="J135" i="4"/>
  <c r="J136" i="4" s="1"/>
  <c r="J128" i="4"/>
  <c r="J83" i="4"/>
  <c r="J54" i="4"/>
  <c r="J16" i="4"/>
  <c r="J17" i="4" s="1"/>
  <c r="J198" i="4"/>
  <c r="J199" i="4" s="1"/>
  <c r="J128" i="5"/>
  <c r="J127" i="5"/>
  <c r="J124" i="5"/>
  <c r="J123" i="5"/>
  <c r="G123" i="5" s="1"/>
  <c r="H123" i="5" s="1"/>
  <c r="J120" i="5"/>
  <c r="J119" i="5"/>
  <c r="J116" i="5"/>
  <c r="J115" i="5"/>
  <c r="J112" i="5"/>
  <c r="J111" i="5"/>
  <c r="J108" i="5"/>
  <c r="H16" i="5"/>
  <c r="G42" i="6"/>
  <c r="G50" i="6" s="1"/>
  <c r="J69" i="6"/>
  <c r="G17" i="6"/>
  <c r="F119" i="2"/>
  <c r="G129" i="5"/>
  <c r="F129" i="5"/>
  <c r="F125" i="5"/>
  <c r="F121" i="5"/>
  <c r="F117" i="5"/>
  <c r="G113" i="5"/>
  <c r="F113" i="5"/>
  <c r="G109" i="5"/>
  <c r="F109" i="5"/>
  <c r="F60" i="5"/>
  <c r="F24" i="5"/>
  <c r="F16" i="5"/>
  <c r="F8" i="5"/>
  <c r="G119" i="5" l="1"/>
  <c r="H119" i="5" s="1"/>
  <c r="G115" i="5"/>
  <c r="H115" i="5" s="1"/>
  <c r="G125" i="5"/>
  <c r="H17" i="6"/>
  <c r="H42" i="6"/>
  <c r="G69" i="6"/>
  <c r="J71" i="6"/>
  <c r="J50" i="6"/>
  <c r="J60" i="6"/>
  <c r="J113" i="5"/>
  <c r="J129" i="5"/>
  <c r="J117" i="5"/>
  <c r="J121" i="5"/>
  <c r="J24" i="5"/>
  <c r="J109" i="5"/>
  <c r="J125" i="5"/>
  <c r="G121" i="5" l="1"/>
  <c r="G117" i="5"/>
  <c r="H162" i="4"/>
  <c r="G162" i="4"/>
  <c r="H50" i="6"/>
  <c r="S50" i="6" s="1"/>
  <c r="G71" i="6"/>
  <c r="R71" i="6" s="1"/>
  <c r="H24" i="5"/>
  <c r="H69" i="6"/>
  <c r="R24" i="5"/>
  <c r="AJ19" i="5" s="1"/>
  <c r="Y24" i="5" l="1"/>
  <c r="Y23" i="5"/>
  <c r="Y74" i="5"/>
  <c r="Y75" i="5"/>
  <c r="H71" i="6"/>
  <c r="S71" i="6" s="1"/>
  <c r="R50" i="6"/>
  <c r="F259" i="4"/>
  <c r="F255" i="4"/>
  <c r="F251" i="4"/>
  <c r="F247" i="4"/>
  <c r="F243" i="4"/>
  <c r="F239" i="4"/>
  <c r="F234" i="4"/>
  <c r="G83" i="4" l="1"/>
  <c r="H83" i="4" s="1"/>
  <c r="J53" i="4"/>
  <c r="G54" i="4"/>
  <c r="H54" i="4" s="1"/>
  <c r="J28" i="4"/>
  <c r="J29" i="4"/>
  <c r="G258" i="4"/>
  <c r="G254" i="4"/>
  <c r="G175" i="4"/>
  <c r="H175" i="4" s="1"/>
  <c r="H176" i="4" s="1"/>
  <c r="G250" i="4"/>
  <c r="G246" i="4"/>
  <c r="G242" i="4"/>
  <c r="G169" i="4"/>
  <c r="G238" i="4"/>
  <c r="G233" i="4"/>
  <c r="G234" i="4" s="1"/>
  <c r="R233" i="4" s="1"/>
  <c r="AJ230" i="4" s="1"/>
  <c r="G210" i="4"/>
  <c r="G211" i="4" s="1"/>
  <c r="G128" i="4"/>
  <c r="R127" i="4" s="1"/>
  <c r="AJ124" i="4" s="1"/>
  <c r="G198" i="4"/>
  <c r="G199" i="4" s="1"/>
  <c r="G144" i="4"/>
  <c r="G135" i="4"/>
  <c r="G136" i="4" s="1"/>
  <c r="R135" i="4" s="1"/>
  <c r="AJ132" i="4" s="1"/>
  <c r="R198" i="4" l="1"/>
  <c r="AJ195" i="4" s="1"/>
  <c r="R152" i="4"/>
  <c r="AJ149" i="4" s="1"/>
  <c r="G53" i="4"/>
  <c r="G55" i="4" s="1"/>
  <c r="R54" i="4" s="1"/>
  <c r="J55" i="4"/>
  <c r="J30" i="4"/>
  <c r="J84" i="4"/>
  <c r="H233" i="4"/>
  <c r="H234" i="4" s="1"/>
  <c r="R161" i="4"/>
  <c r="AJ158" i="4" s="1"/>
  <c r="H198" i="4"/>
  <c r="H199" i="4" s="1"/>
  <c r="H135" i="4"/>
  <c r="H136" i="4" s="1"/>
  <c r="H145" i="4"/>
  <c r="G145" i="4"/>
  <c r="H210" i="4"/>
  <c r="H211" i="4" s="1"/>
  <c r="R210" i="4"/>
  <c r="AJ207" i="4" s="1"/>
  <c r="H169" i="4"/>
  <c r="H170" i="4" s="1"/>
  <c r="G170" i="4"/>
  <c r="H128" i="4"/>
  <c r="J239" i="4"/>
  <c r="G237" i="4"/>
  <c r="G239" i="4" s="1"/>
  <c r="G245" i="4"/>
  <c r="G247" i="4" s="1"/>
  <c r="J247" i="4"/>
  <c r="G241" i="4"/>
  <c r="G243" i="4" s="1"/>
  <c r="J243" i="4"/>
  <c r="G259" i="4"/>
  <c r="J259" i="4"/>
  <c r="G253" i="4"/>
  <c r="G255" i="4" s="1"/>
  <c r="J255" i="4"/>
  <c r="G249" i="4"/>
  <c r="G251" i="4" s="1"/>
  <c r="J251" i="4"/>
  <c r="F170" i="4"/>
  <c r="F136" i="4"/>
  <c r="F145" i="4"/>
  <c r="J170" i="4"/>
  <c r="J119" i="4"/>
  <c r="J145" i="4"/>
  <c r="J176" i="4"/>
  <c r="F176" i="4"/>
  <c r="F84" i="4"/>
  <c r="R144" i="4" l="1"/>
  <c r="AJ141" i="4" s="1"/>
  <c r="Y55" i="4"/>
  <c r="AJ51" i="4"/>
  <c r="R169" i="4"/>
  <c r="Y267" i="4"/>
  <c r="Y211" i="4"/>
  <c r="Y212" i="4"/>
  <c r="H53" i="4"/>
  <c r="H55" i="4" s="1"/>
  <c r="Y162" i="4"/>
  <c r="Y163" i="4"/>
  <c r="Y200" i="4"/>
  <c r="Y199" i="4"/>
  <c r="Y235" i="4"/>
  <c r="Y234" i="4"/>
  <c r="S118" i="4"/>
  <c r="Y120" i="4"/>
  <c r="Y119" i="4"/>
  <c r="Y56" i="4"/>
  <c r="Y154" i="4"/>
  <c r="Y155" i="4"/>
  <c r="Y137" i="4"/>
  <c r="Y136" i="4"/>
  <c r="H84" i="4"/>
  <c r="G84" i="4"/>
  <c r="R83" i="4" s="1"/>
  <c r="AJ80" i="4" s="1"/>
  <c r="Y129" i="4"/>
  <c r="Y128" i="4"/>
  <c r="G176" i="4"/>
  <c r="Y145" i="4" l="1"/>
  <c r="Y146" i="4"/>
  <c r="R177" i="4"/>
  <c r="AJ174" i="4" s="1"/>
  <c r="Y268" i="4"/>
  <c r="Y84" i="4"/>
  <c r="Y85" i="4"/>
  <c r="Y71" i="4"/>
  <c r="Y72" i="4"/>
  <c r="F102" i="2"/>
  <c r="J101" i="2"/>
  <c r="G101" i="2" s="1"/>
  <c r="H101" i="2" s="1"/>
  <c r="H102" i="2" s="1"/>
  <c r="F96" i="2"/>
  <c r="J95" i="2"/>
  <c r="J88" i="2"/>
  <c r="G88" i="2" s="1"/>
  <c r="H88" i="2" s="1"/>
  <c r="J68" i="2"/>
  <c r="Y179" i="4" l="1"/>
  <c r="Y178" i="4"/>
  <c r="J96" i="2"/>
  <c r="J98" i="3"/>
  <c r="J102" i="2"/>
  <c r="G102" i="2"/>
  <c r="R102" i="2" s="1"/>
  <c r="G95" i="2" l="1"/>
  <c r="H95" i="2" s="1"/>
  <c r="H96" i="2" s="1"/>
  <c r="J89" i="2"/>
  <c r="F89" i="2"/>
  <c r="G83" i="2"/>
  <c r="G75" i="2"/>
  <c r="R75" i="2" s="1"/>
  <c r="Y76" i="2" s="1"/>
  <c r="J69" i="2"/>
  <c r="F69" i="2"/>
  <c r="F11" i="2"/>
  <c r="G68" i="2"/>
  <c r="H68" i="2" s="1"/>
  <c r="R83" i="2" l="1"/>
  <c r="AJ82" i="2" s="1"/>
  <c r="H69" i="2"/>
  <c r="J19" i="2"/>
  <c r="G96" i="2"/>
  <c r="R96" i="2" s="1"/>
  <c r="G69" i="2"/>
  <c r="R68" i="2" s="1"/>
  <c r="Y83" i="2" l="1"/>
  <c r="Y84" i="2"/>
  <c r="Y70" i="2"/>
  <c r="Y63" i="2"/>
  <c r="Y69" i="2"/>
  <c r="J7" i="5"/>
  <c r="G29" i="4"/>
  <c r="H29" i="4" s="1"/>
  <c r="G28" i="4"/>
  <c r="G16" i="4"/>
  <c r="G17" i="4" s="1"/>
  <c r="R16" i="4" s="1"/>
  <c r="AJ13" i="4" s="1"/>
  <c r="J10" i="2"/>
  <c r="H7" i="5" l="1"/>
  <c r="H8" i="5" s="1"/>
  <c r="J8" i="5"/>
  <c r="G30" i="4"/>
  <c r="R29" i="4" s="1"/>
  <c r="AJ26" i="4" s="1"/>
  <c r="G10" i="2"/>
  <c r="J11" i="2"/>
  <c r="H16" i="4"/>
  <c r="H17" i="4" s="1"/>
  <c r="H28" i="4"/>
  <c r="H30" i="4" s="1"/>
  <c r="H10" i="2" l="1"/>
  <c r="Y31" i="4"/>
  <c r="Y30" i="4"/>
  <c r="R8" i="5"/>
  <c r="J26" i="1"/>
  <c r="J27" i="1"/>
  <c r="J28" i="1" l="1"/>
  <c r="Y7" i="5"/>
  <c r="AJ3" i="5"/>
  <c r="Y8" i="5"/>
  <c r="Y18" i="4"/>
  <c r="Y17" i="4"/>
  <c r="G27" i="1" l="1"/>
  <c r="G50" i="1"/>
  <c r="G51" i="1" s="1"/>
  <c r="G26" i="1"/>
  <c r="R51" i="1" l="1"/>
  <c r="AK51" i="1" s="1"/>
  <c r="G28" i="1"/>
  <c r="H27" i="1"/>
  <c r="H26" i="1"/>
  <c r="H50" i="1"/>
  <c r="H51" i="1" s="1"/>
  <c r="F51" i="1"/>
  <c r="F122" i="1"/>
  <c r="G122" i="1"/>
  <c r="J122" i="1"/>
  <c r="F129" i="1"/>
  <c r="G129" i="1"/>
  <c r="R129" i="1" s="1"/>
  <c r="J129" i="1"/>
  <c r="F136" i="1"/>
  <c r="R136" i="1"/>
  <c r="AK135" i="1" s="1"/>
  <c r="J136" i="1"/>
  <c r="Y128" i="1" l="1"/>
  <c r="Y51" i="1"/>
  <c r="R28" i="1"/>
  <c r="Y53" i="1"/>
  <c r="H28" i="1"/>
  <c r="Y129" i="1"/>
  <c r="Y136" i="1"/>
  <c r="Y135" i="1"/>
  <c r="S60" i="6"/>
  <c r="AK28" i="1" l="1"/>
  <c r="Y30" i="1"/>
  <c r="Y28" i="1"/>
  <c r="Q5" i="7"/>
  <c r="P5" i="7"/>
  <c r="P54" i="7"/>
  <c r="Q54" i="7"/>
  <c r="Y95" i="4" l="1"/>
  <c r="Y16" i="5" l="1"/>
  <c r="H89" i="2"/>
  <c r="G89" i="2"/>
  <c r="R89" i="2" s="1"/>
  <c r="Y90" i="2" s="1"/>
  <c r="R33" i="5"/>
  <c r="AJ27" i="5" s="1"/>
  <c r="Y33" i="5" l="1"/>
  <c r="Y31" i="5"/>
  <c r="Y111" i="4"/>
  <c r="G28" i="6" l="1"/>
  <c r="R28" i="6" s="1"/>
  <c r="H28" i="6"/>
  <c r="S28" i="6" s="1"/>
  <c r="G60" i="5"/>
  <c r="R51" i="5" s="1"/>
  <c r="Y50" i="5" s="1"/>
  <c r="H46" i="5"/>
  <c r="H43" i="5"/>
  <c r="H45" i="5"/>
  <c r="H44" i="5"/>
  <c r="H42" i="5"/>
  <c r="H41" i="5"/>
  <c r="H40" i="5"/>
  <c r="H60" i="5" s="1"/>
  <c r="Y51" i="5" l="1"/>
  <c r="AJ46" i="5"/>
  <c r="G98" i="3"/>
  <c r="R69" i="3" s="1"/>
  <c r="H4" i="3"/>
  <c r="H98" i="3"/>
  <c r="Y70" i="3" l="1"/>
  <c r="Y69" i="3"/>
  <c r="AJ68" i="3"/>
  <c r="G6" i="2"/>
  <c r="G11" i="2" s="1"/>
  <c r="R11" i="2" s="1"/>
  <c r="H11" i="2"/>
  <c r="Y11" i="2" l="1"/>
  <c r="Y10" i="2"/>
  <c r="AJ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D64" authorId="0" shapeId="0" xr:uid="{88F10A29-C2DF-4FE8-8DC0-365BB6E5725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raditional Arabic"/>
            <family val="1"/>
          </rPr>
          <t>Fin de la demi mêlée embossé en saucisse car plus de sac à jesus (cependant aucun souci car meme mêlée)</t>
        </r>
      </text>
    </comment>
    <comment ref="AA102" authorId="0" shapeId="0" xr:uid="{6F1EDB10-E92A-4322-95F5-B64F72897393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 200grs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tc={DC63ABF8-9125-4595-A219-E453CC175B90}</author>
    <author>tc={98441BD9-1684-4E96-8C51-FE5229F2B6CB}</author>
    <author>tc={24B40A94-13C3-4660-805C-133923DE9744}</author>
    <author>tc={3DCE5869-7FD7-4584-9DA3-FE543085EF5F}</author>
    <author>tc={C18F6CE3-B894-4719-BE3B-2E753F4137DC}</author>
    <author>tc={C18F6CE3-B894-4718-BE3B-2E753F4137DC}</author>
    <author>tc={06786C18-C642-4B3E-B341-2F413BCADEAE}</author>
    <author>tc={46D5B7EC-65DE-4CAF-8CE7-5117FC7EEBB5}</author>
    <author>tc={7F805418-9FFF-4A47-9E88-E74617C9088A}</author>
    <author>tc={55ABC9FD-7771-4837-BF31-C4BE2756A3EC}</author>
  </authors>
  <commentList>
    <comment ref="F81" authorId="0" shapeId="0" xr:uid="{BAA37A27-E808-47C6-89B4-A84E30FBAFAD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87" authorId="1" shapeId="0" xr:uid="{8514BCD8-BB88-488A-9C49-532F974EC41A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93" authorId="2" shapeId="0" xr:uid="{BCA1E2AD-29AA-4DB4-8668-624CA967C235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99" authorId="3" shapeId="0" xr:uid="{DEE30FA8-EA2A-43C9-B756-0B940A7F5B5E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05" authorId="4" shapeId="0" xr:uid="{D2608600-BAE9-4F25-AE7D-7ABDFFF64500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0" authorId="5" shapeId="0" xr:uid="{C18F6CE3-B894-4718-BE3B-2E753F4137DC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4" authorId="6" shapeId="0" xr:uid="{06786C18-C642-4B3E-B341-2F413BCADEAE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8" authorId="7" shapeId="0" xr:uid="{46D5B7EC-65DE-4CAF-8CE7-5117FC7EEBB5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22" authorId="8" shapeId="0" xr:uid="{7F805418-9FFF-4A47-9E88-E74617C9088A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26" authorId="9" shapeId="0" xr:uid="{55ABC9FD-7771-4837-BF31-C4BE2756A3EC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AA177" authorId="0" shapeId="0" xr:uid="{6E20503D-F415-4038-BBD5-644B6DAEABE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</t>
        </r>
      </text>
    </comment>
  </commentList>
</comments>
</file>

<file path=xl/sharedStrings.xml><?xml version="1.0" encoding="utf-8"?>
<sst xmlns="http://schemas.openxmlformats.org/spreadsheetml/2006/main" count="3145" uniqueCount="886">
  <si>
    <t>CODE</t>
  </si>
  <si>
    <t>N° de lot</t>
  </si>
  <si>
    <t>SAUCISSON SEC HALAL 200 grs</t>
  </si>
  <si>
    <t>4000/4</t>
  </si>
  <si>
    <t>197D</t>
  </si>
  <si>
    <t>197D5</t>
  </si>
  <si>
    <t>197GD</t>
  </si>
  <si>
    <t>5043G</t>
  </si>
  <si>
    <t>SEMAINE 
EMBOSSAGE</t>
  </si>
  <si>
    <t xml:space="preserve"> POIDS 
 FRAIS</t>
  </si>
  <si>
    <t>POIDS  
 SEC</t>
  </si>
  <si>
    <t>MELEES</t>
  </si>
  <si>
    <t>NOMBRE DE PIECES</t>
  </si>
  <si>
    <t>Nombre de perche</t>
  </si>
  <si>
    <t>Commentaires /Observations</t>
  </si>
  <si>
    <t>SAUCISSON SEC HALRIZO 200 grs</t>
  </si>
  <si>
    <t>DESIGNATION 
PREVISIONNEL</t>
  </si>
  <si>
    <t>pièces suplémentaires</t>
  </si>
  <si>
    <t>2000/3</t>
  </si>
  <si>
    <t>198D</t>
  </si>
  <si>
    <t>198D5</t>
  </si>
  <si>
    <t>198GD</t>
  </si>
  <si>
    <t xml:space="preserve">MIGNONETTES HALAL </t>
  </si>
  <si>
    <t>SAUCISSON SEC HALAL 3/350 GRS BN NATURE</t>
  </si>
  <si>
    <t>203D</t>
  </si>
  <si>
    <t>Dinde &amp; Bœuf</t>
  </si>
  <si>
    <t>SAUCISSON SEC HALAL 3/350 GRS BN PIMENTE</t>
  </si>
  <si>
    <t>0000204D</t>
  </si>
  <si>
    <t>SAUCISSON SEC HALRIZO GROSSES PIECES (+/-2,8 kgs)</t>
  </si>
  <si>
    <t>306D</t>
  </si>
  <si>
    <t>306D5</t>
  </si>
  <si>
    <t>6000/7</t>
  </si>
  <si>
    <t>302D</t>
  </si>
  <si>
    <t>302D5</t>
  </si>
  <si>
    <t>4000/5</t>
  </si>
  <si>
    <t>Nb pièces x 0,2</t>
  </si>
  <si>
    <t>Nb pièces x 2,8</t>
  </si>
  <si>
    <t>DESIGNATION +
PREVISIONNEL</t>
  </si>
  <si>
    <t>=pièces /perche</t>
  </si>
  <si>
    <t>=pièces/perche</t>
  </si>
  <si>
    <t>HG 250 grs ARTISANAL</t>
  </si>
  <si>
    <t>19149G</t>
  </si>
  <si>
    <t>191G</t>
  </si>
  <si>
    <t>HG SAUCISSE COURBE</t>
  </si>
  <si>
    <t>HG 3-400 ARTISANAL</t>
  </si>
  <si>
    <t>13749GCE</t>
  </si>
  <si>
    <t>900/7</t>
  </si>
  <si>
    <t>HG JESUS +/- 800 grs</t>
  </si>
  <si>
    <t>Nb pièces x 0,8</t>
  </si>
  <si>
    <t>GRELOTTONS AUX NOIX</t>
  </si>
  <si>
    <t>MIGNONETTE</t>
  </si>
  <si>
    <t>166GCE</t>
  </si>
  <si>
    <t>166G</t>
  </si>
  <si>
    <t>250 GRS SALAISON DE PROVENCE</t>
  </si>
  <si>
    <t>191GSP</t>
  </si>
  <si>
    <t>NATURE BIO 200 GRS</t>
  </si>
  <si>
    <t>Nb pièces x 0,25</t>
  </si>
  <si>
    <t>Nb pièces x 0,20</t>
  </si>
  <si>
    <t>PUR PORC BN 200</t>
  </si>
  <si>
    <t>102G</t>
  </si>
  <si>
    <t>101G</t>
  </si>
  <si>
    <t>103G</t>
  </si>
  <si>
    <t>103G5</t>
  </si>
  <si>
    <t>105G</t>
  </si>
  <si>
    <t>174G</t>
  </si>
  <si>
    <t>174H</t>
  </si>
  <si>
    <t>174P</t>
  </si>
  <si>
    <t>174GH</t>
  </si>
  <si>
    <t>174GP</t>
  </si>
  <si>
    <t>174GF</t>
  </si>
  <si>
    <t>174RO</t>
  </si>
  <si>
    <t>5032G</t>
  </si>
  <si>
    <t>5039G</t>
  </si>
  <si>
    <t>5040G</t>
  </si>
  <si>
    <t>5042G</t>
  </si>
  <si>
    <t>5050G</t>
  </si>
  <si>
    <t>5053G</t>
  </si>
  <si>
    <t>5055G</t>
  </si>
  <si>
    <t>174G6</t>
  </si>
  <si>
    <t>174GCE</t>
  </si>
  <si>
    <t>218GCE (1pièces)</t>
  </si>
  <si>
    <t>112GCE (1 pièces)</t>
  </si>
  <si>
    <t>228GCE (1 pièces)</t>
  </si>
  <si>
    <t>102GCE</t>
  </si>
  <si>
    <t>104G</t>
  </si>
  <si>
    <t>110G</t>
  </si>
  <si>
    <t>Beaufort 5%</t>
  </si>
  <si>
    <t>110G5</t>
  </si>
  <si>
    <t>218GCE (2 pièces)</t>
  </si>
  <si>
    <t>Fromage de Chèvre 5%</t>
  </si>
  <si>
    <t>218G</t>
  </si>
  <si>
    <t>5055G ( 1 pièce)</t>
  </si>
  <si>
    <t>Roquefort 4%</t>
  </si>
  <si>
    <t>139G</t>
  </si>
  <si>
    <t>139G5</t>
  </si>
  <si>
    <t>215G</t>
  </si>
  <si>
    <t>215G5</t>
  </si>
  <si>
    <t>Noisettes 5%</t>
  </si>
  <si>
    <t>Noix 5%</t>
  </si>
  <si>
    <t>111G</t>
  </si>
  <si>
    <t>111G5</t>
  </si>
  <si>
    <t>112GCE (2 pièces)</t>
  </si>
  <si>
    <t>5053G (1 pièce)</t>
  </si>
  <si>
    <t>5050G (1 pièce)</t>
  </si>
  <si>
    <t>112G</t>
  </si>
  <si>
    <t>112G5</t>
  </si>
  <si>
    <t>5055G (1 pièce)</t>
  </si>
  <si>
    <t xml:space="preserve">Cèpes </t>
  </si>
  <si>
    <t>114GC</t>
  </si>
  <si>
    <t>5050G (1pièce)</t>
  </si>
  <si>
    <t>Figues 10%</t>
  </si>
  <si>
    <t>121G</t>
  </si>
  <si>
    <t>121G5</t>
  </si>
  <si>
    <t>114G5</t>
  </si>
  <si>
    <t>Génépi 2%</t>
  </si>
  <si>
    <t>115G</t>
  </si>
  <si>
    <t>115G5</t>
  </si>
  <si>
    <t>Myrtilles 2%</t>
  </si>
  <si>
    <t>116G</t>
  </si>
  <si>
    <t>116G5</t>
  </si>
  <si>
    <t>Olives 10%</t>
  </si>
  <si>
    <t>118G</t>
  </si>
  <si>
    <t>118G5</t>
  </si>
  <si>
    <t>Herbes Intérieures</t>
  </si>
  <si>
    <t>119G</t>
  </si>
  <si>
    <t>119G5</t>
  </si>
  <si>
    <t>Fenouil</t>
  </si>
  <si>
    <t>124G</t>
  </si>
  <si>
    <t>124G5</t>
  </si>
  <si>
    <t>Sanglier 15%</t>
  </si>
  <si>
    <t>150G</t>
  </si>
  <si>
    <t>228GCE (2 pièces)</t>
  </si>
  <si>
    <t>156G</t>
  </si>
  <si>
    <t>Canard 15%</t>
  </si>
  <si>
    <t>193G</t>
  </si>
  <si>
    <t>193G5</t>
  </si>
  <si>
    <t>Cerf 20%</t>
  </si>
  <si>
    <t>228G</t>
  </si>
  <si>
    <t>228G5</t>
  </si>
  <si>
    <t>100G</t>
  </si>
  <si>
    <t>100G5</t>
  </si>
  <si>
    <t>108G</t>
  </si>
  <si>
    <t>Marrons 5%</t>
  </si>
  <si>
    <t>106G</t>
  </si>
  <si>
    <t>Comté</t>
  </si>
  <si>
    <t>109G</t>
  </si>
  <si>
    <t>Morilles 1%</t>
  </si>
  <si>
    <t>117G</t>
  </si>
  <si>
    <t>Beaujolais 4%</t>
  </si>
  <si>
    <t>153G</t>
  </si>
  <si>
    <t>113G</t>
  </si>
  <si>
    <t>Vin Jaune</t>
  </si>
  <si>
    <t>Roquefort 250-300</t>
  </si>
  <si>
    <t>'=pièces/perche</t>
  </si>
  <si>
    <t>Cèpes  250-300</t>
  </si>
  <si>
    <t>Canard  250-300</t>
  </si>
  <si>
    <t>178G</t>
  </si>
  <si>
    <t>Saucisse Droite 250 grs</t>
  </si>
  <si>
    <t>Nb pièces x 0,250</t>
  </si>
  <si>
    <t>Mini Rosette 400 grs</t>
  </si>
  <si>
    <t>179G</t>
  </si>
  <si>
    <t>170G</t>
  </si>
  <si>
    <t>Rosette Kilo</t>
  </si>
  <si>
    <t>171G</t>
  </si>
  <si>
    <t>HM 650 grs</t>
  </si>
  <si>
    <t xml:space="preserve">HM 3-400 grs Nature </t>
  </si>
  <si>
    <t>102V</t>
  </si>
  <si>
    <t>101V</t>
  </si>
  <si>
    <t>104V</t>
  </si>
  <si>
    <t>103V</t>
  </si>
  <si>
    <t>HM 7-800 Nature</t>
  </si>
  <si>
    <t>107V</t>
  </si>
  <si>
    <t>111V</t>
  </si>
  <si>
    <t>Noisette 3-400 grs</t>
  </si>
  <si>
    <t>HG 3-400 ARTISANAL AILLE</t>
  </si>
  <si>
    <t>Pimenté</t>
  </si>
  <si>
    <t>150 kgs frais = 95 kgs sec</t>
  </si>
  <si>
    <t>1 mêlée =+/- 230 pièces</t>
  </si>
  <si>
    <t>1 mêlée =+/- 130 pièces</t>
  </si>
  <si>
    <t>Nb pièces x 0,400</t>
  </si>
  <si>
    <t>Nb pièces x 0,650</t>
  </si>
  <si>
    <t>S.A.G 7-800 grs</t>
  </si>
  <si>
    <t>220DV</t>
  </si>
  <si>
    <t>220G</t>
  </si>
  <si>
    <t>220GPRO</t>
  </si>
  <si>
    <t>5056G</t>
  </si>
  <si>
    <t>220GCE</t>
  </si>
  <si>
    <t>220PRO</t>
  </si>
  <si>
    <t>PUR PORC A CUIRE PISTACHE VPF</t>
  </si>
  <si>
    <t>PUR PORC A CUIRE  PISTACHE Viande U.E</t>
  </si>
  <si>
    <t>144DV</t>
  </si>
  <si>
    <t>144G</t>
  </si>
  <si>
    <t>PUR PORC A CUIRE TRUFFE 3%</t>
  </si>
  <si>
    <t>SABODET</t>
  </si>
  <si>
    <t>Nb pièces x 0,600</t>
  </si>
  <si>
    <t>229GCE</t>
  </si>
  <si>
    <t>Poids mise ss vide</t>
  </si>
  <si>
    <t>Poids décongélation</t>
  </si>
  <si>
    <t xml:space="preserve"> POIDS 
RECUS</t>
  </si>
  <si>
    <t>DATE RECEPTION</t>
  </si>
  <si>
    <t>DLC</t>
  </si>
  <si>
    <t>Observations - Commentaires</t>
  </si>
  <si>
    <t>256G</t>
  </si>
  <si>
    <t>150 kgs frais = 100kgs sec</t>
  </si>
  <si>
    <t>Nb Unités reçus</t>
  </si>
  <si>
    <t>250 grs</t>
  </si>
  <si>
    <t>5,3 kgs</t>
  </si>
  <si>
    <t>5,7 kgs</t>
  </si>
  <si>
    <t>5,5 kgs</t>
  </si>
  <si>
    <t>2,5 kgs</t>
  </si>
  <si>
    <t>Nb Unités restantes</t>
  </si>
  <si>
    <t>Poids moyen
en kgs</t>
  </si>
  <si>
    <t>1/6 JAMBONS  -  SALAISONS CROS</t>
  </si>
  <si>
    <t>1/2 JAMBON 2,5 kgs  -  SALAISONS CROS</t>
  </si>
  <si>
    <t>JAMBON A L'OS 5,5 kgs  -  SALAISONS CROS</t>
  </si>
  <si>
    <t>JAMBON DESOSSE 6 MOIS 5,3 kgs  -  SALAISONS CROS</t>
  </si>
  <si>
    <t>1-3/3</t>
  </si>
  <si>
    <t>0,5/0,5</t>
  </si>
  <si>
    <t>1-2/2</t>
  </si>
  <si>
    <t>1/1</t>
  </si>
  <si>
    <t>JAMBON DESOSSE "SUPERIEUR" 9 MOIS 5,7 kgs  -  SALAISONS CROS</t>
  </si>
  <si>
    <t>Nombre de pièces fabriquées</t>
  </si>
  <si>
    <t>Embossage</t>
  </si>
  <si>
    <t>Nombre de Pièces restantes</t>
  </si>
  <si>
    <t>Nb pièces restantes</t>
  </si>
  <si>
    <t>Nb pièces x 0,350</t>
  </si>
  <si>
    <t>SAUCISSON SEC HALAL GROSSES PIECES (+/- 2,8 kgs)</t>
  </si>
  <si>
    <t>s44</t>
  </si>
  <si>
    <t>Nb de pièces restantes</t>
  </si>
  <si>
    <t>Nb de pièces produites</t>
  </si>
  <si>
    <t>= nb pièces *0,400</t>
  </si>
  <si>
    <t>= nb pièces *0,350</t>
  </si>
  <si>
    <t xml:space="preserve"> = nb pièces *0,75</t>
  </si>
  <si>
    <t>= Nb pièces x 0,25</t>
  </si>
  <si>
    <r>
      <t>PUR PORC BN 200</t>
    </r>
    <r>
      <rPr>
        <b/>
        <sz val="12"/>
        <color rgb="FFFF0000"/>
        <rFont val="Traditional Arabic"/>
        <family val="1"/>
      </rPr>
      <t xml:space="preserve"> LECLERC</t>
    </r>
  </si>
  <si>
    <t>nb de pièces produites</t>
  </si>
  <si>
    <t>EMBOSSAGE</t>
  </si>
  <si>
    <t>POIDS  
 SEC
(debut)</t>
  </si>
  <si>
    <t>Nb de pièces restatntes
(fin)</t>
  </si>
  <si>
    <t>POIDS  
 SEC
(début)</t>
  </si>
  <si>
    <t>Sauci'flette</t>
  </si>
  <si>
    <t>POIDS  
 SEC (début)</t>
  </si>
  <si>
    <t>Total vente semaine</t>
  </si>
  <si>
    <t>Restant fin semaine</t>
  </si>
  <si>
    <t>Vente  Jeudi- Vendredi</t>
  </si>
  <si>
    <t>Vente Lundi-Mardi- Mecredi</t>
  </si>
  <si>
    <t>Ventes Lundi</t>
  </si>
  <si>
    <t>Ventes Mardi</t>
  </si>
  <si>
    <t>Ventes Mercredi</t>
  </si>
  <si>
    <t>Ventes Jeudi</t>
  </si>
  <si>
    <t>Vente  Vendredi</t>
  </si>
  <si>
    <t>Ventes  Lundi (semaine en cours)</t>
  </si>
  <si>
    <t>Ventes  Mardi à Vendredi (semaine finie)</t>
  </si>
  <si>
    <t>POIDS  
RESTANT
En stock</t>
  </si>
  <si>
    <t>Depuis S 49 sulfatage Natamicine mieux réalisé</t>
  </si>
  <si>
    <t>PUR PORC A CUIRE NATURE Viande U.E</t>
  </si>
  <si>
    <t>PUR PORC A CUIRE NATURE VPF</t>
  </si>
  <si>
    <t>SUIVI DES VENTES</t>
  </si>
  <si>
    <r>
      <rPr>
        <b/>
        <sz val="20"/>
        <color rgb="FFFF0000"/>
        <rFont val="Traditional Arabic"/>
        <family val="1"/>
      </rPr>
      <t>ATTENTION</t>
    </r>
    <r>
      <rPr>
        <sz val="12"/>
        <color theme="1"/>
        <rFont val="Traditional Arabic"/>
        <family val="1"/>
      </rPr>
      <t xml:space="preserve">
P</t>
    </r>
    <r>
      <rPr>
        <sz val="16"/>
        <color theme="1"/>
        <rFont val="Traditional Arabic"/>
        <family val="1"/>
      </rPr>
      <t>our différencier VPF et UE :
voir les n° de lot, 
ou 
demander avant mise à jour du stock si il reste de pièces dans les mêlées UE</t>
    </r>
  </si>
  <si>
    <t>Kgs vendu</t>
  </si>
  <si>
    <t>Nb pièces</t>
  </si>
  <si>
    <t>+/- 100 KGS SECS</t>
  </si>
  <si>
    <t>kgs vendus</t>
  </si>
  <si>
    <t>BN 200</t>
  </si>
  <si>
    <t>BN 200 leclerc</t>
  </si>
  <si>
    <t>PUR PORC A CUIRE PISTACHE</t>
  </si>
  <si>
    <t xml:space="preserve">SAUCISSON SEC HALAL GROSSES PIECES </t>
  </si>
  <si>
    <t xml:space="preserve">SAUCISSON SEC HALRIZO GROSSES PIECES </t>
  </si>
  <si>
    <t>S-1</t>
  </si>
  <si>
    <t xml:space="preserve">TOTAL </t>
  </si>
  <si>
    <t>(Jeudi et Vendredi S-1 + Lundi, Mardi et Mercredi S)</t>
  </si>
  <si>
    <t>Poids Sec moyen/mêlée</t>
  </si>
  <si>
    <t>Mêlées à reproduire</t>
  </si>
  <si>
    <t>Quantité</t>
  </si>
  <si>
    <t>Départ (n° lot)</t>
  </si>
  <si>
    <t>1/6 jambon</t>
  </si>
  <si>
    <t>1/2 jambon</t>
  </si>
  <si>
    <t>Jambon à l'os</t>
  </si>
  <si>
    <t>Jambon 9 mois</t>
  </si>
  <si>
    <t>Jambon 6 mois</t>
  </si>
  <si>
    <t>Jambon tranchés</t>
  </si>
  <si>
    <t>reste  boyaux Soussana assai perso</t>
  </si>
  <si>
    <t>s.43 essais Boyaux Charles/complet van hess 1mêlée</t>
  </si>
  <si>
    <t xml:space="preserve"> boyaux Soussana assai perso</t>
  </si>
  <si>
    <t>s45 essai complet soussana boyaux soussana 1 mêlée</t>
  </si>
  <si>
    <t xml:space="preserve"> s 46 pas de halal</t>
  </si>
  <si>
    <t>Nb pièces x 1,1</t>
  </si>
  <si>
    <t xml:space="preserve"> </t>
  </si>
  <si>
    <t>s 47 Boyaux charles et assais perso toutes les mêlées bettervae 150 grs</t>
  </si>
  <si>
    <t>s 48 recette perso. Betterave 300 grs / mêlée</t>
  </si>
  <si>
    <t>S 03 doublage taux natamax dans sulfateuse</t>
  </si>
  <si>
    <t>S 04 essai sur 1 mêlée trempage boyaux avant embossage natamax</t>
  </si>
  <si>
    <t>1 mêlée =+/- 135 pièces</t>
  </si>
  <si>
    <t>1 mêlée =+/- 240 pièces</t>
  </si>
  <si>
    <t>1 mêlée =+/- 238 pièces</t>
  </si>
  <si>
    <t>Vente Lundi-Mardi-Mercredi</t>
  </si>
  <si>
    <t>Vente Jeudi - Vendredi</t>
  </si>
  <si>
    <t>0,900 kgs</t>
  </si>
  <si>
    <t>Vente Lundi - Mardi</t>
  </si>
  <si>
    <t>Vente  Mercredi-Jeudi-Vendredi</t>
  </si>
  <si>
    <t>(Mercredi, Jeudi et Vendredi S-1 + Lundi, Mardi et Mercredi S)</t>
  </si>
  <si>
    <t xml:space="preserve">Qté stock / Qté vendue </t>
  </si>
  <si>
    <t>SEMAINES</t>
  </si>
  <si>
    <t xml:space="preserve">Faire impasse? </t>
  </si>
  <si>
    <t>Sechage normal : 4 semaines</t>
  </si>
  <si>
    <t>Ex : fab en S23, S+1 : s24, S+2 : s25, S+3 : s26, S+4 : s27 --&gt; DISPO S28</t>
  </si>
  <si>
    <t>Nb pièces x 0,450</t>
  </si>
  <si>
    <t>Nb pièces x 0,800</t>
  </si>
  <si>
    <t>193V</t>
  </si>
  <si>
    <t>114V</t>
  </si>
  <si>
    <t>139V</t>
  </si>
  <si>
    <t>8 KGS NATURE ENR PIM</t>
  </si>
  <si>
    <t>A sortir</t>
  </si>
  <si>
    <t xml:space="preserve"> = nb pièces *0,830</t>
  </si>
  <si>
    <t>depuis le 14/10/2020 poids embossage 0,415 kg</t>
  </si>
  <si>
    <t>reste 8*28 p</t>
  </si>
  <si>
    <t>PUR PORC A CUIRE NATURE</t>
  </si>
  <si>
    <t>Prévoir 300p,/sem</t>
  </si>
  <si>
    <t xml:space="preserve">Janvier 2020 : </t>
  </si>
  <si>
    <t>REFAIRE 1 MÊLÉE</t>
  </si>
  <si>
    <t>QUAND STOCK = 100kg</t>
  </si>
  <si>
    <t>(environ 300 pièces/semaine dispo)</t>
  </si>
  <si>
    <t>2mêlées toutes les 3 semaines environ</t>
  </si>
  <si>
    <t>herbes</t>
  </si>
  <si>
    <t xml:space="preserve">poivre </t>
  </si>
  <si>
    <t>OK</t>
  </si>
  <si>
    <t>mis en spec</t>
  </si>
  <si>
    <t>JAMBON PRE -TRANCHE ( x 10tranches)  -  SALAISONS CROS   - COLIS X 17 BARQUETTES</t>
  </si>
  <si>
    <t xml:space="preserve">S,07 </t>
  </si>
  <si>
    <t>LUNDI MARDI</t>
  </si>
  <si>
    <t>s07</t>
  </si>
  <si>
    <t>lundi mardi</t>
  </si>
  <si>
    <t>S,07</t>
  </si>
  <si>
    <t>LUNDI</t>
  </si>
  <si>
    <t>MARDI</t>
  </si>
  <si>
    <t>s,07</t>
  </si>
  <si>
    <t>mis en 102g</t>
  </si>
  <si>
    <t>2 mêlées en stock, dès qu'une mêlée est presque finie,</t>
  </si>
  <si>
    <t>En remettre une autre en production</t>
  </si>
  <si>
    <t xml:space="preserve">Prévoir 8 000 pièces/mois, </t>
  </si>
  <si>
    <t xml:space="preserve">Dès que seuil atteint 6 000 pièces, </t>
  </si>
  <si>
    <t>Remettre en production 2 mêlées</t>
  </si>
  <si>
    <t xml:space="preserve">Prévoir en moyenne, </t>
  </si>
  <si>
    <t>1 mêlée à produire toutes les deux semaines</t>
  </si>
  <si>
    <t>1 mêlée toutes les 3 semaines</t>
  </si>
  <si>
    <t>2 en stock</t>
  </si>
  <si>
    <t>1 mêlée toutes les 3 sem</t>
  </si>
  <si>
    <t xml:space="preserve">                </t>
  </si>
  <si>
    <t>1500 pièces de stock</t>
  </si>
  <si>
    <t>dt 1000 seche</t>
  </si>
  <si>
    <t>Nb pièces x 0,3</t>
  </si>
  <si>
    <t>Porc et Bœuf   GAEC DU BECOT</t>
  </si>
  <si>
    <t>FACONNAGE DU 28/5</t>
  </si>
  <si>
    <t>122G</t>
  </si>
  <si>
    <t>NON SORTI SUR STAT PRODUIT</t>
  </si>
  <si>
    <t>Prod : 1 mêlée/semaine, pendant 3 semaines</t>
  </si>
  <si>
    <t>ET 1 semaine à 0</t>
  </si>
  <si>
    <t>Prod : 0,5mêlée/semaine, pendant 3 semaines</t>
  </si>
  <si>
    <t>Prod : 0,5 s.33 - 0,5 s.34</t>
  </si>
  <si>
    <t xml:space="preserve">  </t>
  </si>
  <si>
    <t>247G</t>
  </si>
  <si>
    <t>247GCE3</t>
  </si>
  <si>
    <t>PUR PORC A CUIRE TRUFFE 3% CEPES VPF</t>
  </si>
  <si>
    <t>FICELLE NOIR/BLANC</t>
  </si>
  <si>
    <t>ficec</t>
  </si>
  <si>
    <t>FICELLE ROUGE/NOIRE</t>
  </si>
  <si>
    <t>HISTORIQUE MENSUEL (nbre de mêlées vendues)</t>
  </si>
  <si>
    <t>SAUCISSON SEC dinde et bœuf HALAL GROSSES PIECES (+/- 2,8 kgs)</t>
  </si>
  <si>
    <t>SAUCISSON SEC dinde et bœuf HALRIZO 200 grs</t>
  </si>
  <si>
    <t>SAUCISSON SEC dinde et bœuf HALRIZO GROSSES PIECES (+/-2,8 kgs)</t>
  </si>
  <si>
    <t>SAUCISSON SEC dinde et bœuf HALAL 3/350 GRS BN NATURE</t>
  </si>
  <si>
    <t>SAUCISSON SEC dinde et bœuf HALAL 3/350 GRS BN PIMENTE</t>
  </si>
  <si>
    <t>Poids Frais x0,61 = poids sec</t>
  </si>
  <si>
    <t>Mise en fabrication Semaine 01, Dispo en Semaine 04</t>
  </si>
  <si>
    <t>s25</t>
  </si>
  <si>
    <t>JUIN</t>
  </si>
  <si>
    <t>JUILLET</t>
  </si>
  <si>
    <t>JUIN :</t>
  </si>
  <si>
    <t xml:space="preserve">JUILLET : </t>
  </si>
  <si>
    <t xml:space="preserve">AOUT : </t>
  </si>
  <si>
    <t>s.22</t>
  </si>
  <si>
    <t>s.23</t>
  </si>
  <si>
    <t>s.24</t>
  </si>
  <si>
    <t>s.25</t>
  </si>
  <si>
    <t>s.26</t>
  </si>
  <si>
    <t>s.27</t>
  </si>
  <si>
    <t>s.28</t>
  </si>
  <si>
    <t>s.29</t>
  </si>
  <si>
    <t>s.30</t>
  </si>
  <si>
    <t>s.31</t>
  </si>
  <si>
    <t>s.32</t>
  </si>
  <si>
    <t>s.33</t>
  </si>
  <si>
    <t>s.34</t>
  </si>
  <si>
    <t>Nbre de mêlées produites :</t>
  </si>
  <si>
    <t xml:space="preserve">Nbre de mêlées produites : </t>
  </si>
  <si>
    <t>VENTES SAUCISSON BEAUFORT 200g en 2021</t>
  </si>
  <si>
    <t>JANVIER</t>
  </si>
  <si>
    <t>FÉVRIER</t>
  </si>
  <si>
    <t>MARS</t>
  </si>
  <si>
    <t>AVRIL</t>
  </si>
  <si>
    <t>MAI</t>
  </si>
  <si>
    <t>AOÛT</t>
  </si>
  <si>
    <t>SEPTEMBRE</t>
  </si>
  <si>
    <t>OCTOBRE</t>
  </si>
  <si>
    <t>NOVEMBRE</t>
  </si>
  <si>
    <t>DÉCEMBRE</t>
  </si>
  <si>
    <t>VENTES SAUCISSON FROMAGE DE CHEVRE 200g en 2021</t>
  </si>
  <si>
    <t>VENTES SAUCISSON ROQUEFORT 200g en 2021</t>
  </si>
  <si>
    <t>VENTES SAUCIFLETTE 200g en 2021</t>
  </si>
  <si>
    <t>VENTES SAUCISSON NOISETTES 200g en 2021</t>
  </si>
  <si>
    <t>VENTES SAUCISSON NOIX 200g en 2021</t>
  </si>
  <si>
    <t>VENTES SAUCISSON CEPES 200g en 2021</t>
  </si>
  <si>
    <t>VENTES SAUCISSON GENEPI 200g en 2021</t>
  </si>
  <si>
    <t>VENTES SAUCISSON MYRTILLES 200g en 2021</t>
  </si>
  <si>
    <t>VENTES SAUCISSON OLIVES 200g en 2021</t>
  </si>
  <si>
    <t>VENTES SAUCISSON HERBES INTERIEURES 200g en 2021</t>
  </si>
  <si>
    <t>VENTES SAUCISSON FIGUES 200g en 2021</t>
  </si>
  <si>
    <t>VENTES SAUCISSON FENOUIL 200g en 2021</t>
  </si>
  <si>
    <t>VENTES SAUCISSON PIMENTÉ 200g en 2021</t>
  </si>
  <si>
    <t>VENTES SAUCISSON AIL 200g en 2021</t>
  </si>
  <si>
    <t>VENTES SAUCISSON SANGLIER 200g en 2021</t>
  </si>
  <si>
    <t>VENTES SAUCISSON CANARD 200g en 2021</t>
  </si>
  <si>
    <t>VENTES SAUCISSON CERF 200g en 2021</t>
  </si>
  <si>
    <t>VENTES SAUCISSON LAVANDE 200g en 2021</t>
  </si>
  <si>
    <t>VENTES SAUCISSON BEAUFORT 200g en 2022</t>
  </si>
  <si>
    <t>VENTES SAUCISSON FROMAGE DE CHEVRE 200g en 2022</t>
  </si>
  <si>
    <t>VENTES SAUCISSON ROQUEFORT 200g en 2022</t>
  </si>
  <si>
    <t>VENTES SAUCIFLETTE 200g en 2022</t>
  </si>
  <si>
    <t>VENTES SAUCISSON NOISETTES 200g en 2022</t>
  </si>
  <si>
    <t>VENTES SAUCISSON NOIX 200g en 2022</t>
  </si>
  <si>
    <t>VENTES SAUCISSON CEPES 200g en 2022</t>
  </si>
  <si>
    <t>VENTES SAUCISSON GENEPI 200g en 2022</t>
  </si>
  <si>
    <t>VENTES SAUCISSON MYRTILLES 200g en 2022</t>
  </si>
  <si>
    <t>VENTES SAUCISSON OLIVES 200g en 2022</t>
  </si>
  <si>
    <t>VENTES SAUCISSON HERBES INTERIEURES 200g en 2022</t>
  </si>
  <si>
    <t>VENTES SAUCISSON FIGUES 200g en 2022</t>
  </si>
  <si>
    <t>VENTES SAUCISSON FENOUIL 200g en 2022</t>
  </si>
  <si>
    <t>VENTES SAUCISSON PIMENTÉ 200g en 2022</t>
  </si>
  <si>
    <t>VENTES SAUCISSON AIL 200g en 2022</t>
  </si>
  <si>
    <t>VENTES SAUCISSON LAVANDE 200g en 2022</t>
  </si>
  <si>
    <t>VENTES SAUCISSON SANGLIER 200g en 2022</t>
  </si>
  <si>
    <t>VENTES SAUCISSON CANARD 200g en 2022</t>
  </si>
  <si>
    <t>VENTES SAUCISSON CERF 200g en 2022</t>
  </si>
  <si>
    <t>PRODUCTION DE SAUCISSON BN 200 NATURE + SPÉCIALITÉS EN 2021</t>
  </si>
  <si>
    <t>Sanglier HM KG</t>
  </si>
  <si>
    <t>Canard HM KG</t>
  </si>
  <si>
    <t>Noix HM KG</t>
  </si>
  <si>
    <t>Tomme Brebis HM KG</t>
  </si>
  <si>
    <t>Piment Espelette HM KG</t>
  </si>
  <si>
    <t>SAG 3/400</t>
  </si>
  <si>
    <t>FICELLE VERTE</t>
  </si>
  <si>
    <t>1 mêlée =+/- 110 pièces</t>
  </si>
  <si>
    <t>s,33</t>
  </si>
  <si>
    <t>s,34</t>
  </si>
  <si>
    <t>Vente Lundi-Mardi- Mercredi</t>
  </si>
  <si>
    <t>s,35</t>
  </si>
  <si>
    <t>s,36</t>
  </si>
  <si>
    <t>cepes 3-400 Grs DELIEUZE</t>
  </si>
  <si>
    <t>Canard 3-400 Grs DELIEUZE</t>
  </si>
  <si>
    <t>Roquefort 3-400 grs DELIEUZE</t>
  </si>
  <si>
    <t>917GCE</t>
  </si>
  <si>
    <t>911G</t>
  </si>
  <si>
    <t>TERRINE 180 GRS PLATEAUX 12 LOTS</t>
  </si>
  <si>
    <t>918 G</t>
  </si>
  <si>
    <t>nb plateaux</t>
  </si>
  <si>
    <t>nb terrines
RECUS</t>
  </si>
  <si>
    <t>DLV</t>
  </si>
  <si>
    <t>nb plat rest</t>
  </si>
  <si>
    <t>lapin</t>
  </si>
  <si>
    <t>canard</t>
  </si>
  <si>
    <t>TE 523/TE 704</t>
  </si>
  <si>
    <t>TE 523/TE 713</t>
  </si>
  <si>
    <t>nb lots</t>
  </si>
  <si>
    <t>nombre plateaux x 12 terrines</t>
  </si>
  <si>
    <t>TERRINE CAMP/LAPIN lot de 2</t>
  </si>
  <si>
    <t>TERRINE CAMP/CANARD lot de 2</t>
  </si>
  <si>
    <t>nb lots x2 rest</t>
  </si>
  <si>
    <t>lots restant</t>
  </si>
  <si>
    <t>NB LOTS</t>
  </si>
  <si>
    <t>nb restante TERRINE</t>
  </si>
  <si>
    <t>NOMBRE TERRINES (PLATEAU DE 12)</t>
  </si>
  <si>
    <t>LOT 2 terrines camp/lapin</t>
  </si>
  <si>
    <t>LOT 2 terrines camp/canard</t>
  </si>
  <si>
    <t>CODE FACTURE X 1</t>
  </si>
  <si>
    <t>lot x 2</t>
  </si>
  <si>
    <t>plateaux</t>
  </si>
  <si>
    <t>terrines</t>
  </si>
  <si>
    <t>nb colis  X 12</t>
  </si>
  <si>
    <t>1-4/4</t>
  </si>
  <si>
    <t>RESERVE SIRIGU</t>
  </si>
  <si>
    <t>TRUFFE SIRIGU</t>
  </si>
  <si>
    <t>MAROILLES SIRIGU</t>
  </si>
  <si>
    <t>poids</t>
  </si>
  <si>
    <t>135G</t>
  </si>
  <si>
    <t>FAIRE PAR DEMI-MELÉE, toutes les 3 ou 4 semaines</t>
  </si>
  <si>
    <t>FAIRE PAR DEMI-MELÉE, toutes les 2 ou 3 semaines environ</t>
  </si>
  <si>
    <t>1/3</t>
  </si>
  <si>
    <t>2-3/3</t>
  </si>
  <si>
    <t>138G</t>
  </si>
  <si>
    <t xml:space="preserve">                                        </t>
  </si>
  <si>
    <t>HG 7-800 ARTISANAL</t>
  </si>
  <si>
    <t>colis</t>
  </si>
  <si>
    <t>S52</t>
  </si>
  <si>
    <t>360011</t>
  </si>
  <si>
    <t>Cerf 15%</t>
  </si>
  <si>
    <t>TAUREAU 15%</t>
  </si>
  <si>
    <t>3-6/6</t>
  </si>
  <si>
    <t>S01</t>
  </si>
  <si>
    <t>4001</t>
  </si>
  <si>
    <t>S04</t>
  </si>
  <si>
    <t>233066</t>
  </si>
  <si>
    <t>Comptage vendredi 03/2</t>
  </si>
  <si>
    <t>s06</t>
  </si>
  <si>
    <t>371022</t>
  </si>
  <si>
    <t>25-30/30</t>
  </si>
  <si>
    <t>S07</t>
  </si>
  <si>
    <t>44011</t>
  </si>
  <si>
    <t>S08</t>
  </si>
  <si>
    <t>VENTES SAUCISSON TAUREAU 200g en 2021</t>
  </si>
  <si>
    <t>VENTES SAUCISSON TAUREAU 200g en 2022</t>
  </si>
  <si>
    <t>1-6/6</t>
  </si>
  <si>
    <t>AIL</t>
  </si>
  <si>
    <t>SALOIR PERIGORD</t>
  </si>
  <si>
    <t>40008</t>
  </si>
  <si>
    <t>AIL DES OURS</t>
  </si>
  <si>
    <t>123G</t>
  </si>
  <si>
    <t>VENTES SAUCISSON AIL DES OURS 200g en 2021</t>
  </si>
  <si>
    <t>VENTES SAUCISSON AIL DES OURS 200g en 2022</t>
  </si>
  <si>
    <t>FICELLE JAUNE</t>
  </si>
  <si>
    <t>S13</t>
  </si>
  <si>
    <t>861066</t>
  </si>
  <si>
    <t xml:space="preserve">Fenouil </t>
  </si>
  <si>
    <t>vendus</t>
  </si>
  <si>
    <t>restants</t>
  </si>
  <si>
    <t>1-5/5</t>
  </si>
  <si>
    <t>Durée d'affinage</t>
  </si>
  <si>
    <t>SPECIALITE SEC dinde et bœuf  HALAL 200 grs</t>
  </si>
  <si>
    <t>&gt; 3S / 4S</t>
  </si>
  <si>
    <t>&gt; 5S / 7S</t>
  </si>
  <si>
    <t>&gt; 4S</t>
  </si>
  <si>
    <t xml:space="preserve">&gt; 5S / 7S </t>
  </si>
  <si>
    <t>&gt; 6S / 8S</t>
  </si>
  <si>
    <t>2S / 3S</t>
  </si>
  <si>
    <t>&gt; 4S / 6S</t>
  </si>
  <si>
    <t>6S / 8S</t>
  </si>
  <si>
    <t>filet mignon séché</t>
  </si>
  <si>
    <t>Filet mignon séché</t>
  </si>
  <si>
    <t>s16</t>
  </si>
  <si>
    <t>109011</t>
  </si>
  <si>
    <t>s17</t>
  </si>
  <si>
    <t>essai assaisonnement india</t>
  </si>
  <si>
    <t>40017</t>
  </si>
  <si>
    <t>s18</t>
  </si>
  <si>
    <t>9-10/20</t>
  </si>
  <si>
    <t>12270820</t>
  </si>
  <si>
    <t>nat 7-8/20</t>
  </si>
  <si>
    <t>s20</t>
  </si>
  <si>
    <t>S20</t>
  </si>
  <si>
    <t>136011</t>
  </si>
  <si>
    <t>137011</t>
  </si>
  <si>
    <t>S21</t>
  </si>
  <si>
    <t>1-3/8</t>
  </si>
  <si>
    <t>4/8</t>
  </si>
  <si>
    <t>5-8/8</t>
  </si>
  <si>
    <t>1421038</t>
  </si>
  <si>
    <t>142048</t>
  </si>
  <si>
    <t>1425088</t>
  </si>
  <si>
    <t>1421022</t>
  </si>
  <si>
    <t>142011</t>
  </si>
  <si>
    <t>144011</t>
  </si>
  <si>
    <t>FICELLE BLEU ET JAUNE</t>
  </si>
  <si>
    <t>FICELLE ECRU</t>
  </si>
  <si>
    <t>S22</t>
  </si>
  <si>
    <t>150011</t>
  </si>
  <si>
    <t>A faire avec 650, si possible</t>
  </si>
  <si>
    <t>A faire avec droite 250g, si possible</t>
  </si>
  <si>
    <t>s22</t>
  </si>
  <si>
    <t>153011</t>
  </si>
  <si>
    <t>s23</t>
  </si>
  <si>
    <t>1/2/2</t>
  </si>
  <si>
    <t>1561022</t>
  </si>
  <si>
    <t>127G</t>
  </si>
  <si>
    <t>129G</t>
  </si>
  <si>
    <t>PINEAU - BESCHEMIN</t>
  </si>
  <si>
    <t>COGNAC - BESCHEMIN</t>
  </si>
  <si>
    <t>158011</t>
  </si>
  <si>
    <t>S24</t>
  </si>
  <si>
    <t>1-2/5</t>
  </si>
  <si>
    <t>4-5/5</t>
  </si>
  <si>
    <t>1634055</t>
  </si>
  <si>
    <t>163013</t>
  </si>
  <si>
    <t>1632033</t>
  </si>
  <si>
    <t>1-7/7</t>
  </si>
  <si>
    <t>1631077</t>
  </si>
  <si>
    <t>164011</t>
  </si>
  <si>
    <t>s24</t>
  </si>
  <si>
    <t>166011</t>
  </si>
  <si>
    <t>1661022</t>
  </si>
  <si>
    <t>S25</t>
  </si>
  <si>
    <t>1701044</t>
  </si>
  <si>
    <t>1702033</t>
  </si>
  <si>
    <t>1-2/3</t>
  </si>
  <si>
    <t>3/3</t>
  </si>
  <si>
    <t>17210630</t>
  </si>
  <si>
    <t>1733011</t>
  </si>
  <si>
    <t>173011</t>
  </si>
  <si>
    <t>21-24/30</t>
  </si>
  <si>
    <t>25-26/30</t>
  </si>
  <si>
    <t>27-30/30</t>
  </si>
  <si>
    <t xml:space="preserve">Moyenne : </t>
  </si>
  <si>
    <t>S26</t>
  </si>
  <si>
    <t>178011</t>
  </si>
  <si>
    <t>1-5/5 SOLDE</t>
  </si>
  <si>
    <t>1791055</t>
  </si>
  <si>
    <t>1791022</t>
  </si>
  <si>
    <t>179011</t>
  </si>
  <si>
    <t>nat 1-6/30</t>
  </si>
  <si>
    <t>HISTORIQUE MENSUEL vente en kg</t>
  </si>
  <si>
    <t>moyenne</t>
  </si>
  <si>
    <t>prévision vente mensuel</t>
  </si>
  <si>
    <t>total mois</t>
  </si>
  <si>
    <t>moy</t>
  </si>
  <si>
    <t>M</t>
  </si>
  <si>
    <t>180011</t>
  </si>
  <si>
    <t>17-18/30</t>
  </si>
  <si>
    <t>19-22/30</t>
  </si>
  <si>
    <t>23-24/30</t>
  </si>
  <si>
    <t>S27P</t>
  </si>
  <si>
    <t>181192230</t>
  </si>
  <si>
    <t>181232430</t>
  </si>
  <si>
    <t>62,76 kgs</t>
  </si>
  <si>
    <t>68,36 kgs</t>
  </si>
  <si>
    <t>184253030</t>
  </si>
  <si>
    <t>s27</t>
  </si>
  <si>
    <t>1841022</t>
  </si>
  <si>
    <t>S27</t>
  </si>
  <si>
    <t>185011</t>
  </si>
  <si>
    <t>1851033</t>
  </si>
  <si>
    <t>19-20/30</t>
  </si>
  <si>
    <t>1861055</t>
  </si>
  <si>
    <t>1871033</t>
  </si>
  <si>
    <t>1871022</t>
  </si>
  <si>
    <t>187011</t>
  </si>
  <si>
    <t>1881022</t>
  </si>
  <si>
    <t>188171830</t>
  </si>
  <si>
    <t>188192030</t>
  </si>
  <si>
    <t>S28P</t>
  </si>
  <si>
    <t>PINEAU</t>
  </si>
  <si>
    <t>COGNAC</t>
  </si>
  <si>
    <t>191212430</t>
  </si>
  <si>
    <t>191252630</t>
  </si>
  <si>
    <t>191272830</t>
  </si>
  <si>
    <t>solde 27-30/30</t>
  </si>
  <si>
    <t>s28p</t>
  </si>
  <si>
    <t>s28</t>
  </si>
  <si>
    <t>191011</t>
  </si>
  <si>
    <t>1911033</t>
  </si>
  <si>
    <t>nature 200 + myrtilles jus de myrtilles</t>
  </si>
  <si>
    <t>192293030</t>
  </si>
  <si>
    <t>1-8/20</t>
  </si>
  <si>
    <t>solde 1-8/20</t>
  </si>
  <si>
    <t>19210820</t>
  </si>
  <si>
    <t>30 pces rosettte kg</t>
  </si>
  <si>
    <t>nat 1-8/20</t>
  </si>
  <si>
    <t>1921023</t>
  </si>
  <si>
    <t>192033</t>
  </si>
  <si>
    <t>192011</t>
  </si>
  <si>
    <t>1921022</t>
  </si>
  <si>
    <t>11-18/20</t>
  </si>
  <si>
    <t>19-20/20</t>
  </si>
  <si>
    <t>1931022</t>
  </si>
  <si>
    <t>193011</t>
  </si>
  <si>
    <t>19310820</t>
  </si>
  <si>
    <t>solde 11-18/20</t>
  </si>
  <si>
    <t>19391020</t>
  </si>
  <si>
    <t>193111820</t>
  </si>
  <si>
    <t>194011</t>
  </si>
  <si>
    <t>194111820</t>
  </si>
  <si>
    <t>194192020</t>
  </si>
  <si>
    <t>S-3</t>
  </si>
  <si>
    <t>S-2</t>
  </si>
  <si>
    <t>S</t>
  </si>
  <si>
    <t>S29</t>
  </si>
  <si>
    <t>1-3/4</t>
  </si>
  <si>
    <t>1981034</t>
  </si>
  <si>
    <t>4/4</t>
  </si>
  <si>
    <t>198044</t>
  </si>
  <si>
    <t>s31</t>
  </si>
  <si>
    <t>2121066</t>
  </si>
  <si>
    <t>1981033</t>
  </si>
  <si>
    <t>1-2/4</t>
  </si>
  <si>
    <t>2121024</t>
  </si>
  <si>
    <t>3/4</t>
  </si>
  <si>
    <t>212034</t>
  </si>
  <si>
    <t>212044</t>
  </si>
  <si>
    <t>s30</t>
  </si>
  <si>
    <t>205011</t>
  </si>
  <si>
    <t>1991022</t>
  </si>
  <si>
    <t>2061022</t>
  </si>
  <si>
    <t>1,5/1,5</t>
  </si>
  <si>
    <t>2071022</t>
  </si>
  <si>
    <t>s29</t>
  </si>
  <si>
    <t>1-2/28</t>
  </si>
  <si>
    <t>19910228</t>
  </si>
  <si>
    <t>3-4/28</t>
  </si>
  <si>
    <t>19930428</t>
  </si>
  <si>
    <t>5-6/28</t>
  </si>
  <si>
    <t>20050628</t>
  </si>
  <si>
    <t>7-8/28</t>
  </si>
  <si>
    <t>19970828</t>
  </si>
  <si>
    <t>9-10/28</t>
  </si>
  <si>
    <t>200901028</t>
  </si>
  <si>
    <t>11-16/28</t>
  </si>
  <si>
    <t>200111628</t>
  </si>
  <si>
    <t>17-18/28</t>
  </si>
  <si>
    <t>200171828</t>
  </si>
  <si>
    <t>19-24/28</t>
  </si>
  <si>
    <t>200192428</t>
  </si>
  <si>
    <t>19-24/28 SOLDE</t>
  </si>
  <si>
    <t>2011902428</t>
  </si>
  <si>
    <t>25-26/28</t>
  </si>
  <si>
    <t>201252628</t>
  </si>
  <si>
    <t>27-28/28</t>
  </si>
  <si>
    <t>2012702828</t>
  </si>
  <si>
    <t>20510228</t>
  </si>
  <si>
    <t>30630428</t>
  </si>
  <si>
    <t>20650628</t>
  </si>
  <si>
    <t>20670828</t>
  </si>
  <si>
    <t>9-12/28</t>
  </si>
  <si>
    <t>20791228</t>
  </si>
  <si>
    <t>13-14/28</t>
  </si>
  <si>
    <t>207131428</t>
  </si>
  <si>
    <t>15-16/28</t>
  </si>
  <si>
    <t>208151628</t>
  </si>
  <si>
    <t>17-22/28</t>
  </si>
  <si>
    <t>208172228</t>
  </si>
  <si>
    <t>solde 17-22/28</t>
  </si>
  <si>
    <t>209172228</t>
  </si>
  <si>
    <t>S31P</t>
  </si>
  <si>
    <t>23-28/28</t>
  </si>
  <si>
    <t>droit bœuf</t>
  </si>
  <si>
    <t>208011</t>
  </si>
  <si>
    <t>1981022</t>
  </si>
  <si>
    <t>2081066</t>
  </si>
  <si>
    <t>s30p</t>
  </si>
  <si>
    <t>2051022</t>
  </si>
  <si>
    <t>s31p</t>
  </si>
  <si>
    <t>202011</t>
  </si>
  <si>
    <t>2021022</t>
  </si>
  <si>
    <t>2091022</t>
  </si>
  <si>
    <t>201011</t>
  </si>
  <si>
    <t>27/07/2023 : retour de colis. Lot recomptabilisé dans les stocks</t>
  </si>
  <si>
    <t>209011</t>
  </si>
  <si>
    <t>cde ferme</t>
  </si>
  <si>
    <t>5S</t>
  </si>
  <si>
    <t>S31</t>
  </si>
  <si>
    <t>213011</t>
  </si>
  <si>
    <t>2131022</t>
  </si>
  <si>
    <t>ESSAI BN</t>
  </si>
  <si>
    <t>213232828</t>
  </si>
  <si>
    <t>DROIT DE BŒUF</t>
  </si>
  <si>
    <t>214011</t>
  </si>
  <si>
    <t>2141022</t>
  </si>
  <si>
    <t>1-6/20</t>
  </si>
  <si>
    <t>21410620</t>
  </si>
  <si>
    <t>7-8/20</t>
  </si>
  <si>
    <t>9-14/20</t>
  </si>
  <si>
    <t>15-16/20</t>
  </si>
  <si>
    <t>3-5/5</t>
  </si>
  <si>
    <t>2151025</t>
  </si>
  <si>
    <t>2153055</t>
  </si>
  <si>
    <t>215011</t>
  </si>
  <si>
    <t>21570820</t>
  </si>
  <si>
    <t>SOLDE 9-14/20</t>
  </si>
  <si>
    <t>21591420</t>
  </si>
  <si>
    <t>216011</t>
  </si>
  <si>
    <t>2161022</t>
  </si>
  <si>
    <t>17-18/20</t>
  </si>
  <si>
    <t>S32P</t>
  </si>
  <si>
    <t>21691420</t>
  </si>
  <si>
    <t>216151620</t>
  </si>
  <si>
    <t>declasse 35 pces</t>
  </si>
  <si>
    <t>231026</t>
  </si>
  <si>
    <t>219171820</t>
  </si>
  <si>
    <t>219192020</t>
  </si>
  <si>
    <t>S32</t>
  </si>
  <si>
    <t>219011</t>
  </si>
  <si>
    <t>2191033</t>
  </si>
  <si>
    <t>s32p</t>
  </si>
  <si>
    <t>2201022</t>
  </si>
  <si>
    <t>s32</t>
  </si>
  <si>
    <t>22010820</t>
  </si>
  <si>
    <t>11-12/20</t>
  </si>
  <si>
    <t>13-14/20</t>
  </si>
  <si>
    <t>220011</t>
  </si>
  <si>
    <t>2201025</t>
  </si>
  <si>
    <t>solde 1-2/5</t>
  </si>
  <si>
    <t>2211025</t>
  </si>
  <si>
    <t>2213055</t>
  </si>
  <si>
    <t>2211022</t>
  </si>
  <si>
    <t>17-20/20</t>
  </si>
  <si>
    <t>221011</t>
  </si>
  <si>
    <t>2221024</t>
  </si>
  <si>
    <t>2223044</t>
  </si>
  <si>
    <t>3-4/4</t>
  </si>
  <si>
    <t>22210820</t>
  </si>
  <si>
    <t>22291020</t>
  </si>
  <si>
    <t>222111220</t>
  </si>
  <si>
    <t>solde 17-20/20</t>
  </si>
  <si>
    <t>s33p</t>
  </si>
  <si>
    <t>223131420</t>
  </si>
  <si>
    <t>223151620</t>
  </si>
  <si>
    <t>223172020</t>
  </si>
  <si>
    <t>223011</t>
  </si>
  <si>
    <t>2231022</t>
  </si>
  <si>
    <t>Procédure Mise à Jour STOCK PRODUITS FINIS</t>
  </si>
  <si>
    <t>MERCREDI</t>
  </si>
  <si>
    <t>JEUDI</t>
  </si>
  <si>
    <t>VENDREDI</t>
  </si>
  <si>
    <t>16h30 - Saisie des mêlées embossées ce jour</t>
  </si>
  <si>
    <t>11h30 - Saisie des mêlées embossées ce jour</t>
  </si>
  <si>
    <t>16h50 - Mise à jour de l'historique de ventes mensuel (en mêlées)</t>
  </si>
  <si>
    <t>MATIN - Mise à jour du stock produits finis à fin s-1, avec contrôle stock physique (comptage par préparateur de commandes et stock théorique (stock "restant en fin de semaine" - à droite case en verte)</t>
  </si>
  <si>
    <t>MATIN - Ventes "mercredi-jeudi-vendredi" à déplacer dans "S-1 mercredi-jeudi-vendredi " + Effacer donnée dans ventes "lundi-mardi"</t>
  </si>
  <si>
    <t xml:space="preserve">AUTOMATISATION EN PLACE : </t>
  </si>
  <si>
    <t>Cliquer sur Bouton "bougez mec-jeu-ven à droite"</t>
  </si>
  <si>
    <t>Cliquer sur Bouton "Bougez mêlées"</t>
  </si>
  <si>
    <t>16h45 - Saisie des ventes "lundi" pour Saucissons à Cuire + Jambons + Terrines, à partir des données du logiciel de facturation clients</t>
  </si>
  <si>
    <t>11h45 - Saisie des ventes "mardi-mercredi-jeudi-vendredi" pour Jambons + Terrines, à partir des données du logiciel de facturation clients</t>
  </si>
  <si>
    <t>11h45 - Saisie des ventes "mercredi-jeudi-vendredi" à partir des données du logiciel de facturation clients [Sauf A cuire, Jambons, Terrines]</t>
  </si>
  <si>
    <t>16h45 - Saisie des ventes "lundi-mardi", à partir des données du logiciel de facturation clients [Sauf A cuire, Jambons, Terrines]</t>
  </si>
  <si>
    <t>16h45 - Saisie des ventes "mardi" pour Saucissons à Cuire, à partir des données du logiciel de facturation clients</t>
  </si>
  <si>
    <t>16h45 - Saisie des ventes "mercredi" pour Saucissons à Cuire, à partir des données du logiciel de facturation clients</t>
  </si>
  <si>
    <t>16h45 - Saisie des ventes "jeudi" pour Saucissons à Cuire, à partir des données du logiciel de facturation clients</t>
  </si>
  <si>
    <t>Comptage vendredi 11/8</t>
  </si>
  <si>
    <t>114*12</t>
  </si>
  <si>
    <t>LECLERC</t>
  </si>
  <si>
    <t>226011</t>
  </si>
  <si>
    <t>2261022</t>
  </si>
  <si>
    <t>s33</t>
  </si>
  <si>
    <t>2281022</t>
  </si>
  <si>
    <t>228011</t>
  </si>
  <si>
    <t>2281033</t>
  </si>
  <si>
    <t>228172020</t>
  </si>
  <si>
    <t>1-4/15</t>
  </si>
  <si>
    <t>22910415</t>
  </si>
  <si>
    <t>5-6/15</t>
  </si>
  <si>
    <t>7-8/15</t>
  </si>
  <si>
    <t>9-12/15</t>
  </si>
  <si>
    <t>13-14/15</t>
  </si>
  <si>
    <t>15/15</t>
  </si>
  <si>
    <t>22950615</t>
  </si>
  <si>
    <t>sold e1-3/3</t>
  </si>
  <si>
    <t>2291033</t>
  </si>
  <si>
    <t>1-4/6</t>
  </si>
  <si>
    <t>5-6/6</t>
  </si>
  <si>
    <t>2291046</t>
  </si>
  <si>
    <t>2295066</t>
  </si>
  <si>
    <t>13 pces</t>
  </si>
  <si>
    <t>230011</t>
  </si>
  <si>
    <t>s34p</t>
  </si>
  <si>
    <t>2301022</t>
  </si>
  <si>
    <t>solde 1-2/2</t>
  </si>
  <si>
    <t>reste 1,5</t>
  </si>
  <si>
    <t>s,28 OK</t>
  </si>
  <si>
    <t>s,30 OK</t>
  </si>
  <si>
    <t>s,31 OK</t>
  </si>
  <si>
    <t xml:space="preserve">NON </t>
  </si>
  <si>
    <t>s,17 OK</t>
  </si>
  <si>
    <t>NON</t>
  </si>
  <si>
    <t>s,30 A VOIR</t>
  </si>
  <si>
    <t>s,24 A VOIR</t>
  </si>
  <si>
    <t>s,29 OK</t>
  </si>
  <si>
    <t>s,27 OK</t>
  </si>
  <si>
    <t>s,26 OK</t>
  </si>
  <si>
    <t>declasse 26 pces</t>
  </si>
  <si>
    <t>declasse 28 pces</t>
  </si>
  <si>
    <t>1711022</t>
  </si>
  <si>
    <t>9-10/30</t>
  </si>
  <si>
    <t>18691030</t>
  </si>
  <si>
    <t>Enrobé : 353 pièces</t>
  </si>
  <si>
    <t>714 - 26</t>
  </si>
  <si>
    <t>472 - 26 + 27</t>
  </si>
  <si>
    <t>-3 -8</t>
  </si>
  <si>
    <t>?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</si>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</sst>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0.0"/>
    <numFmt numFmtId="167" formatCode="_-* #,##0.00\ _€_-;\-* #,##0.00\ _€_-;_-* &quot;-&quot;??\ _€_-;_-@_-"/>
    <numFmt numFmtId="168" formatCode="_-* #,##0\ _€_-;\-* #,##0\ _€_-;_-* &quot;-&quot;??\ _€_-;_-@_-"/>
    <numFmt numFmtId="169" formatCode="0.000"/>
    <numFmt numFmtId="170" formatCode="_-* #,##0.0_-;\-* #,##0.0_-;_-* &quot;-&quot;??_-;_-@_-"/>
    <numFmt numFmtId="171" formatCode="#,##0.00_ ;\-#,##0.00\ "/>
  </numFmts>
  <fonts count="117">
    <font>
      <sz val="11"/>
      <color theme="1"/>
      <name val="Calibri"/>
      <family val="2"/>
      <scheme val="minor"/>
    </font>
    <font>
      <b/>
      <sz val="11"/>
      <name val="Traditional Arabic"/>
      <family val="1"/>
    </font>
    <font>
      <b/>
      <sz val="10"/>
      <name val="Traditional Arabic"/>
      <family val="1"/>
    </font>
    <font>
      <b/>
      <sz val="11"/>
      <color theme="1"/>
      <name val="Traditional Arabic"/>
      <family val="1"/>
    </font>
    <font>
      <sz val="11"/>
      <color theme="1"/>
      <name val="Traditional Arabic"/>
      <family val="1"/>
    </font>
    <font>
      <sz val="10"/>
      <color theme="1"/>
      <name val="Traditional Arabic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raditional Arabic"/>
      <family val="1"/>
    </font>
    <font>
      <b/>
      <sz val="12"/>
      <name val="Traditional Arabic"/>
      <family val="1"/>
    </font>
    <font>
      <sz val="12"/>
      <color theme="1"/>
      <name val="Traditional Arabic"/>
      <family val="1"/>
    </font>
    <font>
      <sz val="12"/>
      <color theme="1" tint="0.499984740745262"/>
      <name val="Traditional Arabic"/>
      <family val="1"/>
    </font>
    <font>
      <b/>
      <sz val="12"/>
      <color theme="1"/>
      <name val="Traditional Arabic"/>
      <family val="1"/>
    </font>
    <font>
      <sz val="48"/>
      <color theme="1"/>
      <name val="Calibri"/>
      <family val="2"/>
      <scheme val="minor"/>
    </font>
    <font>
      <sz val="12"/>
      <color rgb="FF0000FF"/>
      <name val="Traditional Arabic"/>
      <family val="1"/>
    </font>
    <font>
      <b/>
      <sz val="16"/>
      <name val="Traditional Arabic"/>
      <family val="1"/>
    </font>
    <font>
      <b/>
      <sz val="11"/>
      <color rgb="FF0070C0"/>
      <name val="Traditional Arabic"/>
      <family val="1"/>
    </font>
    <font>
      <sz val="12"/>
      <name val="Traditional Arabic"/>
      <family val="1"/>
    </font>
    <font>
      <sz val="12"/>
      <color theme="1"/>
      <name val="Calibri"/>
      <family val="2"/>
      <scheme val="minor"/>
    </font>
    <font>
      <sz val="12"/>
      <color rgb="FF0070C0"/>
      <name val="Traditional Arabic"/>
      <family val="1"/>
    </font>
    <font>
      <b/>
      <i/>
      <sz val="12"/>
      <name val="Traditional Arabic"/>
      <family val="1"/>
    </font>
    <font>
      <b/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FF0000"/>
      <name val="Traditional Arabic"/>
      <family val="1"/>
    </font>
    <font>
      <b/>
      <i/>
      <sz val="12"/>
      <color theme="1"/>
      <name val="Traditional Arabic"/>
      <family val="1"/>
    </font>
    <font>
      <i/>
      <sz val="12"/>
      <color theme="1" tint="0.499984740745262"/>
      <name val="Traditional Arabic"/>
      <family val="1"/>
    </font>
    <font>
      <sz val="12"/>
      <color rgb="FFFF0000"/>
      <name val="Traditional Arabic"/>
      <family val="1"/>
    </font>
    <font>
      <sz val="12"/>
      <color theme="2" tint="-0.89999084444715716"/>
      <name val="Traditional Arabic"/>
      <family val="1"/>
    </font>
    <font>
      <sz val="12"/>
      <color theme="2" tint="-0.749992370372631"/>
      <name val="Traditional Arabic"/>
      <family val="1"/>
    </font>
    <font>
      <sz val="10"/>
      <name val="Traditional Arabic"/>
      <family val="1"/>
    </font>
    <font>
      <u/>
      <sz val="12"/>
      <name val="Traditional Arabic"/>
      <family val="1"/>
    </font>
    <font>
      <u/>
      <sz val="12"/>
      <color theme="1"/>
      <name val="Traditional Arabic"/>
      <family val="1"/>
    </font>
    <font>
      <b/>
      <sz val="12"/>
      <color rgb="FF0000FF"/>
      <name val="Traditional Arabic"/>
      <family val="1"/>
    </font>
    <font>
      <sz val="12"/>
      <color theme="1"/>
      <name val="Calisto MT"/>
      <family val="1"/>
    </font>
    <font>
      <sz val="48"/>
      <color theme="1"/>
      <name val="Traditional Arabic"/>
      <family val="1"/>
    </font>
    <font>
      <sz val="22"/>
      <color theme="1"/>
      <name val="Traditional Arabic"/>
      <family val="1"/>
    </font>
    <font>
      <sz val="9"/>
      <color theme="1" tint="0.499984740745262"/>
      <name val="Traditional Arabic"/>
      <family val="1"/>
    </font>
    <font>
      <u/>
      <sz val="12"/>
      <color theme="1" tint="0.499984740745262"/>
      <name val="Traditional Arabic"/>
      <family val="1"/>
    </font>
    <font>
      <sz val="14"/>
      <color theme="1"/>
      <name val="Calibri"/>
      <family val="2"/>
      <scheme val="minor"/>
    </font>
    <font>
      <b/>
      <sz val="14"/>
      <name val="Traditional Arabic"/>
      <family val="1"/>
    </font>
    <font>
      <sz val="14"/>
      <color theme="1"/>
      <name val="Traditional Arabic"/>
      <family val="1"/>
    </font>
    <font>
      <b/>
      <sz val="20"/>
      <color rgb="FFFF0000"/>
      <name val="Traditional Arabic"/>
      <family val="1"/>
    </font>
    <font>
      <sz val="16"/>
      <color theme="1"/>
      <name val="Traditional Arabic"/>
      <family val="1"/>
    </font>
    <font>
      <sz val="24"/>
      <color theme="1"/>
      <name val="Traditional Arabic"/>
      <family val="1"/>
    </font>
    <font>
      <b/>
      <sz val="8"/>
      <name val="Traditional Arabic"/>
      <family val="1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Traditional Arabic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00FF"/>
      <name val="Traditional Arabic"/>
      <family val="1"/>
    </font>
    <font>
      <b/>
      <sz val="14"/>
      <color rgb="FFC00000"/>
      <name val="Traditional Arabic"/>
      <family val="1"/>
    </font>
    <font>
      <sz val="12"/>
      <color rgb="FFC00000"/>
      <name val="Traditional Arabic"/>
      <family val="1"/>
    </font>
    <font>
      <b/>
      <i/>
      <sz val="12"/>
      <color rgb="FFFF0000"/>
      <name val="Traditional Arabic"/>
      <family val="1"/>
    </font>
    <font>
      <b/>
      <sz val="12"/>
      <color rgb="FFC00000"/>
      <name val="Traditional Arabic"/>
      <family val="1"/>
    </font>
    <font>
      <sz val="11"/>
      <color rgb="FFFF0000"/>
      <name val="Calibri"/>
      <family val="2"/>
      <scheme val="minor"/>
    </font>
    <font>
      <sz val="11"/>
      <color indexed="81"/>
      <name val="Traditional Arabic"/>
      <family val="1"/>
    </font>
    <font>
      <sz val="11"/>
      <name val="Calibri"/>
      <family val="2"/>
      <scheme val="minor"/>
    </font>
    <font>
      <sz val="28"/>
      <color theme="1"/>
      <name val="Calisto MT"/>
      <family val="1"/>
    </font>
    <font>
      <b/>
      <sz val="11"/>
      <color rgb="FFFF0000"/>
      <name val="Traditional Arabic"/>
      <family val="1"/>
    </font>
    <font>
      <sz val="11"/>
      <color rgb="FFFF0000"/>
      <name val="Traditional Arabic"/>
      <family val="1"/>
    </font>
    <font>
      <b/>
      <sz val="11"/>
      <color rgb="FFFF3300"/>
      <name val="Calibri"/>
      <family val="2"/>
      <scheme val="minor"/>
    </font>
    <font>
      <sz val="14"/>
      <color rgb="FFFF0000"/>
      <name val="Traditional Arabic"/>
      <family val="1"/>
    </font>
    <font>
      <sz val="14"/>
      <color rgb="FFFF0000"/>
      <name val="Calibri"/>
      <family val="2"/>
      <scheme val="minor"/>
    </font>
    <font>
      <sz val="16"/>
      <color theme="1" tint="0.499984740745262"/>
      <name val="Traditional Arabic"/>
      <family val="1"/>
    </font>
    <font>
      <b/>
      <sz val="16"/>
      <color theme="1"/>
      <name val="Traditional Arabic"/>
      <family val="1"/>
    </font>
    <font>
      <sz val="16"/>
      <name val="Traditional Arabic"/>
      <family val="1"/>
    </font>
    <font>
      <b/>
      <sz val="16"/>
      <color theme="1" tint="0.499984740745262"/>
      <name val="Traditional Arabic"/>
      <family val="1"/>
    </font>
    <font>
      <b/>
      <sz val="16"/>
      <color rgb="FF0000FF"/>
      <name val="Traditional Arabic"/>
      <family val="1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2" tint="-0.499984740745262"/>
      <name val="Traditional Arabic"/>
      <family val="1"/>
    </font>
    <font>
      <sz val="16"/>
      <color theme="2" tint="-0.89999084444715716"/>
      <name val="Traditional Arabic"/>
      <family val="1"/>
    </font>
    <font>
      <sz val="16"/>
      <color theme="2" tint="-0.749992370372631"/>
      <name val="Traditional Arabic"/>
      <family val="1"/>
    </font>
    <font>
      <sz val="16"/>
      <color rgb="FFFF0000"/>
      <name val="Traditional Arabic"/>
      <family val="1"/>
    </font>
    <font>
      <i/>
      <sz val="16"/>
      <color theme="1" tint="0.499984740745262"/>
      <name val="Traditional Arabic"/>
      <family val="1"/>
    </font>
    <font>
      <b/>
      <i/>
      <sz val="16"/>
      <color theme="1" tint="0.499984740745262"/>
      <name val="Traditional Arabic"/>
      <family val="1"/>
    </font>
    <font>
      <sz val="16"/>
      <name val="Calibri"/>
      <family val="2"/>
      <scheme val="minor"/>
    </font>
    <font>
      <sz val="16"/>
      <color rgb="FF0000FF"/>
      <name val="Calibri"/>
      <family val="2"/>
      <scheme val="minor"/>
    </font>
    <font>
      <u/>
      <sz val="16"/>
      <name val="Traditional Arabic"/>
      <family val="1"/>
    </font>
    <font>
      <b/>
      <u/>
      <sz val="16"/>
      <color theme="1" tint="0.499984740745262"/>
      <name val="Traditional Arabic"/>
      <family val="1"/>
    </font>
    <font>
      <u/>
      <sz val="16"/>
      <color theme="1" tint="0.499984740745262"/>
      <name val="Traditional Arabic"/>
      <family val="1"/>
    </font>
    <font>
      <b/>
      <sz val="16"/>
      <color theme="0" tint="-0.34998626667073579"/>
      <name val="Traditional Arabic"/>
      <family val="1"/>
    </font>
    <font>
      <sz val="16"/>
      <color theme="0" tint="-0.499984740745262"/>
      <name val="Traditional Arabic"/>
      <family val="1"/>
    </font>
    <font>
      <b/>
      <sz val="16"/>
      <color theme="2" tint="-0.89999084444715716"/>
      <name val="Traditional Arabic"/>
      <family val="1"/>
    </font>
    <font>
      <sz val="12"/>
      <color rgb="FF0000FF"/>
      <name val="Calibri"/>
      <family val="2"/>
      <scheme val="minor"/>
    </font>
    <font>
      <b/>
      <sz val="14"/>
      <color rgb="FF0000FF"/>
      <name val="Traditional Arabic"/>
      <family val="1"/>
    </font>
    <font>
      <sz val="11"/>
      <color rgb="FF0000FF"/>
      <name val="Traditional Arabic"/>
      <family val="1"/>
    </font>
    <font>
      <i/>
      <sz val="14"/>
      <color rgb="FF0000FF"/>
      <name val="Traditional Arabic"/>
      <family val="1"/>
    </font>
    <font>
      <sz val="14"/>
      <color rgb="FF0000FF"/>
      <name val="Calibri"/>
      <family val="2"/>
      <scheme val="minor"/>
    </font>
    <font>
      <sz val="14"/>
      <color rgb="FF0000FF"/>
      <name val="Traditional Arabic"/>
      <family val="1"/>
    </font>
    <font>
      <sz val="16"/>
      <color rgb="FF3333FF"/>
      <name val="Traditional Arabic"/>
      <family val="1"/>
    </font>
    <font>
      <sz val="12"/>
      <color theme="4"/>
      <name val="Traditional Arabic"/>
      <family val="1"/>
    </font>
    <font>
      <sz val="18"/>
      <name val="Traditional Arabic"/>
      <family val="1"/>
    </font>
    <font>
      <sz val="10"/>
      <color theme="1"/>
      <name val="Calibri"/>
      <family val="2"/>
      <scheme val="minor"/>
    </font>
    <font>
      <b/>
      <sz val="18"/>
      <color theme="1"/>
      <name val="Traditional Arabic"/>
      <family val="1"/>
    </font>
    <font>
      <sz val="18"/>
      <color theme="1"/>
      <name val="Traditional Arabic"/>
      <family val="1"/>
    </font>
    <font>
      <b/>
      <sz val="9"/>
      <name val="Traditional Arabic"/>
      <family val="1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o"/>
    </font>
    <font>
      <sz val="16"/>
      <color theme="1"/>
      <name val="Calibri Light"/>
      <family val="2"/>
      <scheme val="major"/>
    </font>
    <font>
      <sz val="26"/>
      <color theme="1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theme="9" tint="-0.249977111117893"/>
      <name val="Traditional Arabic"/>
      <family val="1"/>
    </font>
    <font>
      <b/>
      <sz val="11"/>
      <color theme="1" tint="0.499984740745262"/>
      <name val="Traditional Arabic"/>
      <family val="1"/>
    </font>
    <font>
      <sz val="11"/>
      <color rgb="FF0070C0"/>
      <name val="Traditional Arabic"/>
      <family val="1"/>
    </font>
    <font>
      <b/>
      <i/>
      <sz val="9"/>
      <name val="Traditional Arabic"/>
      <family val="1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Traditional Arabic"/>
      <family val="1"/>
    </font>
    <font>
      <b/>
      <sz val="18"/>
      <color rgb="FFFF0000"/>
      <name val="Traditional Arabic"/>
      <family val="1"/>
    </font>
    <font>
      <b/>
      <sz val="12"/>
      <color theme="1"/>
      <name val="Traditional Arabic"/>
      <family val="1"/>
      <charset val="178"/>
    </font>
    <font>
      <b/>
      <sz val="16"/>
      <color theme="4" tint="-0.249977111117893"/>
      <name val="Traditional Arabic"/>
      <family val="1"/>
      <charset val="178"/>
    </font>
    <font>
      <u/>
      <sz val="11"/>
      <color theme="1"/>
      <name val="Calibri"/>
      <family val="2"/>
      <scheme val="minor"/>
    </font>
    <font>
      <sz val="12"/>
      <color theme="9"/>
      <name val="Traditional Arabic"/>
      <family val="1"/>
    </font>
  </fonts>
  <fills count="4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61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hair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/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/>
      <bottom/>
      <diagonal/>
    </border>
    <border>
      <left style="medium">
        <color indexed="64"/>
      </left>
      <right/>
      <top style="dashDot">
        <color indexed="64"/>
      </top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rgb="FFC00000"/>
      </left>
      <right/>
      <top style="medium">
        <color rgb="FFC00000"/>
      </top>
      <bottom style="hair">
        <color indexed="64"/>
      </bottom>
      <diagonal/>
    </border>
    <border>
      <left/>
      <right/>
      <top style="medium">
        <color rgb="FFC00000"/>
      </top>
      <bottom style="hair">
        <color indexed="64"/>
      </bottom>
      <diagonal/>
    </border>
    <border>
      <left/>
      <right style="medium">
        <color rgb="FFC00000"/>
      </right>
      <top style="medium">
        <color rgb="FFC00000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hair">
        <color indexed="64"/>
      </bottom>
      <diagonal/>
    </border>
    <border>
      <left/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medium">
        <color rgb="FFC00000"/>
      </bottom>
      <diagonal/>
    </border>
    <border>
      <left/>
      <right/>
      <top style="hair">
        <color indexed="64"/>
      </top>
      <bottom style="medium">
        <color rgb="FFC00000"/>
      </bottom>
      <diagonal/>
    </border>
    <border>
      <left/>
      <right style="medium">
        <color rgb="FFC00000"/>
      </right>
      <top style="hair">
        <color indexed="64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475">
    <xf numFmtId="0" fontId="0" fillId="0" borderId="0" xfId="0"/>
    <xf numFmtId="0" fontId="4" fillId="0" borderId="0" xfId="0" applyFont="1"/>
    <xf numFmtId="0" fontId="4" fillId="0" borderId="16" xfId="0" applyFont="1" applyBorder="1"/>
    <xf numFmtId="0" fontId="0" fillId="0" borderId="0" xfId="0" applyAlignment="1">
      <alignment horizontal="center" vertical="center"/>
    </xf>
    <xf numFmtId="0" fontId="4" fillId="9" borderId="7" xfId="0" applyFont="1" applyFill="1" applyBorder="1"/>
    <xf numFmtId="0" fontId="5" fillId="9" borderId="7" xfId="0" quotePrefix="1" applyFont="1" applyFill="1" applyBorder="1"/>
    <xf numFmtId="0" fontId="4" fillId="9" borderId="8" xfId="0" applyFont="1" applyFill="1" applyBorder="1"/>
    <xf numFmtId="0" fontId="9" fillId="0" borderId="6" xfId="0" applyFont="1" applyBorder="1" applyAlignment="1">
      <alignment horizontal="center" vertical="center"/>
    </xf>
    <xf numFmtId="0" fontId="10" fillId="0" borderId="0" xfId="0" applyFont="1"/>
    <xf numFmtId="0" fontId="9" fillId="12" borderId="12" xfId="0" applyFont="1" applyFill="1" applyBorder="1" applyAlignment="1">
      <alignment horizontal="center" vertical="center"/>
    </xf>
    <xf numFmtId="164" fontId="9" fillId="12" borderId="2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17" xfId="0" applyFont="1" applyBorder="1"/>
    <xf numFmtId="0" fontId="10" fillId="0" borderId="19" xfId="0" applyFont="1" applyBorder="1"/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9" fillId="11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14" borderId="12" xfId="0" applyFont="1" applyFill="1" applyBorder="1" applyAlignment="1">
      <alignment horizontal="center" vertical="center"/>
    </xf>
    <xf numFmtId="164" fontId="9" fillId="14" borderId="2" xfId="0" applyNumberFormat="1" applyFont="1" applyFill="1" applyBorder="1" applyAlignment="1">
      <alignment vertical="center"/>
    </xf>
    <xf numFmtId="0" fontId="10" fillId="4" borderId="2" xfId="0" applyFont="1" applyFill="1" applyBorder="1" applyAlignment="1">
      <alignment horizontal="center"/>
    </xf>
    <xf numFmtId="0" fontId="9" fillId="16" borderId="6" xfId="0" applyFont="1" applyFill="1" applyBorder="1" applyAlignment="1">
      <alignment horizontal="center" vertical="center" wrapText="1"/>
    </xf>
    <xf numFmtId="0" fontId="10" fillId="16" borderId="17" xfId="0" applyFont="1" applyFill="1" applyBorder="1" applyAlignment="1">
      <alignment horizontal="center"/>
    </xf>
    <xf numFmtId="0" fontId="12" fillId="16" borderId="20" xfId="0" applyFont="1" applyFill="1" applyBorder="1" applyAlignment="1">
      <alignment horizontal="center"/>
    </xf>
    <xf numFmtId="0" fontId="10" fillId="16" borderId="19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10" fillId="16" borderId="0" xfId="0" applyFont="1" applyFill="1" applyAlignment="1">
      <alignment horizontal="center"/>
    </xf>
    <xf numFmtId="0" fontId="10" fillId="16" borderId="20" xfId="0" applyFont="1" applyFill="1" applyBorder="1" applyAlignment="1">
      <alignment horizontal="center"/>
    </xf>
    <xf numFmtId="0" fontId="10" fillId="16" borderId="20" xfId="0" applyFont="1" applyFill="1" applyBorder="1"/>
    <xf numFmtId="0" fontId="12" fillId="16" borderId="1" xfId="0" applyFont="1" applyFill="1" applyBorder="1"/>
    <xf numFmtId="0" fontId="10" fillId="16" borderId="18" xfId="0" applyFont="1" applyFill="1" applyBorder="1" applyAlignment="1">
      <alignment horizontal="center"/>
    </xf>
    <xf numFmtId="0" fontId="10" fillId="16" borderId="0" xfId="0" applyFont="1" applyFill="1"/>
    <xf numFmtId="164" fontId="9" fillId="6" borderId="2" xfId="0" applyNumberFormat="1" applyFont="1" applyFill="1" applyBorder="1" applyAlignment="1">
      <alignment vertical="center"/>
    </xf>
    <xf numFmtId="0" fontId="10" fillId="6" borderId="2" xfId="0" applyFont="1" applyFill="1" applyBorder="1" applyAlignment="1">
      <alignment horizontal="center"/>
    </xf>
    <xf numFmtId="0" fontId="10" fillId="6" borderId="2" xfId="0" quotePrefix="1" applyFont="1" applyFill="1" applyBorder="1" applyAlignment="1">
      <alignment horizontal="center"/>
    </xf>
    <xf numFmtId="164" fontId="9" fillId="17" borderId="2" xfId="0" applyNumberFormat="1" applyFont="1" applyFill="1" applyBorder="1" applyAlignment="1">
      <alignment vertical="center"/>
    </xf>
    <xf numFmtId="164" fontId="9" fillId="18" borderId="2" xfId="0" applyNumberFormat="1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9" fillId="0" borderId="19" xfId="0" applyFont="1" applyBorder="1"/>
    <xf numFmtId="0" fontId="10" fillId="0" borderId="22" xfId="0" applyFont="1" applyBorder="1"/>
    <xf numFmtId="0" fontId="9" fillId="2" borderId="1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0" fillId="3" borderId="3" xfId="0" applyFont="1" applyFill="1" applyBorder="1"/>
    <xf numFmtId="0" fontId="10" fillId="0" borderId="17" xfId="0" applyFont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21" fillId="0" borderId="0" xfId="0" applyFont="1"/>
    <xf numFmtId="0" fontId="2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2" borderId="2" xfId="0" applyFont="1" applyFill="1" applyBorder="1"/>
    <xf numFmtId="0" fontId="10" fillId="0" borderId="1" xfId="0" applyFont="1" applyBorder="1" applyAlignment="1">
      <alignment horizontal="center" vertical="center"/>
    </xf>
    <xf numFmtId="0" fontId="10" fillId="16" borderId="7" xfId="0" applyFont="1" applyFill="1" applyBorder="1" applyAlignment="1">
      <alignment horizontal="center"/>
    </xf>
    <xf numFmtId="0" fontId="10" fillId="16" borderId="4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2" borderId="2" xfId="0" applyFont="1" applyFill="1" applyBorder="1"/>
    <xf numFmtId="0" fontId="10" fillId="2" borderId="2" xfId="0" quotePrefix="1" applyFont="1" applyFill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0" borderId="23" xfId="0" applyFont="1" applyBorder="1"/>
    <xf numFmtId="0" fontId="12" fillId="6" borderId="12" xfId="0" applyFont="1" applyFill="1" applyBorder="1" applyAlignment="1">
      <alignment horizontal="center"/>
    </xf>
    <xf numFmtId="0" fontId="12" fillId="6" borderId="2" xfId="0" applyFont="1" applyFill="1" applyBorder="1"/>
    <xf numFmtId="0" fontId="10" fillId="6" borderId="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vertical="center"/>
    </xf>
    <xf numFmtId="0" fontId="10" fillId="8" borderId="2" xfId="0" applyFont="1" applyFill="1" applyBorder="1" applyAlignment="1">
      <alignment horizontal="center"/>
    </xf>
    <xf numFmtId="0" fontId="10" fillId="8" borderId="2" xfId="0" quotePrefix="1" applyFont="1" applyFill="1" applyBorder="1" applyAlignment="1">
      <alignment horizontal="center"/>
    </xf>
    <xf numFmtId="0" fontId="10" fillId="16" borderId="14" xfId="0" applyFont="1" applyFill="1" applyBorder="1" applyAlignment="1">
      <alignment horizontal="center"/>
    </xf>
    <xf numFmtId="0" fontId="10" fillId="16" borderId="15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10" fillId="16" borderId="29" xfId="0" applyFont="1" applyFill="1" applyBorder="1" applyAlignment="1">
      <alignment horizontal="center"/>
    </xf>
    <xf numFmtId="0" fontId="10" fillId="16" borderId="30" xfId="0" applyFont="1" applyFill="1" applyBorder="1" applyAlignment="1">
      <alignment horizontal="center"/>
    </xf>
    <xf numFmtId="0" fontId="10" fillId="16" borderId="32" xfId="0" applyFont="1" applyFill="1" applyBorder="1" applyAlignment="1">
      <alignment horizontal="center"/>
    </xf>
    <xf numFmtId="0" fontId="10" fillId="16" borderId="33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16" borderId="6" xfId="0" applyFont="1" applyFill="1" applyBorder="1" applyAlignment="1">
      <alignment horizontal="center" vertical="center" wrapText="1"/>
    </xf>
    <xf numFmtId="0" fontId="4" fillId="2" borderId="3" xfId="0" applyFont="1" applyFill="1" applyBorder="1"/>
    <xf numFmtId="0" fontId="2" fillId="16" borderId="13" xfId="0" applyFont="1" applyFill="1" applyBorder="1" applyAlignment="1">
      <alignment horizontal="center" vertical="center" wrapText="1"/>
    </xf>
    <xf numFmtId="0" fontId="10" fillId="2" borderId="2" xfId="0" quotePrefix="1" applyFont="1" applyFill="1" applyBorder="1"/>
    <xf numFmtId="0" fontId="10" fillId="16" borderId="17" xfId="0" applyFont="1" applyFill="1" applyBorder="1"/>
    <xf numFmtId="0" fontId="10" fillId="16" borderId="19" xfId="0" applyFont="1" applyFill="1" applyBorder="1"/>
    <xf numFmtId="0" fontId="10" fillId="16" borderId="14" xfId="0" applyFont="1" applyFill="1" applyBorder="1"/>
    <xf numFmtId="0" fontId="10" fillId="16" borderId="15" xfId="0" applyFont="1" applyFill="1" applyBorder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18" fillId="0" borderId="19" xfId="0" applyFont="1" applyBorder="1"/>
    <xf numFmtId="0" fontId="10" fillId="9" borderId="2" xfId="0" applyFont="1" applyFill="1" applyBorder="1"/>
    <xf numFmtId="0" fontId="10" fillId="9" borderId="2" xfId="0" quotePrefix="1" applyFont="1" applyFill="1" applyBorder="1"/>
    <xf numFmtId="0" fontId="10" fillId="9" borderId="3" xfId="0" applyFont="1" applyFill="1" applyBorder="1"/>
    <xf numFmtId="0" fontId="18" fillId="16" borderId="19" xfId="0" applyFont="1" applyFill="1" applyBorder="1"/>
    <xf numFmtId="0" fontId="10" fillId="7" borderId="2" xfId="0" applyFont="1" applyFill="1" applyBorder="1"/>
    <xf numFmtId="0" fontId="10" fillId="7" borderId="2" xfId="0" quotePrefix="1" applyFont="1" applyFill="1" applyBorder="1"/>
    <xf numFmtId="0" fontId="10" fillId="7" borderId="3" xfId="0" applyFont="1" applyFill="1" applyBorder="1"/>
    <xf numFmtId="0" fontId="31" fillId="7" borderId="2" xfId="0" applyFont="1" applyFill="1" applyBorder="1"/>
    <xf numFmtId="0" fontId="31" fillId="7" borderId="2" xfId="0" quotePrefix="1" applyFont="1" applyFill="1" applyBorder="1"/>
    <xf numFmtId="0" fontId="31" fillId="7" borderId="3" xfId="0" applyFont="1" applyFill="1" applyBorder="1"/>
    <xf numFmtId="0" fontId="29" fillId="16" borderId="6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7" fillId="9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7" borderId="12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0" fillId="7" borderId="12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0" fillId="8" borderId="2" xfId="0" applyFont="1" applyFill="1" applyBorder="1"/>
    <xf numFmtId="0" fontId="10" fillId="8" borderId="2" xfId="0" quotePrefix="1" applyFont="1" applyFill="1" applyBorder="1"/>
    <xf numFmtId="0" fontId="10" fillId="8" borderId="3" xfId="0" applyFont="1" applyFill="1" applyBorder="1"/>
    <xf numFmtId="0" fontId="17" fillId="2" borderId="12" xfId="0" applyFont="1" applyFill="1" applyBorder="1" applyAlignment="1">
      <alignment horizontal="center" vertical="center"/>
    </xf>
    <xf numFmtId="0" fontId="10" fillId="20" borderId="2" xfId="0" applyFont="1" applyFill="1" applyBorder="1"/>
    <xf numFmtId="0" fontId="10" fillId="20" borderId="2" xfId="0" quotePrefix="1" applyFont="1" applyFill="1" applyBorder="1"/>
    <xf numFmtId="0" fontId="4" fillId="9" borderId="7" xfId="0" applyFont="1" applyFill="1" applyBorder="1" applyAlignment="1">
      <alignment horizontal="center"/>
    </xf>
    <xf numFmtId="0" fontId="10" fillId="16" borderId="1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31" fillId="7" borderId="2" xfId="0" applyFont="1" applyFill="1" applyBorder="1" applyAlignment="1">
      <alignment horizontal="center"/>
    </xf>
    <xf numFmtId="0" fontId="10" fillId="16" borderId="39" xfId="0" applyFont="1" applyFill="1" applyBorder="1" applyAlignment="1">
      <alignment horizontal="center"/>
    </xf>
    <xf numFmtId="0" fontId="10" fillId="20" borderId="2" xfId="0" applyFont="1" applyFill="1" applyBorder="1" applyAlignment="1">
      <alignment horizontal="center"/>
    </xf>
    <xf numFmtId="0" fontId="10" fillId="16" borderId="42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 vertical="center"/>
    </xf>
    <xf numFmtId="0" fontId="10" fillId="16" borderId="19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16" borderId="20" xfId="0" applyFont="1" applyFill="1" applyBorder="1" applyAlignment="1">
      <alignment horizontal="center" vertical="center"/>
    </xf>
    <xf numFmtId="0" fontId="24" fillId="0" borderId="17" xfId="0" applyFont="1" applyBorder="1" applyAlignment="1">
      <alignment horizontal="center"/>
    </xf>
    <xf numFmtId="0" fontId="18" fillId="0" borderId="0" xfId="0" applyFont="1" applyAlignment="1">
      <alignment vertical="center"/>
    </xf>
    <xf numFmtId="0" fontId="18" fillId="16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1" fillId="16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23" fillId="18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4" borderId="3" xfId="0" applyFont="1" applyFill="1" applyBorder="1" applyAlignment="1">
      <alignment horizontal="left"/>
    </xf>
    <xf numFmtId="0" fontId="10" fillId="2" borderId="3" xfId="0" applyFont="1" applyFill="1" applyBorder="1" applyAlignment="1">
      <alignment horizontal="left"/>
    </xf>
    <xf numFmtId="0" fontId="10" fillId="0" borderId="19" xfId="0" applyFont="1" applyBorder="1" applyAlignment="1">
      <alignment horizontal="left" vertical="center"/>
    </xf>
    <xf numFmtId="166" fontId="26" fillId="0" borderId="58" xfId="0" applyNumberFormat="1" applyFont="1" applyBorder="1" applyAlignment="1">
      <alignment horizontal="right" vertical="center"/>
    </xf>
    <xf numFmtId="166" fontId="9" fillId="0" borderId="61" xfId="0" applyNumberFormat="1" applyFont="1" applyBorder="1" applyAlignment="1">
      <alignment horizontal="right" vertical="center"/>
    </xf>
    <xf numFmtId="166" fontId="9" fillId="19" borderId="1" xfId="0" applyNumberFormat="1" applyFont="1" applyFill="1" applyBorder="1" applyAlignment="1">
      <alignment horizontal="right" vertical="center"/>
    </xf>
    <xf numFmtId="1" fontId="10" fillId="0" borderId="1" xfId="0" applyNumberFormat="1" applyFont="1" applyBorder="1" applyAlignment="1">
      <alignment horizontal="center" vertical="center"/>
    </xf>
    <xf numFmtId="2" fontId="26" fillId="0" borderId="61" xfId="0" applyNumberFormat="1" applyFont="1" applyBorder="1" applyAlignment="1">
      <alignment horizontal="right" vertical="center"/>
    </xf>
    <xf numFmtId="166" fontId="2" fillId="0" borderId="51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vertical="top"/>
    </xf>
    <xf numFmtId="0" fontId="29" fillId="0" borderId="6" xfId="0" applyFont="1" applyBorder="1" applyAlignment="1">
      <alignment horizontal="center" vertical="center" wrapText="1"/>
    </xf>
    <xf numFmtId="166" fontId="10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10" fillId="0" borderId="5" xfId="0" applyNumberFormat="1" applyFont="1" applyBorder="1" applyAlignment="1">
      <alignment horizontal="center"/>
    </xf>
    <xf numFmtId="0" fontId="29" fillId="0" borderId="47" xfId="0" applyFont="1" applyBorder="1" applyAlignment="1">
      <alignment horizontal="center" vertical="center" wrapText="1"/>
    </xf>
    <xf numFmtId="166" fontId="36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166" fontId="11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66" fontId="11" fillId="2" borderId="0" xfId="0" applyNumberFormat="1" applyFont="1" applyFill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9" fillId="23" borderId="0" xfId="0" applyFont="1" applyFill="1" applyAlignment="1">
      <alignment horizontal="center" vertical="center" wrapText="1"/>
    </xf>
    <xf numFmtId="0" fontId="9" fillId="23" borderId="51" xfId="0" applyFont="1" applyFill="1" applyBorder="1" applyAlignment="1">
      <alignment horizontal="center" vertical="center" wrapText="1"/>
    </xf>
    <xf numFmtId="0" fontId="11" fillId="23" borderId="0" xfId="0" applyFont="1" applyFill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/>
    </xf>
    <xf numFmtId="1" fontId="10" fillId="23" borderId="0" xfId="0" applyNumberFormat="1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/>
    </xf>
    <xf numFmtId="0" fontId="10" fillId="23" borderId="0" xfId="0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66" fontId="10" fillId="0" borderId="0" xfId="1" applyNumberFormat="1" applyFont="1" applyFill="1" applyBorder="1" applyAlignment="1">
      <alignment horizontal="center"/>
    </xf>
    <xf numFmtId="0" fontId="2" fillId="0" borderId="47" xfId="0" applyFont="1" applyBorder="1" applyAlignment="1">
      <alignment horizontal="center" vertical="center" wrapText="1"/>
    </xf>
    <xf numFmtId="10" fontId="10" fillId="0" borderId="0" xfId="0" quotePrefix="1" applyNumberFormat="1" applyFont="1" applyAlignment="1">
      <alignment horizontal="center"/>
    </xf>
    <xf numFmtId="1" fontId="10" fillId="0" borderId="5" xfId="1" applyNumberFormat="1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0" fontId="27" fillId="0" borderId="0" xfId="0" quotePrefix="1" applyNumberFormat="1" applyFont="1" applyAlignment="1">
      <alignment horizontal="center"/>
    </xf>
    <xf numFmtId="10" fontId="28" fillId="0" borderId="0" xfId="0" quotePrefix="1" applyNumberFormat="1" applyFont="1" applyAlignment="1">
      <alignment horizontal="center"/>
    </xf>
    <xf numFmtId="2" fontId="10" fillId="0" borderId="5" xfId="1" applyNumberFormat="1" applyFont="1" applyFill="1" applyBorder="1" applyAlignment="1">
      <alignment horizontal="center"/>
    </xf>
    <xf numFmtId="0" fontId="1" fillId="0" borderId="47" xfId="0" applyFont="1" applyBorder="1" applyAlignment="1">
      <alignment horizontal="center" vertical="center" wrapText="1"/>
    </xf>
    <xf numFmtId="1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12" fillId="0" borderId="5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168" fontId="17" fillId="0" borderId="1" xfId="0" applyNumberFormat="1" applyFont="1" applyBorder="1" applyAlignment="1">
      <alignment horizontal="right"/>
    </xf>
    <xf numFmtId="0" fontId="11" fillId="2" borderId="2" xfId="0" applyFont="1" applyFill="1" applyBorder="1" applyAlignment="1">
      <alignment horizontal="center" vertical="center"/>
    </xf>
    <xf numFmtId="0" fontId="12" fillId="16" borderId="24" xfId="0" applyFont="1" applyFill="1" applyBorder="1" applyAlignment="1">
      <alignment horizontal="center"/>
    </xf>
    <xf numFmtId="0" fontId="10" fillId="16" borderId="22" xfId="0" applyFont="1" applyFill="1" applyBorder="1" applyAlignment="1">
      <alignment horizontal="center"/>
    </xf>
    <xf numFmtId="1" fontId="10" fillId="24" borderId="5" xfId="0" applyNumberFormat="1" applyFont="1" applyFill="1" applyBorder="1" applyAlignment="1">
      <alignment horizontal="center"/>
    </xf>
    <xf numFmtId="0" fontId="10" fillId="23" borderId="0" xfId="0" applyFont="1" applyFill="1"/>
    <xf numFmtId="2" fontId="23" fillId="0" borderId="44" xfId="0" applyNumberFormat="1" applyFont="1" applyBorder="1" applyAlignment="1">
      <alignment horizontal="center" vertical="center"/>
    </xf>
    <xf numFmtId="2" fontId="23" fillId="0" borderId="60" xfId="0" applyNumberFormat="1" applyFont="1" applyBorder="1" applyAlignment="1">
      <alignment horizontal="center" vertical="center"/>
    </xf>
    <xf numFmtId="2" fontId="9" fillId="0" borderId="64" xfId="0" applyNumberFormat="1" applyFont="1" applyBorder="1" applyAlignment="1">
      <alignment horizontal="center" vertical="center"/>
    </xf>
    <xf numFmtId="2" fontId="9" fillId="19" borderId="3" xfId="0" applyNumberFormat="1" applyFont="1" applyFill="1" applyBorder="1" applyAlignment="1">
      <alignment horizontal="center" vertical="center"/>
    </xf>
    <xf numFmtId="2" fontId="23" fillId="0" borderId="72" xfId="0" applyNumberFormat="1" applyFont="1" applyBorder="1" applyAlignment="1">
      <alignment horizontal="center" vertical="center"/>
    </xf>
    <xf numFmtId="2" fontId="23" fillId="0" borderId="74" xfId="0" applyNumberFormat="1" applyFont="1" applyBorder="1" applyAlignment="1">
      <alignment horizontal="center" vertical="center"/>
    </xf>
    <xf numFmtId="2" fontId="9" fillId="0" borderId="70" xfId="0" applyNumberFormat="1" applyFont="1" applyBorder="1" applyAlignment="1">
      <alignment horizontal="center" vertical="center"/>
    </xf>
    <xf numFmtId="2" fontId="9" fillId="19" borderId="71" xfId="0" applyNumberFormat="1" applyFont="1" applyFill="1" applyBorder="1" applyAlignment="1">
      <alignment horizontal="center" vertical="center"/>
    </xf>
    <xf numFmtId="2" fontId="23" fillId="0" borderId="58" xfId="0" applyNumberFormat="1" applyFont="1" applyBorder="1" applyAlignment="1">
      <alignment horizontal="center" vertical="center"/>
    </xf>
    <xf numFmtId="2" fontId="23" fillId="0" borderId="86" xfId="0" applyNumberFormat="1" applyFont="1" applyBorder="1" applyAlignment="1">
      <alignment horizontal="center" vertical="center"/>
    </xf>
    <xf numFmtId="167" fontId="9" fillId="0" borderId="70" xfId="0" applyNumberFormat="1" applyFont="1" applyBorder="1" applyAlignment="1">
      <alignment horizontal="center" vertical="center"/>
    </xf>
    <xf numFmtId="167" fontId="9" fillId="19" borderId="71" xfId="0" applyNumberFormat="1" applyFont="1" applyFill="1" applyBorder="1" applyAlignment="1">
      <alignment horizontal="center" vertical="center"/>
    </xf>
    <xf numFmtId="2" fontId="26" fillId="0" borderId="58" xfId="0" applyNumberFormat="1" applyFont="1" applyBorder="1" applyAlignment="1">
      <alignment horizontal="right" vertical="center"/>
    </xf>
    <xf numFmtId="2" fontId="9" fillId="0" borderId="61" xfId="0" applyNumberFormat="1" applyFont="1" applyBorder="1" applyAlignment="1">
      <alignment horizontal="right" vertical="center"/>
    </xf>
    <xf numFmtId="2" fontId="9" fillId="19" borderId="1" xfId="0" applyNumberFormat="1" applyFont="1" applyFill="1" applyBorder="1" applyAlignment="1">
      <alignment horizontal="right" vertical="center"/>
    </xf>
    <xf numFmtId="2" fontId="23" fillId="0" borderId="58" xfId="0" applyNumberFormat="1" applyFont="1" applyBorder="1" applyAlignment="1">
      <alignment horizontal="right" vertical="center"/>
    </xf>
    <xf numFmtId="2" fontId="23" fillId="0" borderId="61" xfId="0" applyNumberFormat="1" applyFont="1" applyBorder="1" applyAlignment="1">
      <alignment horizontal="right" vertical="center"/>
    </xf>
    <xf numFmtId="43" fontId="9" fillId="0" borderId="61" xfId="2" applyFont="1" applyBorder="1" applyAlignment="1">
      <alignment horizontal="right" vertical="center"/>
    </xf>
    <xf numFmtId="43" fontId="9" fillId="19" borderId="1" xfId="2" applyFont="1" applyFill="1" applyBorder="1" applyAlignment="1">
      <alignment horizontal="right" vertical="center"/>
    </xf>
    <xf numFmtId="0" fontId="11" fillId="2" borderId="2" xfId="0" quotePrefix="1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6" fontId="10" fillId="0" borderId="0" xfId="0" applyNumberFormat="1" applyFont="1"/>
    <xf numFmtId="2" fontId="23" fillId="0" borderId="58" xfId="0" applyNumberFormat="1" applyFont="1" applyBorder="1" applyAlignment="1">
      <alignment vertical="center"/>
    </xf>
    <xf numFmtId="2" fontId="23" fillId="0" borderId="61" xfId="0" applyNumberFormat="1" applyFont="1" applyBorder="1" applyAlignment="1">
      <alignment vertical="center"/>
    </xf>
    <xf numFmtId="2" fontId="9" fillId="0" borderId="61" xfId="0" applyNumberFormat="1" applyFont="1" applyBorder="1" applyAlignment="1">
      <alignment vertical="center"/>
    </xf>
    <xf numFmtId="2" fontId="9" fillId="19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left" vertical="center"/>
    </xf>
    <xf numFmtId="0" fontId="12" fillId="16" borderId="4" xfId="0" applyFont="1" applyFill="1" applyBorder="1" applyAlignment="1">
      <alignment horizontal="center" vertical="center"/>
    </xf>
    <xf numFmtId="0" fontId="10" fillId="2" borderId="12" xfId="0" applyFont="1" applyFill="1" applyBorder="1"/>
    <xf numFmtId="166" fontId="25" fillId="0" borderId="2" xfId="0" applyNumberFormat="1" applyFont="1" applyBorder="1" applyAlignment="1">
      <alignment horizontal="center"/>
    </xf>
    <xf numFmtId="0" fontId="10" fillId="4" borderId="12" xfId="0" applyFont="1" applyFill="1" applyBorder="1"/>
    <xf numFmtId="0" fontId="11" fillId="4" borderId="2" xfId="0" applyFont="1" applyFill="1" applyBorder="1" applyAlignment="1">
      <alignment horizontal="center" vertical="center"/>
    </xf>
    <xf numFmtId="0" fontId="11" fillId="4" borderId="2" xfId="0" quotePrefix="1" applyFont="1" applyFill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/>
    </xf>
    <xf numFmtId="166" fontId="11" fillId="0" borderId="2" xfId="0" applyNumberFormat="1" applyFont="1" applyBorder="1" applyAlignment="1">
      <alignment horizontal="center" vertical="center"/>
    </xf>
    <xf numFmtId="1" fontId="10" fillId="23" borderId="24" xfId="0" applyNumberFormat="1" applyFont="1" applyFill="1" applyBorder="1" applyAlignment="1">
      <alignment horizontal="center"/>
    </xf>
    <xf numFmtId="1" fontId="10" fillId="0" borderId="0" xfId="0" applyNumberFormat="1" applyFont="1"/>
    <xf numFmtId="0" fontId="11" fillId="16" borderId="2" xfId="0" applyFont="1" applyFill="1" applyBorder="1" applyAlignment="1">
      <alignment vertical="center"/>
    </xf>
    <xf numFmtId="0" fontId="10" fillId="16" borderId="2" xfId="0" applyFont="1" applyFill="1" applyBorder="1" applyAlignment="1">
      <alignment horizontal="center"/>
    </xf>
    <xf numFmtId="0" fontId="10" fillId="16" borderId="2" xfId="0" quotePrefix="1" applyFont="1" applyFill="1" applyBorder="1" applyAlignment="1">
      <alignment horizontal="center"/>
    </xf>
    <xf numFmtId="0" fontId="10" fillId="16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1" fontId="17" fillId="0" borderId="89" xfId="0" applyNumberFormat="1" applyFont="1" applyBorder="1" applyAlignment="1">
      <alignment horizontal="right"/>
    </xf>
    <xf numFmtId="168" fontId="17" fillId="0" borderId="18" xfId="0" applyNumberFormat="1" applyFont="1" applyBorder="1" applyAlignment="1">
      <alignment horizontal="right"/>
    </xf>
    <xf numFmtId="168" fontId="17" fillId="0" borderId="20" xfId="0" applyNumberFormat="1" applyFont="1" applyBorder="1" applyAlignment="1">
      <alignment horizontal="right"/>
    </xf>
    <xf numFmtId="168" fontId="17" fillId="0" borderId="39" xfId="0" applyNumberFormat="1" applyFont="1" applyBorder="1" applyAlignment="1">
      <alignment horizontal="right"/>
    </xf>
    <xf numFmtId="2" fontId="9" fillId="0" borderId="85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43" fontId="1" fillId="0" borderId="13" xfId="2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10" fillId="0" borderId="0" xfId="0" applyFont="1" applyAlignment="1">
      <alignment horizontal="right"/>
    </xf>
    <xf numFmtId="1" fontId="12" fillId="16" borderId="1" xfId="0" applyNumberFormat="1" applyFont="1" applyFill="1" applyBorder="1" applyAlignment="1">
      <alignment horizontal="center" vertical="center"/>
    </xf>
    <xf numFmtId="0" fontId="10" fillId="0" borderId="54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8" fillId="16" borderId="0" xfId="0" applyFont="1" applyFill="1" applyAlignment="1">
      <alignment horizontal="center" vertical="center"/>
    </xf>
    <xf numFmtId="0" fontId="34" fillId="0" borderId="0" xfId="0" applyFont="1" applyAlignment="1">
      <alignment vertical="top" wrapText="1"/>
    </xf>
    <xf numFmtId="1" fontId="10" fillId="0" borderId="44" xfId="0" applyNumberFormat="1" applyFont="1" applyBorder="1" applyAlignment="1">
      <alignment horizontal="center"/>
    </xf>
    <xf numFmtId="1" fontId="10" fillId="0" borderId="95" xfId="0" applyNumberFormat="1" applyFont="1" applyBorder="1" applyAlignment="1">
      <alignment horizontal="center"/>
    </xf>
    <xf numFmtId="0" fontId="10" fillId="0" borderId="19" xfId="0" applyFont="1" applyBorder="1" applyAlignment="1">
      <alignment vertical="center"/>
    </xf>
    <xf numFmtId="0" fontId="12" fillId="23" borderId="5" xfId="0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1" fontId="12" fillId="23" borderId="5" xfId="0" applyNumberFormat="1" applyFont="1" applyFill="1" applyBorder="1" applyAlignment="1">
      <alignment vertical="center"/>
    </xf>
    <xf numFmtId="0" fontId="12" fillId="16" borderId="1" xfId="0" applyFont="1" applyFill="1" applyBorder="1" applyAlignment="1">
      <alignment vertical="center"/>
    </xf>
    <xf numFmtId="2" fontId="26" fillId="0" borderId="5" xfId="0" applyNumberFormat="1" applyFont="1" applyBorder="1" applyAlignment="1">
      <alignment horizontal="right" vertical="center"/>
    </xf>
    <xf numFmtId="0" fontId="5" fillId="0" borderId="90" xfId="0" applyFont="1" applyBorder="1" applyAlignment="1">
      <alignment horizontal="center" vertical="top" wrapText="1"/>
    </xf>
    <xf numFmtId="0" fontId="5" fillId="0" borderId="71" xfId="0" applyFont="1" applyBorder="1" applyAlignment="1">
      <alignment horizontal="center" vertical="top" wrapText="1"/>
    </xf>
    <xf numFmtId="0" fontId="10" fillId="0" borderId="0" xfId="0" quotePrefix="1" applyFont="1"/>
    <xf numFmtId="0" fontId="5" fillId="0" borderId="4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17" fillId="0" borderId="12" xfId="0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0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" fontId="9" fillId="0" borderId="0" xfId="0" applyNumberFormat="1" applyFont="1" applyAlignment="1">
      <alignment horizontal="right" vertical="center"/>
    </xf>
    <xf numFmtId="166" fontId="10" fillId="0" borderId="5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0" fillId="16" borderId="23" xfId="0" applyFont="1" applyFill="1" applyBorder="1"/>
    <xf numFmtId="0" fontId="10" fillId="16" borderId="0" xfId="0" applyFont="1" applyFill="1" applyAlignment="1">
      <alignment vertical="center"/>
    </xf>
    <xf numFmtId="0" fontId="10" fillId="0" borderId="54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10" fontId="27" fillId="0" borderId="2" xfId="0" quotePrefix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9" fontId="26" fillId="0" borderId="4" xfId="0" applyNumberFormat="1" applyFont="1" applyBorder="1" applyAlignment="1">
      <alignment horizontal="right" vertical="center"/>
    </xf>
    <xf numFmtId="169" fontId="9" fillId="0" borderId="61" xfId="0" applyNumberFormat="1" applyFont="1" applyBorder="1" applyAlignment="1">
      <alignment horizontal="right" vertical="center"/>
    </xf>
    <xf numFmtId="169" fontId="9" fillId="19" borderId="1" xfId="0" applyNumberFormat="1" applyFont="1" applyFill="1" applyBorder="1" applyAlignment="1">
      <alignment horizontal="right" vertical="center"/>
    </xf>
    <xf numFmtId="2" fontId="10" fillId="0" borderId="0" xfId="0" applyNumberFormat="1" applyFont="1" applyAlignment="1">
      <alignment horizontal="center" vertical="center"/>
    </xf>
    <xf numFmtId="2" fontId="10" fillId="0" borderId="0" xfId="0" applyNumberFormat="1" applyFont="1"/>
    <xf numFmtId="2" fontId="26" fillId="0" borderId="4" xfId="0" applyNumberFormat="1" applyFont="1" applyBorder="1" applyAlignment="1">
      <alignment horizontal="right" vertical="center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4" fillId="0" borderId="0" xfId="0" applyFont="1" applyAlignment="1">
      <alignment vertical="center"/>
    </xf>
    <xf numFmtId="0" fontId="4" fillId="23" borderId="0" xfId="0" applyFont="1" applyFill="1"/>
    <xf numFmtId="0" fontId="12" fillId="0" borderId="0" xfId="0" applyFont="1"/>
    <xf numFmtId="2" fontId="0" fillId="0" borderId="0" xfId="0" applyNumberFormat="1" applyAlignment="1">
      <alignment horizontal="center" vertical="center"/>
    </xf>
    <xf numFmtId="2" fontId="45" fillId="0" borderId="0" xfId="0" applyNumberFormat="1" applyFont="1"/>
    <xf numFmtId="20" fontId="10" fillId="0" borderId="0" xfId="0" applyNumberFormat="1" applyFont="1"/>
    <xf numFmtId="2" fontId="26" fillId="0" borderId="99" xfId="0" applyNumberFormat="1" applyFont="1" applyBorder="1" applyAlignment="1">
      <alignment horizontal="right" vertical="center"/>
    </xf>
    <xf numFmtId="0" fontId="47" fillId="0" borderId="19" xfId="0" applyFont="1" applyBorder="1" applyAlignment="1">
      <alignment horizontal="right"/>
    </xf>
    <xf numFmtId="2" fontId="0" fillId="0" borderId="0" xfId="0" applyNumberFormat="1"/>
    <xf numFmtId="0" fontId="4" fillId="0" borderId="0" xfId="0" applyFont="1" applyAlignment="1">
      <alignment horizontal="right"/>
    </xf>
    <xf numFmtId="2" fontId="23" fillId="0" borderId="100" xfId="0" applyNumberFormat="1" applyFont="1" applyBorder="1" applyAlignment="1">
      <alignment horizontal="center" vertical="center"/>
    </xf>
    <xf numFmtId="2" fontId="23" fillId="0" borderId="72" xfId="3" applyNumberFormat="1" applyFont="1" applyBorder="1" applyAlignment="1">
      <alignment horizontal="center" vertical="center"/>
    </xf>
    <xf numFmtId="2" fontId="23" fillId="0" borderId="100" xfId="3" applyNumberFormat="1" applyFont="1" applyBorder="1" applyAlignment="1">
      <alignment horizontal="center" vertical="center"/>
    </xf>
    <xf numFmtId="164" fontId="2" fillId="24" borderId="12" xfId="0" applyNumberFormat="1" applyFont="1" applyFill="1" applyBorder="1" applyAlignment="1">
      <alignment vertical="center"/>
    </xf>
    <xf numFmtId="164" fontId="2" fillId="24" borderId="2" xfId="0" applyNumberFormat="1" applyFont="1" applyFill="1" applyBorder="1" applyAlignment="1">
      <alignment vertical="center"/>
    </xf>
    <xf numFmtId="0" fontId="10" fillId="0" borderId="0" xfId="0" applyFont="1" applyAlignment="1">
      <alignment wrapText="1"/>
    </xf>
    <xf numFmtId="0" fontId="10" fillId="0" borderId="101" xfId="0" applyFont="1" applyBorder="1"/>
    <xf numFmtId="0" fontId="10" fillId="0" borderId="104" xfId="0" applyFont="1" applyBorder="1"/>
    <xf numFmtId="0" fontId="10" fillId="0" borderId="106" xfId="0" applyFont="1" applyBorder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right" vertical="top" wrapText="1"/>
    </xf>
    <xf numFmtId="0" fontId="34" fillId="0" borderId="0" xfId="0" applyFont="1" applyAlignment="1">
      <alignment horizontal="center" vertical="top" wrapText="1"/>
    </xf>
    <xf numFmtId="0" fontId="9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7" fillId="0" borderId="0" xfId="0" applyFont="1"/>
    <xf numFmtId="0" fontId="31" fillId="0" borderId="0" xfId="0" applyFont="1"/>
    <xf numFmtId="0" fontId="10" fillId="15" borderId="0" xfId="0" applyFont="1" applyFill="1"/>
    <xf numFmtId="0" fontId="0" fillId="15" borderId="0" xfId="0" applyFill="1"/>
    <xf numFmtId="0" fontId="18" fillId="15" borderId="0" xfId="0" applyFont="1" applyFill="1"/>
    <xf numFmtId="0" fontId="51" fillId="0" borderId="0" xfId="0" applyFont="1" applyAlignment="1">
      <alignment horizontal="right" vertical="center"/>
    </xf>
    <xf numFmtId="0" fontId="42" fillId="0" borderId="0" xfId="0" applyFont="1" applyAlignment="1">
      <alignment horizontal="left" vertical="center"/>
    </xf>
    <xf numFmtId="0" fontId="42" fillId="0" borderId="0" xfId="0" quotePrefix="1" applyFont="1" applyAlignment="1">
      <alignment horizontal="left" vertical="center"/>
    </xf>
    <xf numFmtId="0" fontId="38" fillId="0" borderId="0" xfId="0" applyFont="1"/>
    <xf numFmtId="0" fontId="4" fillId="15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51" fillId="0" borderId="0" xfId="0" quotePrefix="1" applyFont="1" applyAlignment="1">
      <alignment horizontal="right" vertical="center"/>
    </xf>
    <xf numFmtId="0" fontId="10" fillId="0" borderId="0" xfId="0" quotePrefix="1" applyFont="1" applyAlignment="1">
      <alignment horizontal="left"/>
    </xf>
    <xf numFmtId="0" fontId="10" fillId="0" borderId="19" xfId="0" applyFont="1" applyBorder="1" applyAlignment="1">
      <alignment horizontal="right"/>
    </xf>
    <xf numFmtId="0" fontId="56" fillId="0" borderId="0" xfId="0" applyFont="1" applyAlignment="1">
      <alignment horizontal="center"/>
    </xf>
    <xf numFmtId="0" fontId="23" fillId="0" borderId="0" xfId="0" applyFont="1"/>
    <xf numFmtId="0" fontId="17" fillId="0" borderId="19" xfId="0" applyFont="1" applyBorder="1" applyAlignment="1">
      <alignment horizontal="left"/>
    </xf>
    <xf numFmtId="0" fontId="56" fillId="0" borderId="0" xfId="0" applyFont="1"/>
    <xf numFmtId="0" fontId="1" fillId="0" borderId="13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left"/>
    </xf>
    <xf numFmtId="1" fontId="17" fillId="0" borderId="91" xfId="0" applyNumberFormat="1" applyFont="1" applyBorder="1" applyAlignment="1">
      <alignment horizontal="right"/>
    </xf>
    <xf numFmtId="1" fontId="17" fillId="0" borderId="39" xfId="0" applyNumberFormat="1" applyFont="1" applyBorder="1" applyAlignment="1">
      <alignment horizontal="right"/>
    </xf>
    <xf numFmtId="0" fontId="1" fillId="0" borderId="93" xfId="0" applyFont="1" applyBorder="1" applyAlignment="1">
      <alignment horizontal="left" vertical="center" wrapText="1"/>
    </xf>
    <xf numFmtId="0" fontId="10" fillId="3" borderId="3" xfId="0" applyFont="1" applyFill="1" applyBorder="1" applyAlignment="1">
      <alignment horizontal="left"/>
    </xf>
    <xf numFmtId="0" fontId="20" fillId="0" borderId="23" xfId="0" applyFont="1" applyBorder="1" applyAlignment="1">
      <alignment horizontal="center"/>
    </xf>
    <xf numFmtId="0" fontId="51" fillId="0" borderId="0" xfId="0" quotePrefix="1" applyFont="1" applyAlignment="1">
      <alignment horizontal="left" vertical="center"/>
    </xf>
    <xf numFmtId="0" fontId="51" fillId="0" borderId="0" xfId="0" applyFont="1" applyAlignment="1">
      <alignment horizontal="left" vertical="center"/>
    </xf>
    <xf numFmtId="0" fontId="9" fillId="0" borderId="22" xfId="0" applyFont="1" applyBorder="1"/>
    <xf numFmtId="0" fontId="39" fillId="0" borderId="22" xfId="0" applyFont="1" applyBorder="1" applyAlignment="1">
      <alignment vertical="center"/>
    </xf>
    <xf numFmtId="0" fontId="55" fillId="9" borderId="0" xfId="0" applyFont="1" applyFill="1" applyAlignment="1">
      <alignment horizontal="center" vertical="center" wrapText="1"/>
    </xf>
    <xf numFmtId="0" fontId="9" fillId="0" borderId="19" xfId="0" applyFont="1" applyBorder="1" applyAlignment="1">
      <alignment horizontal="center"/>
    </xf>
    <xf numFmtId="0" fontId="39" fillId="0" borderId="19" xfId="0" applyFont="1" applyBorder="1" applyAlignment="1">
      <alignment horizontal="center" vertical="center"/>
    </xf>
    <xf numFmtId="0" fontId="39" fillId="0" borderId="19" xfId="0" applyFont="1" applyBorder="1" applyAlignment="1">
      <alignment vertical="center"/>
    </xf>
    <xf numFmtId="0" fontId="9" fillId="0" borderId="0" xfId="0" applyFont="1"/>
    <xf numFmtId="0" fontId="26" fillId="0" borderId="19" xfId="0" applyFont="1" applyBorder="1" applyAlignment="1">
      <alignment horizontal="left"/>
    </xf>
    <xf numFmtId="0" fontId="18" fillId="0" borderId="0" xfId="0" applyFont="1" applyAlignment="1">
      <alignment horizontal="left"/>
    </xf>
    <xf numFmtId="2" fontId="26" fillId="0" borderId="61" xfId="0" quotePrefix="1" applyNumberFormat="1" applyFont="1" applyBorder="1" applyAlignment="1">
      <alignment horizontal="right" vertical="center"/>
    </xf>
    <xf numFmtId="0" fontId="10" fillId="0" borderId="112" xfId="0" applyFont="1" applyBorder="1" applyAlignment="1">
      <alignment horizontal="left" vertical="center"/>
    </xf>
    <xf numFmtId="0" fontId="10" fillId="0" borderId="19" xfId="0" applyFont="1" applyBorder="1" applyAlignment="1">
      <alignment vertical="center" wrapText="1"/>
    </xf>
    <xf numFmtId="0" fontId="10" fillId="0" borderId="112" xfId="0" applyFont="1" applyBorder="1" applyAlignment="1">
      <alignment vertical="center" wrapText="1"/>
    </xf>
    <xf numFmtId="0" fontId="10" fillId="0" borderId="114" xfId="0" applyFont="1" applyBorder="1" applyAlignment="1">
      <alignment vertical="center" wrapText="1"/>
    </xf>
    <xf numFmtId="0" fontId="10" fillId="0" borderId="115" xfId="0" applyFont="1" applyBorder="1" applyAlignment="1">
      <alignment vertical="center" wrapText="1"/>
    </xf>
    <xf numFmtId="0" fontId="26" fillId="16" borderId="40" xfId="0" applyFont="1" applyFill="1" applyBorder="1" applyAlignment="1">
      <alignment horizontal="center"/>
    </xf>
    <xf numFmtId="0" fontId="26" fillId="16" borderId="19" xfId="0" applyFont="1" applyFill="1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1" fontId="12" fillId="0" borderId="95" xfId="0" applyNumberFormat="1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0" fontId="60" fillId="16" borderId="19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2" fontId="4" fillId="0" borderId="0" xfId="0" applyNumberFormat="1" applyFont="1"/>
    <xf numFmtId="2" fontId="12" fillId="0" borderId="0" xfId="0" applyNumberFormat="1" applyFont="1" applyAlignment="1">
      <alignment vertical="center"/>
    </xf>
    <xf numFmtId="2" fontId="9" fillId="19" borderId="1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8" fillId="0" borderId="0" xfId="0" applyFont="1" applyAlignment="1">
      <alignment horizontal="center" vertical="top" wrapText="1"/>
    </xf>
    <xf numFmtId="0" fontId="8" fillId="0" borderId="0" xfId="0" applyFont="1" applyAlignment="1">
      <alignment horizontal="center"/>
    </xf>
    <xf numFmtId="0" fontId="52" fillId="9" borderId="0" xfId="0" applyFont="1" applyFill="1" applyAlignment="1">
      <alignment horizontal="righ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6" fillId="0" borderId="0" xfId="0" applyFont="1" applyAlignment="1">
      <alignment vertical="top" wrapText="1"/>
    </xf>
    <xf numFmtId="167" fontId="10" fillId="0" borderId="0" xfId="0" applyNumberFormat="1" applyFont="1"/>
    <xf numFmtId="2" fontId="10" fillId="0" borderId="0" xfId="0" applyNumberFormat="1" applyFont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/>
    </xf>
    <xf numFmtId="0" fontId="10" fillId="0" borderId="12" xfId="0" applyFont="1" applyBorder="1"/>
    <xf numFmtId="2" fontId="10" fillId="0" borderId="12" xfId="0" applyNumberFormat="1" applyFont="1" applyBorder="1"/>
    <xf numFmtId="2" fontId="10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vertical="center"/>
    </xf>
    <xf numFmtId="0" fontId="10" fillId="0" borderId="16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58" fillId="0" borderId="0" xfId="0" applyFont="1"/>
    <xf numFmtId="0" fontId="62" fillId="0" borderId="0" xfId="0" applyFont="1"/>
    <xf numFmtId="0" fontId="48" fillId="0" borderId="0" xfId="0" applyFont="1"/>
    <xf numFmtId="0" fontId="58" fillId="0" borderId="0" xfId="0" applyFont="1" applyAlignment="1">
      <alignment vertical="center"/>
    </xf>
    <xf numFmtId="0" fontId="62" fillId="0" borderId="0" xfId="0" quotePrefix="1" applyFont="1"/>
    <xf numFmtId="167" fontId="10" fillId="0" borderId="0" xfId="0" applyNumberFormat="1" applyFont="1" applyAlignment="1">
      <alignment horizontal="left"/>
    </xf>
    <xf numFmtId="2" fontId="58" fillId="0" borderId="0" xfId="0" applyNumberFormat="1" applyFont="1"/>
    <xf numFmtId="0" fontId="17" fillId="0" borderId="7" xfId="0" applyFont="1" applyBorder="1" applyAlignment="1">
      <alignment vertical="center"/>
    </xf>
    <xf numFmtId="0" fontId="10" fillId="0" borderId="7" xfId="0" applyFont="1" applyBorder="1"/>
    <xf numFmtId="0" fontId="10" fillId="16" borderId="7" xfId="0" applyFont="1" applyFill="1" applyBorder="1"/>
    <xf numFmtId="0" fontId="10" fillId="16" borderId="22" xfId="0" applyFont="1" applyFill="1" applyBorder="1"/>
    <xf numFmtId="1" fontId="10" fillId="0" borderId="89" xfId="0" applyNumberFormat="1" applyFont="1" applyBorder="1" applyAlignment="1">
      <alignment horizontal="center" vertical="center"/>
    </xf>
    <xf numFmtId="1" fontId="10" fillId="0" borderId="99" xfId="0" applyNumberFormat="1" applyFont="1" applyBorder="1" applyAlignment="1">
      <alignment horizontal="center"/>
    </xf>
    <xf numFmtId="0" fontId="17" fillId="0" borderId="119" xfId="0" applyFont="1" applyBorder="1" applyAlignment="1">
      <alignment vertical="center"/>
    </xf>
    <xf numFmtId="0" fontId="10" fillId="16" borderId="99" xfId="0" applyFont="1" applyFill="1" applyBorder="1" applyAlignment="1">
      <alignment horizontal="center"/>
    </xf>
    <xf numFmtId="0" fontId="10" fillId="16" borderId="53" xfId="0" applyFont="1" applyFill="1" applyBorder="1"/>
    <xf numFmtId="0" fontId="10" fillId="10" borderId="49" xfId="0" applyFont="1" applyFill="1" applyBorder="1"/>
    <xf numFmtId="0" fontId="10" fillId="10" borderId="50" xfId="0" applyFont="1" applyFill="1" applyBorder="1"/>
    <xf numFmtId="0" fontId="10" fillId="16" borderId="89" xfId="0" applyFont="1" applyFill="1" applyBorder="1" applyAlignment="1">
      <alignment horizontal="center"/>
    </xf>
    <xf numFmtId="1" fontId="10" fillId="0" borderId="99" xfId="0" applyNumberFormat="1" applyFont="1" applyBorder="1" applyAlignment="1">
      <alignment horizontal="center" vertical="center"/>
    </xf>
    <xf numFmtId="0" fontId="10" fillId="16" borderId="99" xfId="0" applyFont="1" applyFill="1" applyBorder="1" applyAlignment="1">
      <alignment horizontal="center" vertical="center"/>
    </xf>
    <xf numFmtId="0" fontId="10" fillId="16" borderId="53" xfId="0" applyFont="1" applyFill="1" applyBorder="1" applyAlignment="1">
      <alignment vertical="center"/>
    </xf>
    <xf numFmtId="0" fontId="10" fillId="16" borderId="89" xfId="0" applyFont="1" applyFill="1" applyBorder="1" applyAlignment="1">
      <alignment horizontal="center" vertical="center"/>
    </xf>
    <xf numFmtId="166" fontId="10" fillId="0" borderId="49" xfId="0" applyNumberFormat="1" applyFont="1" applyBorder="1" applyAlignment="1">
      <alignment horizontal="center"/>
    </xf>
    <xf numFmtId="0" fontId="10" fillId="10" borderId="49" xfId="0" applyFont="1" applyFill="1" applyBorder="1" applyAlignment="1">
      <alignment horizontal="center"/>
    </xf>
    <xf numFmtId="0" fontId="10" fillId="0" borderId="31" xfId="0" applyFont="1" applyBorder="1" applyAlignment="1">
      <alignment horizontal="left"/>
    </xf>
    <xf numFmtId="0" fontId="10" fillId="2" borderId="35" xfId="0" applyFont="1" applyFill="1" applyBorder="1" applyAlignment="1">
      <alignment horizontal="left"/>
    </xf>
    <xf numFmtId="0" fontId="10" fillId="6" borderId="35" xfId="0" applyFont="1" applyFill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10" fillId="8" borderId="3" xfId="0" applyFont="1" applyFill="1" applyBorder="1" applyAlignment="1">
      <alignment horizontal="left"/>
    </xf>
    <xf numFmtId="0" fontId="10" fillId="0" borderId="7" xfId="0" applyFont="1" applyBorder="1" applyAlignment="1">
      <alignment horizontal="left"/>
    </xf>
    <xf numFmtId="2" fontId="26" fillId="0" borderId="0" xfId="0" applyNumberFormat="1" applyFont="1"/>
    <xf numFmtId="0" fontId="10" fillId="16" borderId="19" xfId="0" applyFont="1" applyFill="1" applyBorder="1" applyAlignment="1">
      <alignment horizontal="center" wrapText="1"/>
    </xf>
    <xf numFmtId="2" fontId="9" fillId="23" borderId="0" xfId="0" applyNumberFormat="1" applyFont="1" applyFill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center"/>
    </xf>
    <xf numFmtId="14" fontId="19" fillId="0" borderId="20" xfId="0" applyNumberFormat="1" applyFont="1" applyBorder="1" applyAlignment="1">
      <alignment horizontal="right"/>
    </xf>
    <xf numFmtId="0" fontId="19" fillId="2" borderId="2" xfId="0" applyFont="1" applyFill="1" applyBorder="1" applyAlignment="1">
      <alignment horizontal="right"/>
    </xf>
    <xf numFmtId="14" fontId="19" fillId="0" borderId="24" xfId="0" applyNumberFormat="1" applyFont="1" applyBorder="1" applyAlignment="1">
      <alignment horizontal="right"/>
    </xf>
    <xf numFmtId="0" fontId="32" fillId="22" borderId="75" xfId="0" applyFont="1" applyFill="1" applyBorder="1" applyAlignment="1">
      <alignment horizontal="right" vertical="center"/>
    </xf>
    <xf numFmtId="0" fontId="19" fillId="0" borderId="89" xfId="0" applyFont="1" applyBorder="1" applyAlignment="1">
      <alignment horizontal="right"/>
    </xf>
    <xf numFmtId="0" fontId="32" fillId="22" borderId="0" xfId="0" applyFont="1" applyFill="1" applyAlignment="1">
      <alignment horizontal="right" vertical="center"/>
    </xf>
    <xf numFmtId="0" fontId="19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0" fontId="26" fillId="0" borderId="23" xfId="0" applyFont="1" applyBorder="1" applyAlignment="1">
      <alignment horizontal="left"/>
    </xf>
    <xf numFmtId="0" fontId="10" fillId="10" borderId="0" xfId="0" applyFont="1" applyFill="1"/>
    <xf numFmtId="0" fontId="10" fillId="0" borderId="120" xfId="0" quotePrefix="1" applyFont="1" applyBorder="1" applyAlignment="1">
      <alignment vertical="center"/>
    </xf>
    <xf numFmtId="0" fontId="10" fillId="0" borderId="120" xfId="0" quotePrefix="1" applyFont="1" applyBorder="1"/>
    <xf numFmtId="1" fontId="17" fillId="0" borderId="25" xfId="0" applyNumberFormat="1" applyFont="1" applyBorder="1" applyAlignment="1">
      <alignment horizontal="right"/>
    </xf>
    <xf numFmtId="2" fontId="18" fillId="0" borderId="0" xfId="0" applyNumberFormat="1" applyFont="1"/>
    <xf numFmtId="2" fontId="10" fillId="28" borderId="0" xfId="0" applyNumberFormat="1" applyFont="1" applyFill="1"/>
    <xf numFmtId="1" fontId="10" fillId="28" borderId="0" xfId="0" applyNumberFormat="1" applyFont="1" applyFill="1"/>
    <xf numFmtId="0" fontId="53" fillId="4" borderId="116" xfId="0" applyFont="1" applyFill="1" applyBorder="1"/>
    <xf numFmtId="0" fontId="42" fillId="0" borderId="0" xfId="0" applyFont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15" fillId="2" borderId="2" xfId="0" applyFont="1" applyFill="1" applyBorder="1" applyAlignment="1">
      <alignment horizontal="center" vertical="center"/>
    </xf>
    <xf numFmtId="49" fontId="15" fillId="2" borderId="2" xfId="0" applyNumberFormat="1" applyFont="1" applyFill="1" applyBorder="1" applyAlignment="1">
      <alignment horizontal="left" vertical="center"/>
    </xf>
    <xf numFmtId="49" fontId="15" fillId="2" borderId="2" xfId="0" applyNumberFormat="1" applyFont="1" applyFill="1" applyBorder="1" applyAlignment="1">
      <alignment horizontal="right" vertical="center"/>
    </xf>
    <xf numFmtId="0" fontId="66" fillId="0" borderId="0" xfId="0" applyFont="1" applyAlignment="1">
      <alignment horizontal="center" vertical="center"/>
    </xf>
    <xf numFmtId="0" fontId="67" fillId="0" borderId="19" xfId="0" applyFont="1" applyBorder="1" applyAlignment="1">
      <alignment horizontal="center"/>
    </xf>
    <xf numFmtId="49" fontId="67" fillId="0" borderId="19" xfId="0" applyNumberFormat="1" applyFont="1" applyBorder="1" applyAlignment="1">
      <alignment horizontal="left"/>
    </xf>
    <xf numFmtId="49" fontId="66" fillId="15" borderId="19" xfId="0" applyNumberFormat="1" applyFont="1" applyFill="1" applyBorder="1" applyAlignment="1">
      <alignment horizontal="right"/>
    </xf>
    <xf numFmtId="0" fontId="42" fillId="0" borderId="20" xfId="0" applyFont="1" applyBorder="1" applyAlignment="1">
      <alignment horizontal="center"/>
    </xf>
    <xf numFmtId="2" fontId="66" fillId="3" borderId="20" xfId="0" applyNumberFormat="1" applyFont="1" applyFill="1" applyBorder="1" applyAlignment="1">
      <alignment horizontal="right"/>
    </xf>
    <xf numFmtId="1" fontId="42" fillId="0" borderId="20" xfId="0" applyNumberFormat="1" applyFont="1" applyBorder="1" applyAlignment="1">
      <alignment horizontal="center"/>
    </xf>
    <xf numFmtId="0" fontId="42" fillId="0" borderId="19" xfId="0" applyFont="1" applyBorder="1" applyAlignment="1">
      <alignment horizontal="center"/>
    </xf>
    <xf numFmtId="49" fontId="42" fillId="0" borderId="19" xfId="0" applyNumberFormat="1" applyFont="1" applyBorder="1" applyAlignment="1">
      <alignment horizontal="left"/>
    </xf>
    <xf numFmtId="2" fontId="66" fillId="0" borderId="20" xfId="0" applyNumberFormat="1" applyFont="1" applyBorder="1" applyAlignment="1">
      <alignment horizontal="right"/>
    </xf>
    <xf numFmtId="0" fontId="42" fillId="0" borderId="0" xfId="0" applyFont="1"/>
    <xf numFmtId="0" fontId="42" fillId="0" borderId="19" xfId="0" applyFont="1" applyBorder="1"/>
    <xf numFmtId="0" fontId="42" fillId="0" borderId="0" xfId="0" applyFont="1" applyAlignment="1">
      <alignment horizontal="center"/>
    </xf>
    <xf numFmtId="49" fontId="42" fillId="0" borderId="0" xfId="0" applyNumberFormat="1" applyFont="1" applyAlignment="1">
      <alignment horizontal="left"/>
    </xf>
    <xf numFmtId="49" fontId="66" fillId="0" borderId="0" xfId="0" applyNumberFormat="1" applyFont="1" applyAlignment="1">
      <alignment horizontal="right"/>
    </xf>
    <xf numFmtId="0" fontId="66" fillId="0" borderId="1" xfId="0" applyFont="1" applyBorder="1" applyAlignment="1">
      <alignment horizontal="center"/>
    </xf>
    <xf numFmtId="2" fontId="66" fillId="19" borderId="1" xfId="0" applyNumberFormat="1" applyFont="1" applyFill="1" applyBorder="1" applyAlignment="1">
      <alignment horizontal="right"/>
    </xf>
    <xf numFmtId="1" fontId="66" fillId="0" borderId="1" xfId="0" applyNumberFormat="1" applyFont="1" applyBorder="1" applyAlignment="1">
      <alignment horizontal="center"/>
    </xf>
    <xf numFmtId="49" fontId="42" fillId="0" borderId="0" xfId="0" applyNumberFormat="1" applyFont="1" applyAlignment="1">
      <alignment horizontal="right"/>
    </xf>
    <xf numFmtId="164" fontId="15" fillId="2" borderId="2" xfId="0" applyNumberFormat="1" applyFont="1" applyFill="1" applyBorder="1" applyAlignment="1">
      <alignment vertical="center"/>
    </xf>
    <xf numFmtId="0" fontId="51" fillId="0" borderId="19" xfId="0" applyFont="1" applyBorder="1" applyAlignment="1">
      <alignment horizontal="center"/>
    </xf>
    <xf numFmtId="49" fontId="51" fillId="0" borderId="19" xfId="0" applyNumberFormat="1" applyFont="1" applyBorder="1" applyAlignment="1">
      <alignment horizontal="left"/>
    </xf>
    <xf numFmtId="0" fontId="42" fillId="0" borderId="24" xfId="0" applyFont="1" applyBorder="1" applyAlignment="1">
      <alignment horizontal="center"/>
    </xf>
    <xf numFmtId="2" fontId="66" fillId="0" borderId="24" xfId="0" applyNumberFormat="1" applyFont="1" applyBorder="1" applyAlignment="1">
      <alignment horizontal="right"/>
    </xf>
    <xf numFmtId="49" fontId="15" fillId="15" borderId="19" xfId="0" applyNumberFormat="1" applyFont="1" applyFill="1" applyBorder="1" applyAlignment="1">
      <alignment horizontal="right"/>
    </xf>
    <xf numFmtId="49" fontId="15" fillId="0" borderId="0" xfId="0" applyNumberFormat="1" applyFont="1" applyAlignment="1">
      <alignment horizontal="right"/>
    </xf>
    <xf numFmtId="0" fontId="65" fillId="2" borderId="37" xfId="0" applyFont="1" applyFill="1" applyBorder="1" applyAlignment="1">
      <alignment vertical="center"/>
    </xf>
    <xf numFmtId="0" fontId="65" fillId="2" borderId="2" xfId="0" applyFont="1" applyFill="1" applyBorder="1" applyAlignment="1">
      <alignment vertical="center"/>
    </xf>
    <xf numFmtId="2" fontId="66" fillId="0" borderId="20" xfId="0" applyNumberFormat="1" applyFont="1" applyBorder="1"/>
    <xf numFmtId="2" fontId="66" fillId="19" borderId="1" xfId="0" applyNumberFormat="1" applyFont="1" applyFill="1" applyBorder="1"/>
    <xf numFmtId="0" fontId="65" fillId="2" borderId="2" xfId="0" applyFont="1" applyFill="1" applyBorder="1" applyAlignment="1">
      <alignment horizontal="center" vertical="center"/>
    </xf>
    <xf numFmtId="0" fontId="42" fillId="0" borderId="5" xfId="0" applyFont="1" applyBorder="1" applyAlignment="1">
      <alignment horizontal="center"/>
    </xf>
    <xf numFmtId="166" fontId="42" fillId="0" borderId="5" xfId="0" applyNumberFormat="1" applyFont="1" applyBorder="1" applyAlignment="1">
      <alignment horizontal="center"/>
    </xf>
    <xf numFmtId="0" fontId="5" fillId="0" borderId="0" xfId="0" applyFont="1"/>
    <xf numFmtId="166" fontId="68" fillId="2" borderId="9" xfId="0" applyNumberFormat="1" applyFont="1" applyFill="1" applyBorder="1" applyAlignment="1">
      <alignment vertical="center"/>
    </xf>
    <xf numFmtId="166" fontId="65" fillId="2" borderId="2" xfId="0" applyNumberFormat="1" applyFont="1" applyFill="1" applyBorder="1" applyAlignment="1">
      <alignment horizontal="center" vertical="center"/>
    </xf>
    <xf numFmtId="0" fontId="42" fillId="0" borderId="20" xfId="0" applyFont="1" applyBorder="1" applyAlignment="1">
      <alignment horizontal="right"/>
    </xf>
    <xf numFmtId="0" fontId="51" fillId="27" borderId="19" xfId="0" applyFont="1" applyFill="1" applyBorder="1" applyAlignment="1">
      <alignment horizontal="center"/>
    </xf>
    <xf numFmtId="0" fontId="70" fillId="0" borderId="0" xfId="0" applyFont="1" applyAlignment="1">
      <alignment horizontal="center" vertical="center"/>
    </xf>
    <xf numFmtId="49" fontId="71" fillId="0" borderId="0" xfId="0" applyNumberFormat="1" applyFont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2" fontId="71" fillId="19" borderId="1" xfId="0" applyNumberFormat="1" applyFont="1" applyFill="1" applyBorder="1" applyAlignment="1">
      <alignment horizontal="center" vertical="center"/>
    </xf>
    <xf numFmtId="49" fontId="66" fillId="0" borderId="0" xfId="0" applyNumberFormat="1" applyFont="1"/>
    <xf numFmtId="0" fontId="42" fillId="0" borderId="0" xfId="0" applyFont="1" applyAlignment="1">
      <alignment horizontal="left"/>
    </xf>
    <xf numFmtId="0" fontId="42" fillId="0" borderId="20" xfId="0" applyFont="1" applyBorder="1"/>
    <xf numFmtId="166" fontId="66" fillId="0" borderId="20" xfId="0" applyNumberFormat="1" applyFont="1" applyBorder="1"/>
    <xf numFmtId="0" fontId="42" fillId="0" borderId="24" xfId="0" applyFont="1" applyBorder="1"/>
    <xf numFmtId="0" fontId="70" fillId="0" borderId="0" xfId="0" applyFont="1" applyAlignment="1">
      <alignment horizontal="left" vertical="center"/>
    </xf>
    <xf numFmtId="49" fontId="71" fillId="0" borderId="0" xfId="0" applyNumberFormat="1" applyFont="1" applyAlignment="1">
      <alignment horizontal="right" vertical="center"/>
    </xf>
    <xf numFmtId="0" fontId="71" fillId="0" borderId="1" xfId="0" applyFont="1" applyBorder="1" applyAlignment="1">
      <alignment horizontal="right" vertical="center"/>
    </xf>
    <xf numFmtId="166" fontId="71" fillId="19" borderId="1" xfId="0" applyNumberFormat="1" applyFont="1" applyFill="1" applyBorder="1" applyAlignment="1">
      <alignment horizontal="right" vertical="center"/>
    </xf>
    <xf numFmtId="0" fontId="70" fillId="0" borderId="0" xfId="0" applyFont="1" applyAlignment="1">
      <alignment horizontal="center"/>
    </xf>
    <xf numFmtId="0" fontId="70" fillId="0" borderId="0" xfId="0" applyFont="1" applyAlignment="1">
      <alignment horizontal="left"/>
    </xf>
    <xf numFmtId="49" fontId="71" fillId="0" borderId="0" xfId="0" applyNumberFormat="1" applyFont="1" applyAlignment="1">
      <alignment horizontal="right"/>
    </xf>
    <xf numFmtId="0" fontId="70" fillId="0" borderId="0" xfId="0" applyFont="1"/>
    <xf numFmtId="166" fontId="71" fillId="0" borderId="0" xfId="0" applyNumberFormat="1" applyFont="1"/>
    <xf numFmtId="166" fontId="70" fillId="0" borderId="0" xfId="0" applyNumberFormat="1" applyFont="1" applyAlignment="1">
      <alignment horizontal="center"/>
    </xf>
    <xf numFmtId="49" fontId="15" fillId="2" borderId="2" xfId="0" applyNumberFormat="1" applyFont="1" applyFill="1" applyBorder="1" applyAlignment="1">
      <alignment horizontal="center" vertical="center"/>
    </xf>
    <xf numFmtId="49" fontId="66" fillId="15" borderId="19" xfId="0" applyNumberFormat="1" applyFont="1" applyFill="1" applyBorder="1" applyAlignment="1">
      <alignment horizontal="center"/>
    </xf>
    <xf numFmtId="0" fontId="42" fillId="0" borderId="22" xfId="0" applyFont="1" applyBorder="1" applyAlignment="1">
      <alignment horizontal="center"/>
    </xf>
    <xf numFmtId="49" fontId="42" fillId="0" borderId="22" xfId="0" applyNumberFormat="1" applyFont="1" applyBorder="1" applyAlignment="1">
      <alignment horizontal="left"/>
    </xf>
    <xf numFmtId="49" fontId="66" fillId="0" borderId="96" xfId="0" applyNumberFormat="1" applyFont="1" applyBorder="1" applyAlignment="1">
      <alignment horizontal="center"/>
    </xf>
    <xf numFmtId="49" fontId="66" fillId="0" borderId="0" xfId="0" applyNumberFormat="1" applyFont="1" applyAlignment="1">
      <alignment horizontal="center"/>
    </xf>
    <xf numFmtId="10" fontId="42" fillId="2" borderId="2" xfId="0" quotePrefix="1" applyNumberFormat="1" applyFont="1" applyFill="1" applyBorder="1" applyAlignment="1">
      <alignment horizontal="center"/>
    </xf>
    <xf numFmtId="49" fontId="15" fillId="15" borderId="0" xfId="0" applyNumberFormat="1" applyFont="1" applyFill="1" applyAlignment="1">
      <alignment horizontal="center"/>
    </xf>
    <xf numFmtId="1" fontId="42" fillId="0" borderId="28" xfId="1" applyNumberFormat="1" applyFont="1" applyBorder="1" applyAlignment="1">
      <alignment horizontal="center"/>
    </xf>
    <xf numFmtId="43" fontId="66" fillId="0" borderId="28" xfId="2" applyFont="1" applyBorder="1" applyAlignment="1">
      <alignment horizontal="right"/>
    </xf>
    <xf numFmtId="49" fontId="66" fillId="0" borderId="22" xfId="0" applyNumberFormat="1" applyFont="1" applyBorder="1" applyAlignment="1">
      <alignment horizontal="center"/>
    </xf>
    <xf numFmtId="49" fontId="42" fillId="0" borderId="0" xfId="0" applyNumberFormat="1" applyFont="1"/>
    <xf numFmtId="1" fontId="42" fillId="0" borderId="20" xfId="1" applyNumberFormat="1" applyFont="1" applyBorder="1" applyAlignment="1">
      <alignment horizontal="center"/>
    </xf>
    <xf numFmtId="2" fontId="66" fillId="0" borderId="20" xfId="1" applyNumberFormat="1" applyFont="1" applyBorder="1" applyAlignment="1">
      <alignment horizontal="right"/>
    </xf>
    <xf numFmtId="2" fontId="66" fillId="5" borderId="1" xfId="0" applyNumberFormat="1" applyFont="1" applyFill="1" applyBorder="1" applyAlignment="1">
      <alignment horizontal="right"/>
    </xf>
    <xf numFmtId="0" fontId="15" fillId="0" borderId="1" xfId="0" applyFont="1" applyBorder="1" applyAlignment="1">
      <alignment horizontal="center"/>
    </xf>
    <xf numFmtId="2" fontId="15" fillId="19" borderId="1" xfId="0" applyNumberFormat="1" applyFont="1" applyFill="1" applyBorder="1" applyAlignment="1">
      <alignment horizontal="right"/>
    </xf>
    <xf numFmtId="10" fontId="73" fillId="2" borderId="2" xfId="0" quotePrefix="1" applyNumberFormat="1" applyFont="1" applyFill="1" applyBorder="1" applyAlignment="1">
      <alignment horizontal="center"/>
    </xf>
    <xf numFmtId="0" fontId="42" fillId="0" borderId="26" xfId="0" applyFont="1" applyBorder="1"/>
    <xf numFmtId="2" fontId="66" fillId="0" borderId="5" xfId="1" applyNumberFormat="1" applyFont="1" applyBorder="1" applyAlignment="1">
      <alignment horizontal="right"/>
    </xf>
    <xf numFmtId="49" fontId="66" fillId="0" borderId="19" xfId="0" applyNumberFormat="1" applyFont="1" applyBorder="1" applyAlignment="1">
      <alignment horizontal="center"/>
    </xf>
    <xf numFmtId="2" fontId="66" fillId="0" borderId="89" xfId="1" applyNumberFormat="1" applyFont="1" applyFill="1" applyBorder="1" applyAlignment="1">
      <alignment horizontal="right"/>
    </xf>
    <xf numFmtId="0" fontId="42" fillId="2" borderId="2" xfId="0" applyFont="1" applyFill="1" applyBorder="1" applyAlignment="1">
      <alignment horizontal="center"/>
    </xf>
    <xf numFmtId="49" fontId="42" fillId="2" borderId="2" xfId="0" applyNumberFormat="1" applyFont="1" applyFill="1" applyBorder="1" applyAlignment="1">
      <alignment horizontal="left"/>
    </xf>
    <xf numFmtId="49" fontId="66" fillId="2" borderId="2" xfId="0" applyNumberFormat="1" applyFont="1" applyFill="1" applyBorder="1" applyAlignment="1">
      <alignment horizontal="center"/>
    </xf>
    <xf numFmtId="10" fontId="74" fillId="2" borderId="2" xfId="0" quotePrefix="1" applyNumberFormat="1" applyFont="1" applyFill="1" applyBorder="1" applyAlignment="1">
      <alignment horizontal="center"/>
    </xf>
    <xf numFmtId="0" fontId="42" fillId="6" borderId="2" xfId="0" applyFont="1" applyFill="1" applyBorder="1" applyAlignment="1">
      <alignment horizontal="center"/>
    </xf>
    <xf numFmtId="49" fontId="42" fillId="6" borderId="2" xfId="0" applyNumberFormat="1" applyFont="1" applyFill="1" applyBorder="1" applyAlignment="1">
      <alignment horizontal="left"/>
    </xf>
    <xf numFmtId="49" fontId="66" fillId="6" borderId="2" xfId="0" applyNumberFormat="1" applyFont="1" applyFill="1" applyBorder="1" applyAlignment="1">
      <alignment horizontal="center"/>
    </xf>
    <xf numFmtId="10" fontId="74" fillId="6" borderId="2" xfId="0" quotePrefix="1" applyNumberFormat="1" applyFont="1" applyFill="1" applyBorder="1" applyAlignment="1">
      <alignment horizontal="center"/>
    </xf>
    <xf numFmtId="0" fontId="42" fillId="0" borderId="23" xfId="0" applyFont="1" applyBorder="1" applyAlignment="1">
      <alignment horizontal="center"/>
    </xf>
    <xf numFmtId="49" fontId="42" fillId="0" borderId="23" xfId="0" applyNumberFormat="1" applyFont="1" applyBorder="1" applyAlignment="1">
      <alignment horizontal="left"/>
    </xf>
    <xf numFmtId="49" fontId="66" fillId="15" borderId="23" xfId="0" applyNumberFormat="1" applyFont="1" applyFill="1" applyBorder="1" applyAlignment="1">
      <alignment horizontal="center"/>
    </xf>
    <xf numFmtId="0" fontId="42" fillId="0" borderId="28" xfId="0" applyFont="1" applyBorder="1" applyAlignment="1">
      <alignment horizontal="center"/>
    </xf>
    <xf numFmtId="2" fontId="66" fillId="0" borderId="28" xfId="1" applyNumberFormat="1" applyFont="1" applyBorder="1" applyAlignment="1">
      <alignment horizontal="right"/>
    </xf>
    <xf numFmtId="0" fontId="15" fillId="8" borderId="2" xfId="0" applyFont="1" applyFill="1" applyBorder="1" applyAlignment="1">
      <alignment horizontal="center" vertical="center"/>
    </xf>
    <xf numFmtId="10" fontId="74" fillId="8" borderId="2" xfId="0" quotePrefix="1" applyNumberFormat="1" applyFont="1" applyFill="1" applyBorder="1" applyAlignment="1">
      <alignment horizontal="center"/>
    </xf>
    <xf numFmtId="49" fontId="66" fillId="0" borderId="23" xfId="0" applyNumberFormat="1" applyFont="1" applyBorder="1" applyAlignment="1">
      <alignment horizontal="center"/>
    </xf>
    <xf numFmtId="2" fontId="42" fillId="0" borderId="20" xfId="1" applyNumberFormat="1" applyFont="1" applyBorder="1" applyAlignment="1">
      <alignment horizontal="center"/>
    </xf>
    <xf numFmtId="0" fontId="68" fillId="2" borderId="9" xfId="0" applyFont="1" applyFill="1" applyBorder="1" applyAlignment="1">
      <alignment horizontal="right" vertical="center"/>
    </xf>
    <xf numFmtId="1" fontId="42" fillId="0" borderId="20" xfId="0" applyNumberFormat="1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2" fontId="66" fillId="19" borderId="1" xfId="0" applyNumberFormat="1" applyFont="1" applyFill="1" applyBorder="1" applyAlignment="1">
      <alignment horizontal="right" vertical="center"/>
    </xf>
    <xf numFmtId="1" fontId="66" fillId="0" borderId="1" xfId="0" applyNumberFormat="1" applyFont="1" applyBorder="1" applyAlignment="1">
      <alignment horizontal="center" vertical="center"/>
    </xf>
    <xf numFmtId="0" fontId="66" fillId="0" borderId="0" xfId="0" applyFont="1" applyAlignment="1">
      <alignment horizontal="right"/>
    </xf>
    <xf numFmtId="0" fontId="42" fillId="4" borderId="2" xfId="0" applyFont="1" applyFill="1" applyBorder="1" applyAlignment="1">
      <alignment horizontal="center"/>
    </xf>
    <xf numFmtId="49" fontId="42" fillId="4" borderId="2" xfId="0" applyNumberFormat="1" applyFont="1" applyFill="1" applyBorder="1" applyAlignment="1">
      <alignment horizontal="left"/>
    </xf>
    <xf numFmtId="0" fontId="42" fillId="4" borderId="2" xfId="0" applyFont="1" applyFill="1" applyBorder="1"/>
    <xf numFmtId="166" fontId="68" fillId="4" borderId="9" xfId="0" applyNumberFormat="1" applyFont="1" applyFill="1" applyBorder="1" applyAlignment="1">
      <alignment horizontal="right"/>
    </xf>
    <xf numFmtId="166" fontId="65" fillId="4" borderId="2" xfId="0" applyNumberFormat="1" applyFont="1" applyFill="1" applyBorder="1" applyAlignment="1">
      <alignment horizontal="center"/>
    </xf>
    <xf numFmtId="49" fontId="42" fillId="0" borderId="0" xfId="0" applyNumberFormat="1" applyFont="1" applyAlignment="1">
      <alignment horizontal="left" vertical="center"/>
    </xf>
    <xf numFmtId="49" fontId="66" fillId="0" borderId="0" xfId="0" applyNumberFormat="1" applyFont="1" applyAlignment="1">
      <alignment horizontal="right" vertical="center"/>
    </xf>
    <xf numFmtId="166" fontId="68" fillId="2" borderId="2" xfId="0" applyNumberFormat="1" applyFont="1" applyFill="1" applyBorder="1" applyAlignment="1">
      <alignment horizontal="right" vertical="center"/>
    </xf>
    <xf numFmtId="49" fontId="47" fillId="15" borderId="19" xfId="0" applyNumberFormat="1" applyFont="1" applyFill="1" applyBorder="1" applyAlignment="1">
      <alignment horizontal="right"/>
    </xf>
    <xf numFmtId="2" fontId="66" fillId="5" borderId="1" xfId="0" applyNumberFormat="1" applyFont="1" applyFill="1" applyBorder="1" applyAlignment="1">
      <alignment horizontal="right" vertical="center"/>
    </xf>
    <xf numFmtId="166" fontId="68" fillId="4" borderId="2" xfId="0" applyNumberFormat="1" applyFont="1" applyFill="1" applyBorder="1" applyAlignment="1">
      <alignment horizontal="right"/>
    </xf>
    <xf numFmtId="0" fontId="75" fillId="0" borderId="20" xfId="0" applyFont="1" applyBorder="1" applyAlignment="1">
      <alignment horizontal="center"/>
    </xf>
    <xf numFmtId="166" fontId="15" fillId="2" borderId="2" xfId="0" applyNumberFormat="1" applyFont="1" applyFill="1" applyBorder="1" applyAlignment="1">
      <alignment horizontal="right" vertical="center"/>
    </xf>
    <xf numFmtId="166" fontId="15" fillId="2" borderId="2" xfId="0" applyNumberFormat="1" applyFont="1" applyFill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49" fontId="42" fillId="0" borderId="17" xfId="0" applyNumberFormat="1" applyFont="1" applyBorder="1" applyAlignment="1">
      <alignment horizontal="left"/>
    </xf>
    <xf numFmtId="49" fontId="66" fillId="15" borderId="17" xfId="0" applyNumberFormat="1" applyFont="1" applyFill="1" applyBorder="1" applyAlignment="1">
      <alignment horizontal="right"/>
    </xf>
    <xf numFmtId="0" fontId="42" fillId="0" borderId="18" xfId="0" applyFont="1" applyBorder="1"/>
    <xf numFmtId="166" fontId="66" fillId="0" borderId="18" xfId="0" applyNumberFormat="1" applyFont="1" applyBorder="1" applyAlignment="1">
      <alignment horizontal="right"/>
    </xf>
    <xf numFmtId="166" fontId="42" fillId="0" borderId="18" xfId="0" applyNumberFormat="1" applyFont="1" applyBorder="1" applyAlignment="1">
      <alignment horizontal="center"/>
    </xf>
    <xf numFmtId="49" fontId="66" fillId="15" borderId="0" xfId="0" applyNumberFormat="1" applyFont="1" applyFill="1" applyAlignment="1">
      <alignment horizontal="right"/>
    </xf>
    <xf numFmtId="0" fontId="42" fillId="0" borderId="5" xfId="0" applyFont="1" applyBorder="1"/>
    <xf numFmtId="166" fontId="66" fillId="0" borderId="5" xfId="0" applyNumberFormat="1" applyFont="1" applyBorder="1" applyAlignment="1">
      <alignment horizontal="right"/>
    </xf>
    <xf numFmtId="0" fontId="66" fillId="0" borderId="4" xfId="0" applyFont="1" applyBorder="1" applyAlignment="1">
      <alignment horizontal="center" vertical="center"/>
    </xf>
    <xf numFmtId="166" fontId="66" fillId="0" borderId="4" xfId="0" applyNumberFormat="1" applyFont="1" applyBorder="1" applyAlignment="1">
      <alignment horizontal="right" vertical="center"/>
    </xf>
    <xf numFmtId="166" fontId="66" fillId="0" borderId="4" xfId="0" applyNumberFormat="1" applyFont="1" applyBorder="1" applyAlignment="1">
      <alignment horizontal="center" vertical="center"/>
    </xf>
    <xf numFmtId="0" fontId="76" fillId="2" borderId="2" xfId="0" applyFont="1" applyFill="1" applyBorder="1"/>
    <xf numFmtId="0" fontId="77" fillId="2" borderId="2" xfId="0" applyFont="1" applyFill="1" applyBorder="1" applyAlignment="1">
      <alignment horizontal="right"/>
    </xf>
    <xf numFmtId="166" fontId="76" fillId="2" borderId="2" xfId="0" applyNumberFormat="1" applyFont="1" applyFill="1" applyBorder="1" applyAlignment="1">
      <alignment horizontal="center"/>
    </xf>
    <xf numFmtId="0" fontId="42" fillId="0" borderId="19" xfId="0" applyFont="1" applyBorder="1" applyAlignment="1">
      <alignment horizontal="center" vertical="center"/>
    </xf>
    <xf numFmtId="49" fontId="42" fillId="0" borderId="19" xfId="0" applyNumberFormat="1" applyFont="1" applyBorder="1" applyAlignment="1">
      <alignment horizontal="left" vertical="center"/>
    </xf>
    <xf numFmtId="49" fontId="66" fillId="15" borderId="19" xfId="0" applyNumberFormat="1" applyFont="1" applyFill="1" applyBorder="1" applyAlignment="1">
      <alignment horizontal="right" vertical="center"/>
    </xf>
    <xf numFmtId="0" fontId="42" fillId="0" borderId="20" xfId="0" applyFont="1" applyBorder="1" applyAlignment="1">
      <alignment horizontal="center" vertical="center"/>
    </xf>
    <xf numFmtId="2" fontId="66" fillId="0" borderId="20" xfId="0" applyNumberFormat="1" applyFont="1" applyBorder="1" applyAlignment="1">
      <alignment horizontal="right" vertical="center"/>
    </xf>
    <xf numFmtId="0" fontId="42" fillId="0" borderId="1" xfId="0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0" fontId="76" fillId="4" borderId="2" xfId="0" applyFont="1" applyFill="1" applyBorder="1"/>
    <xf numFmtId="0" fontId="77" fillId="4" borderId="2" xfId="0" applyFont="1" applyFill="1" applyBorder="1" applyAlignment="1">
      <alignment horizontal="right"/>
    </xf>
    <xf numFmtId="166" fontId="76" fillId="4" borderId="2" xfId="0" applyNumberFormat="1" applyFont="1" applyFill="1" applyBorder="1" applyAlignment="1">
      <alignment horizontal="center"/>
    </xf>
    <xf numFmtId="166" fontId="66" fillId="0" borderId="1" xfId="0" applyNumberFormat="1" applyFont="1" applyBorder="1" applyAlignment="1">
      <alignment horizontal="center" vertical="center"/>
    </xf>
    <xf numFmtId="0" fontId="5" fillId="0" borderId="53" xfId="0" applyFont="1" applyBorder="1" applyAlignment="1">
      <alignment horizontal="center"/>
    </xf>
    <xf numFmtId="0" fontId="67" fillId="9" borderId="7" xfId="0" applyFont="1" applyFill="1" applyBorder="1" applyAlignment="1">
      <alignment horizontal="center" vertical="center"/>
    </xf>
    <xf numFmtId="49" fontId="67" fillId="9" borderId="7" xfId="0" applyNumberFormat="1" applyFont="1" applyFill="1" applyBorder="1" applyAlignment="1">
      <alignment vertical="center"/>
    </xf>
    <xf numFmtId="49" fontId="15" fillId="9" borderId="7" xfId="0" applyNumberFormat="1" applyFont="1" applyFill="1" applyBorder="1" applyAlignment="1">
      <alignment horizontal="center" vertical="center"/>
    </xf>
    <xf numFmtId="0" fontId="67" fillId="9" borderId="7" xfId="0" applyFont="1" applyFill="1" applyBorder="1" applyAlignment="1">
      <alignment vertical="center"/>
    </xf>
    <xf numFmtId="166" fontId="68" fillId="9" borderId="10" xfId="0" applyNumberFormat="1" applyFont="1" applyFill="1" applyBorder="1" applyAlignment="1">
      <alignment vertical="center"/>
    </xf>
    <xf numFmtId="166" fontId="65" fillId="9" borderId="7" xfId="0" applyNumberFormat="1" applyFont="1" applyFill="1" applyBorder="1" applyAlignment="1">
      <alignment horizontal="center" vertical="center"/>
    </xf>
    <xf numFmtId="0" fontId="79" fillId="0" borderId="19" xfId="0" applyFont="1" applyBorder="1" applyAlignment="1">
      <alignment horizontal="center"/>
    </xf>
    <xf numFmtId="49" fontId="79" fillId="0" borderId="19" xfId="0" applyNumberFormat="1" applyFont="1" applyBorder="1"/>
    <xf numFmtId="2" fontId="66" fillId="0" borderId="24" xfId="0" applyNumberFormat="1" applyFont="1" applyBorder="1"/>
    <xf numFmtId="0" fontId="51" fillId="0" borderId="0" xfId="0" applyFont="1" applyAlignment="1">
      <alignment horizontal="center" vertical="center"/>
    </xf>
    <xf numFmtId="49" fontId="51" fillId="0" borderId="0" xfId="0" applyNumberFormat="1" applyFont="1" applyAlignment="1">
      <alignment vertical="center"/>
    </xf>
    <xf numFmtId="49" fontId="66" fillId="0" borderId="0" xfId="0" applyNumberFormat="1" applyFont="1" applyAlignment="1">
      <alignment horizontal="center" vertical="center"/>
    </xf>
    <xf numFmtId="0" fontId="42" fillId="0" borderId="1" xfId="0" applyFont="1" applyBorder="1" applyAlignment="1">
      <alignment vertical="center"/>
    </xf>
    <xf numFmtId="2" fontId="66" fillId="19" borderId="1" xfId="0" applyNumberFormat="1" applyFont="1" applyFill="1" applyBorder="1" applyAlignment="1">
      <alignment vertical="center"/>
    </xf>
    <xf numFmtId="0" fontId="67" fillId="9" borderId="2" xfId="0" applyFont="1" applyFill="1" applyBorder="1" applyAlignment="1">
      <alignment horizontal="center" vertical="center"/>
    </xf>
    <xf numFmtId="49" fontId="67" fillId="9" borderId="2" xfId="0" applyNumberFormat="1" applyFont="1" applyFill="1" applyBorder="1" applyAlignment="1">
      <alignment vertical="center"/>
    </xf>
    <xf numFmtId="49" fontId="15" fillId="9" borderId="2" xfId="0" applyNumberFormat="1" applyFont="1" applyFill="1" applyBorder="1" applyAlignment="1">
      <alignment horizontal="center" vertical="center"/>
    </xf>
    <xf numFmtId="0" fontId="67" fillId="9" borderId="2" xfId="0" applyFont="1" applyFill="1" applyBorder="1" applyAlignment="1">
      <alignment vertical="center"/>
    </xf>
    <xf numFmtId="2" fontId="68" fillId="9" borderId="9" xfId="0" applyNumberFormat="1" applyFont="1" applyFill="1" applyBorder="1" applyAlignment="1">
      <alignment vertical="center"/>
    </xf>
    <xf numFmtId="166" fontId="65" fillId="9" borderId="2" xfId="0" applyNumberFormat="1" applyFont="1" applyFill="1" applyBorder="1" applyAlignment="1">
      <alignment horizontal="center" vertical="center"/>
    </xf>
    <xf numFmtId="49" fontId="42" fillId="0" borderId="19" xfId="0" applyNumberFormat="1" applyFont="1" applyBorder="1"/>
    <xf numFmtId="49" fontId="51" fillId="0" borderId="19" xfId="0" applyNumberFormat="1" applyFont="1" applyBorder="1"/>
    <xf numFmtId="49" fontId="66" fillId="15" borderId="22" xfId="0" applyNumberFormat="1" applyFont="1" applyFill="1" applyBorder="1" applyAlignment="1">
      <alignment horizontal="center"/>
    </xf>
    <xf numFmtId="1" fontId="42" fillId="0" borderId="24" xfId="0" applyNumberFormat="1" applyFont="1" applyBorder="1" applyAlignment="1">
      <alignment horizontal="center"/>
    </xf>
    <xf numFmtId="0" fontId="51" fillId="0" borderId="22" xfId="0" applyFont="1" applyBorder="1" applyAlignment="1">
      <alignment horizontal="center"/>
    </xf>
    <xf numFmtId="49" fontId="51" fillId="0" borderId="22" xfId="0" applyNumberFormat="1" applyFont="1" applyBorder="1"/>
    <xf numFmtId="0" fontId="67" fillId="0" borderId="53" xfId="0" applyFont="1" applyBorder="1" applyAlignment="1">
      <alignment horizontal="center"/>
    </xf>
    <xf numFmtId="49" fontId="67" fillId="0" borderId="53" xfId="0" applyNumberFormat="1" applyFont="1" applyBorder="1"/>
    <xf numFmtId="49" fontId="66" fillId="15" borderId="53" xfId="0" applyNumberFormat="1" applyFont="1" applyFill="1" applyBorder="1" applyAlignment="1">
      <alignment horizontal="center"/>
    </xf>
    <xf numFmtId="0" fontId="42" fillId="0" borderId="99" xfId="0" applyFont="1" applyBorder="1"/>
    <xf numFmtId="49" fontId="42" fillId="0" borderId="0" xfId="0" applyNumberFormat="1" applyFont="1" applyAlignment="1">
      <alignment vertical="center"/>
    </xf>
    <xf numFmtId="0" fontId="42" fillId="0" borderId="89" xfId="0" applyFont="1" applyBorder="1" applyAlignment="1">
      <alignment vertical="center"/>
    </xf>
    <xf numFmtId="2" fontId="66" fillId="19" borderId="89" xfId="0" applyNumberFormat="1" applyFont="1" applyFill="1" applyBorder="1" applyAlignment="1">
      <alignment vertical="center"/>
    </xf>
    <xf numFmtId="2" fontId="66" fillId="0" borderId="0" xfId="0" applyNumberFormat="1" applyFont="1"/>
    <xf numFmtId="166" fontId="42" fillId="0" borderId="0" xfId="0" applyNumberFormat="1" applyFont="1" applyAlignment="1">
      <alignment horizontal="center"/>
    </xf>
    <xf numFmtId="0" fontId="42" fillId="0" borderId="2" xfId="0" applyFont="1" applyBorder="1"/>
    <xf numFmtId="2" fontId="66" fillId="0" borderId="2" xfId="0" applyNumberFormat="1" applyFont="1" applyBorder="1"/>
    <xf numFmtId="0" fontId="42" fillId="0" borderId="2" xfId="0" applyFont="1" applyBorder="1" applyAlignment="1">
      <alignment horizontal="center"/>
    </xf>
    <xf numFmtId="0" fontId="67" fillId="7" borderId="2" xfId="0" applyFont="1" applyFill="1" applyBorder="1" applyAlignment="1">
      <alignment horizontal="center" vertical="center"/>
    </xf>
    <xf numFmtId="49" fontId="67" fillId="7" borderId="2" xfId="0" applyNumberFormat="1" applyFont="1" applyFill="1" applyBorder="1" applyAlignment="1">
      <alignment vertical="center"/>
    </xf>
    <xf numFmtId="49" fontId="15" fillId="7" borderId="2" xfId="0" applyNumberFormat="1" applyFont="1" applyFill="1" applyBorder="1" applyAlignment="1">
      <alignment horizontal="center" vertical="center"/>
    </xf>
    <xf numFmtId="0" fontId="67" fillId="7" borderId="2" xfId="0" applyFont="1" applyFill="1" applyBorder="1" applyAlignment="1">
      <alignment vertical="center"/>
    </xf>
    <xf numFmtId="2" fontId="68" fillId="7" borderId="9" xfId="0" applyNumberFormat="1" applyFont="1" applyFill="1" applyBorder="1" applyAlignment="1">
      <alignment vertical="center"/>
    </xf>
    <xf numFmtId="166" fontId="65" fillId="7" borderId="2" xfId="0" applyNumberFormat="1" applyFont="1" applyFill="1" applyBorder="1" applyAlignment="1">
      <alignment horizontal="center" vertical="center"/>
    </xf>
    <xf numFmtId="166" fontId="42" fillId="0" borderId="1" xfId="0" applyNumberFormat="1" applyFont="1" applyBorder="1" applyAlignment="1">
      <alignment horizontal="center" vertical="center"/>
    </xf>
    <xf numFmtId="49" fontId="51" fillId="0" borderId="0" xfId="0" applyNumberFormat="1" applyFont="1" applyAlignment="1">
      <alignment horizontal="center"/>
    </xf>
    <xf numFmtId="49" fontId="51" fillId="0" borderId="0" xfId="0" applyNumberFormat="1" applyFont="1"/>
    <xf numFmtId="49" fontId="66" fillId="15" borderId="0" xfId="0" applyNumberFormat="1" applyFont="1" applyFill="1" applyAlignment="1">
      <alignment horizontal="center"/>
    </xf>
    <xf numFmtId="2" fontId="66" fillId="0" borderId="5" xfId="0" applyNumberFormat="1" applyFont="1" applyBorder="1"/>
    <xf numFmtId="1" fontId="42" fillId="0" borderId="5" xfId="0" applyNumberFormat="1" applyFont="1" applyBorder="1" applyAlignment="1">
      <alignment horizontal="center"/>
    </xf>
    <xf numFmtId="0" fontId="67" fillId="0" borderId="53" xfId="0" applyFont="1" applyBorder="1" applyAlignment="1">
      <alignment horizontal="center" vertical="center"/>
    </xf>
    <xf numFmtId="49" fontId="67" fillId="0" borderId="53" xfId="0" applyNumberFormat="1" applyFont="1" applyBorder="1" applyAlignment="1">
      <alignment vertical="center"/>
    </xf>
    <xf numFmtId="49" fontId="66" fillId="15" borderId="53" xfId="0" applyNumberFormat="1" applyFont="1" applyFill="1" applyBorder="1" applyAlignment="1">
      <alignment horizontal="center" vertical="center"/>
    </xf>
    <xf numFmtId="0" fontId="42" fillId="0" borderId="99" xfId="0" applyFont="1" applyBorder="1" applyAlignment="1">
      <alignment vertical="center"/>
    </xf>
    <xf numFmtId="2" fontId="66" fillId="0" borderId="99" xfId="0" applyNumberFormat="1" applyFont="1" applyBorder="1" applyAlignment="1">
      <alignment vertical="center"/>
    </xf>
    <xf numFmtId="1" fontId="42" fillId="0" borderId="99" xfId="0" applyNumberFormat="1" applyFont="1" applyBorder="1" applyAlignment="1">
      <alignment horizontal="center" vertical="center"/>
    </xf>
    <xf numFmtId="0" fontId="42" fillId="0" borderId="89" xfId="0" applyFont="1" applyBorder="1"/>
    <xf numFmtId="2" fontId="66" fillId="19" borderId="89" xfId="0" applyNumberFormat="1" applyFont="1" applyFill="1" applyBorder="1"/>
    <xf numFmtId="1" fontId="42" fillId="0" borderId="89" xfId="0" applyNumberFormat="1" applyFont="1" applyBorder="1" applyAlignment="1">
      <alignment horizontal="center"/>
    </xf>
    <xf numFmtId="49" fontId="70" fillId="0" borderId="0" xfId="0" applyNumberFormat="1" applyFont="1"/>
    <xf numFmtId="49" fontId="71" fillId="0" borderId="0" xfId="0" applyNumberFormat="1" applyFont="1" applyAlignment="1">
      <alignment horizontal="center"/>
    </xf>
    <xf numFmtId="0" fontId="80" fillId="7" borderId="2" xfId="0" applyFont="1" applyFill="1" applyBorder="1" applyAlignment="1">
      <alignment horizontal="center" vertical="center"/>
    </xf>
    <xf numFmtId="49" fontId="80" fillId="7" borderId="2" xfId="0" applyNumberFormat="1" applyFont="1" applyFill="1" applyBorder="1" applyAlignment="1">
      <alignment vertical="center"/>
    </xf>
    <xf numFmtId="0" fontId="80" fillId="7" borderId="2" xfId="0" applyFont="1" applyFill="1" applyBorder="1" applyAlignment="1">
      <alignment vertical="center"/>
    </xf>
    <xf numFmtId="2" fontId="81" fillId="7" borderId="9" xfId="0" applyNumberFormat="1" applyFont="1" applyFill="1" applyBorder="1" applyAlignment="1">
      <alignment vertical="center"/>
    </xf>
    <xf numFmtId="166" fontId="82" fillId="7" borderId="2" xfId="0" applyNumberFormat="1" applyFont="1" applyFill="1" applyBorder="1" applyAlignment="1">
      <alignment horizontal="center" vertical="center"/>
    </xf>
    <xf numFmtId="0" fontId="67" fillId="0" borderId="1" xfId="0" applyFont="1" applyBorder="1" applyAlignment="1">
      <alignment vertical="center"/>
    </xf>
    <xf numFmtId="2" fontId="15" fillId="19" borderId="1" xfId="0" applyNumberFormat="1" applyFont="1" applyFill="1" applyBorder="1" applyAlignment="1">
      <alignment vertical="center"/>
    </xf>
    <xf numFmtId="1" fontId="67" fillId="0" borderId="1" xfId="0" applyNumberFormat="1" applyFont="1" applyBorder="1" applyAlignment="1">
      <alignment horizontal="center" vertical="center"/>
    </xf>
    <xf numFmtId="166" fontId="68" fillId="7" borderId="9" xfId="0" applyNumberFormat="1" applyFont="1" applyFill="1" applyBorder="1" applyAlignment="1">
      <alignment vertical="center"/>
    </xf>
    <xf numFmtId="0" fontId="42" fillId="0" borderId="1" xfId="0" applyFont="1" applyBorder="1"/>
    <xf numFmtId="49" fontId="42" fillId="0" borderId="17" xfId="0" applyNumberFormat="1" applyFont="1" applyBorder="1"/>
    <xf numFmtId="49" fontId="66" fillId="0" borderId="17" xfId="0" applyNumberFormat="1" applyFont="1" applyBorder="1" applyAlignment="1">
      <alignment horizontal="center"/>
    </xf>
    <xf numFmtId="49" fontId="42" fillId="0" borderId="23" xfId="0" applyNumberFormat="1" applyFont="1" applyBorder="1"/>
    <xf numFmtId="166" fontId="42" fillId="0" borderId="24" xfId="0" applyNumberFormat="1" applyFont="1" applyBorder="1" applyAlignment="1">
      <alignment horizontal="center"/>
    </xf>
    <xf numFmtId="0" fontId="67" fillId="8" borderId="2" xfId="0" applyFont="1" applyFill="1" applyBorder="1" applyAlignment="1">
      <alignment horizontal="center" vertical="center"/>
    </xf>
    <xf numFmtId="49" fontId="67" fillId="8" borderId="2" xfId="0" applyNumberFormat="1" applyFont="1" applyFill="1" applyBorder="1" applyAlignment="1">
      <alignment vertical="center"/>
    </xf>
    <xf numFmtId="49" fontId="15" fillId="8" borderId="2" xfId="0" applyNumberFormat="1" applyFont="1" applyFill="1" applyBorder="1" applyAlignment="1">
      <alignment horizontal="center" vertical="center"/>
    </xf>
    <xf numFmtId="0" fontId="67" fillId="8" borderId="2" xfId="0" applyFont="1" applyFill="1" applyBorder="1" applyAlignment="1">
      <alignment vertical="center"/>
    </xf>
    <xf numFmtId="2" fontId="68" fillId="8" borderId="9" xfId="0" applyNumberFormat="1" applyFont="1" applyFill="1" applyBorder="1" applyAlignment="1">
      <alignment vertical="center"/>
    </xf>
    <xf numFmtId="166" fontId="65" fillId="8" borderId="2" xfId="0" applyNumberFormat="1" applyFont="1" applyFill="1" applyBorder="1" applyAlignment="1">
      <alignment horizontal="center" vertical="center"/>
    </xf>
    <xf numFmtId="2" fontId="66" fillId="0" borderId="99" xfId="0" applyNumberFormat="1" applyFont="1" applyBorder="1"/>
    <xf numFmtId="1" fontId="42" fillId="0" borderId="99" xfId="0" applyNumberFormat="1" applyFont="1" applyBorder="1" applyAlignment="1">
      <alignment horizontal="center"/>
    </xf>
    <xf numFmtId="2" fontId="42" fillId="19" borderId="89" xfId="0" applyNumberFormat="1" applyFont="1" applyFill="1" applyBorder="1" applyAlignment="1">
      <alignment vertical="center"/>
    </xf>
    <xf numFmtId="1" fontId="42" fillId="0" borderId="89" xfId="0" applyNumberFormat="1" applyFont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49" fontId="42" fillId="0" borderId="7" xfId="0" applyNumberFormat="1" applyFont="1" applyBorder="1"/>
    <xf numFmtId="49" fontId="66" fillId="0" borderId="7" xfId="0" applyNumberFormat="1" applyFont="1" applyBorder="1" applyAlignment="1">
      <alignment horizontal="center"/>
    </xf>
    <xf numFmtId="0" fontId="42" fillId="0" borderId="7" xfId="0" applyFont="1" applyBorder="1"/>
    <xf numFmtId="166" fontId="66" fillId="0" borderId="7" xfId="0" applyNumberFormat="1" applyFont="1" applyBorder="1"/>
    <xf numFmtId="166" fontId="42" fillId="0" borderId="7" xfId="0" applyNumberFormat="1" applyFont="1" applyBorder="1" applyAlignment="1">
      <alignment horizontal="center"/>
    </xf>
    <xf numFmtId="166" fontId="68" fillId="8" borderId="9" xfId="0" applyNumberFormat="1" applyFont="1" applyFill="1" applyBorder="1" applyAlignment="1">
      <alignment vertical="center"/>
    </xf>
    <xf numFmtId="166" fontId="66" fillId="0" borderId="24" xfId="0" applyNumberFormat="1" applyFont="1" applyBorder="1"/>
    <xf numFmtId="166" fontId="66" fillId="19" borderId="1" xfId="0" applyNumberFormat="1" applyFont="1" applyFill="1" applyBorder="1"/>
    <xf numFmtId="0" fontId="67" fillId="2" borderId="2" xfId="0" applyFont="1" applyFill="1" applyBorder="1" applyAlignment="1">
      <alignment horizontal="center" vertical="center"/>
    </xf>
    <xf numFmtId="49" fontId="67" fillId="2" borderId="2" xfId="0" applyNumberFormat="1" applyFont="1" applyFill="1" applyBorder="1" applyAlignment="1">
      <alignment vertical="center"/>
    </xf>
    <xf numFmtId="0" fontId="67" fillId="2" borderId="2" xfId="0" applyFont="1" applyFill="1" applyBorder="1" applyAlignment="1">
      <alignment vertical="center"/>
    </xf>
    <xf numFmtId="166" fontId="68" fillId="20" borderId="9" xfId="0" applyNumberFormat="1" applyFont="1" applyFill="1" applyBorder="1" applyAlignment="1">
      <alignment vertical="center"/>
    </xf>
    <xf numFmtId="166" fontId="65" fillId="20" borderId="2" xfId="0" applyNumberFormat="1" applyFont="1" applyFill="1" applyBorder="1" applyAlignment="1">
      <alignment horizontal="center" vertical="center"/>
    </xf>
    <xf numFmtId="166" fontId="66" fillId="0" borderId="18" xfId="0" applyNumberFormat="1" applyFont="1" applyBorder="1"/>
    <xf numFmtId="166" fontId="66" fillId="0" borderId="1" xfId="0" applyNumberFormat="1" applyFont="1" applyBorder="1"/>
    <xf numFmtId="166" fontId="42" fillId="0" borderId="1" xfId="0" applyNumberFormat="1" applyFont="1" applyBorder="1" applyAlignment="1">
      <alignment horizontal="center"/>
    </xf>
    <xf numFmtId="0" fontId="71" fillId="0" borderId="0" xfId="0" applyFont="1"/>
    <xf numFmtId="0" fontId="15" fillId="12" borderId="2" xfId="0" applyFont="1" applyFill="1" applyBorder="1" applyAlignment="1">
      <alignment horizontal="center" vertical="center"/>
    </xf>
    <xf numFmtId="0" fontId="65" fillId="12" borderId="37" xfId="0" applyFont="1" applyFill="1" applyBorder="1" applyAlignment="1">
      <alignment vertical="center"/>
    </xf>
    <xf numFmtId="0" fontId="65" fillId="12" borderId="2" xfId="0" applyFont="1" applyFill="1" applyBorder="1" applyAlignment="1">
      <alignment horizontal="center" vertical="center"/>
    </xf>
    <xf numFmtId="49" fontId="66" fillId="15" borderId="19" xfId="0" applyNumberFormat="1" applyFont="1" applyFill="1" applyBorder="1" applyAlignment="1">
      <alignment horizontal="center" vertical="center"/>
    </xf>
    <xf numFmtId="49" fontId="66" fillId="15" borderId="22" xfId="0" applyNumberFormat="1" applyFont="1" applyFill="1" applyBorder="1" applyAlignment="1">
      <alignment horizontal="center" vertical="center"/>
    </xf>
    <xf numFmtId="49" fontId="69" fillId="15" borderId="19" xfId="0" applyNumberFormat="1" applyFont="1" applyFill="1" applyBorder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66" fillId="0" borderId="44" xfId="0" applyFont="1" applyBorder="1" applyAlignment="1">
      <alignment horizontal="center" vertical="center"/>
    </xf>
    <xf numFmtId="166" fontId="66" fillId="11" borderId="1" xfId="0" applyNumberFormat="1" applyFont="1" applyFill="1" applyBorder="1" applyAlignment="1">
      <alignment horizontal="right" vertical="center"/>
    </xf>
    <xf numFmtId="1" fontId="66" fillId="11" borderId="1" xfId="0" applyNumberFormat="1" applyFont="1" applyFill="1" applyBorder="1" applyAlignment="1">
      <alignment horizontal="center" vertical="center"/>
    </xf>
    <xf numFmtId="166" fontId="15" fillId="23" borderId="2" xfId="0" applyNumberFormat="1" applyFont="1" applyFill="1" applyBorder="1" applyAlignment="1">
      <alignment horizontal="right" vertical="center"/>
    </xf>
    <xf numFmtId="0" fontId="15" fillId="6" borderId="2" xfId="0" applyFont="1" applyFill="1" applyBorder="1" applyAlignment="1">
      <alignment horizontal="center" vertical="center"/>
    </xf>
    <xf numFmtId="0" fontId="65" fillId="6" borderId="2" xfId="0" applyFont="1" applyFill="1" applyBorder="1" applyAlignment="1">
      <alignment vertical="center"/>
    </xf>
    <xf numFmtId="49" fontId="65" fillId="6" borderId="38" xfId="0" applyNumberFormat="1" applyFont="1" applyFill="1" applyBorder="1" applyAlignment="1">
      <alignment vertical="center"/>
    </xf>
    <xf numFmtId="0" fontId="65" fillId="6" borderId="37" xfId="0" applyFont="1" applyFill="1" applyBorder="1" applyAlignment="1">
      <alignment vertical="center"/>
    </xf>
    <xf numFmtId="0" fontId="65" fillId="6" borderId="2" xfId="0" applyFont="1" applyFill="1" applyBorder="1" applyAlignment="1">
      <alignment horizontal="center" vertical="center"/>
    </xf>
    <xf numFmtId="49" fontId="69" fillId="24" borderId="19" xfId="0" applyNumberFormat="1" applyFont="1" applyFill="1" applyBorder="1" applyAlignment="1">
      <alignment horizontal="center" vertical="center"/>
    </xf>
    <xf numFmtId="166" fontId="15" fillId="23" borderId="7" xfId="0" applyNumberFormat="1" applyFont="1" applyFill="1" applyBorder="1" applyAlignment="1">
      <alignment horizontal="right" vertical="center"/>
    </xf>
    <xf numFmtId="0" fontId="15" fillId="17" borderId="2" xfId="0" applyFont="1" applyFill="1" applyBorder="1" applyAlignment="1">
      <alignment horizontal="center" vertical="center"/>
    </xf>
    <xf numFmtId="0" fontId="65" fillId="17" borderId="37" xfId="0" applyFont="1" applyFill="1" applyBorder="1" applyAlignment="1">
      <alignment vertical="center"/>
    </xf>
    <xf numFmtId="0" fontId="65" fillId="17" borderId="2" xfId="0" applyFont="1" applyFill="1" applyBorder="1" applyAlignment="1">
      <alignment horizontal="center" vertical="center"/>
    </xf>
    <xf numFmtId="166" fontId="66" fillId="11" borderId="1" xfId="0" applyNumberFormat="1" applyFont="1" applyFill="1" applyBorder="1" applyAlignment="1">
      <alignment vertical="center"/>
    </xf>
    <xf numFmtId="1" fontId="66" fillId="11" borderId="1" xfId="0" applyNumberFormat="1" applyFont="1" applyFill="1" applyBorder="1" applyAlignment="1">
      <alignment vertical="center"/>
    </xf>
    <xf numFmtId="0" fontId="15" fillId="14" borderId="2" xfId="0" applyFont="1" applyFill="1" applyBorder="1" applyAlignment="1">
      <alignment horizontal="center" vertical="center"/>
    </xf>
    <xf numFmtId="0" fontId="65" fillId="14" borderId="37" xfId="0" applyFont="1" applyFill="1" applyBorder="1" applyAlignment="1">
      <alignment vertical="center"/>
    </xf>
    <xf numFmtId="49" fontId="47" fillId="15" borderId="19" xfId="0" applyNumberFormat="1" applyFont="1" applyFill="1" applyBorder="1" applyAlignment="1">
      <alignment horizontal="center" vertical="center"/>
    </xf>
    <xf numFmtId="49" fontId="42" fillId="0" borderId="19" xfId="0" applyNumberFormat="1" applyFont="1" applyBorder="1" applyAlignment="1">
      <alignment horizontal="center" vertical="center"/>
    </xf>
    <xf numFmtId="166" fontId="66" fillId="0" borderId="20" xfId="0" applyNumberFormat="1" applyFont="1" applyBorder="1" applyAlignment="1">
      <alignment horizontal="right" vertical="center"/>
    </xf>
    <xf numFmtId="1" fontId="66" fillId="0" borderId="20" xfId="0" applyNumberFormat="1" applyFont="1" applyBorder="1" applyAlignment="1">
      <alignment horizontal="center" vertical="center"/>
    </xf>
    <xf numFmtId="0" fontId="42" fillId="0" borderId="22" xfId="0" applyFont="1" applyBorder="1" applyAlignment="1">
      <alignment horizontal="center" vertical="center"/>
    </xf>
    <xf numFmtId="49" fontId="42" fillId="0" borderId="22" xfId="0" applyNumberFormat="1" applyFont="1" applyBorder="1" applyAlignment="1">
      <alignment horizontal="center" vertical="center"/>
    </xf>
    <xf numFmtId="0" fontId="42" fillId="0" borderId="24" xfId="0" applyFont="1" applyBorder="1" applyAlignment="1">
      <alignment horizontal="center" vertical="center"/>
    </xf>
    <xf numFmtId="166" fontId="66" fillId="0" borderId="24" xfId="0" applyNumberFormat="1" applyFont="1" applyBorder="1" applyAlignment="1">
      <alignment horizontal="right" vertical="center"/>
    </xf>
    <xf numFmtId="1" fontId="66" fillId="0" borderId="24" xfId="0" applyNumberFormat="1" applyFont="1" applyBorder="1" applyAlignment="1">
      <alignment horizontal="center" vertical="center"/>
    </xf>
    <xf numFmtId="0" fontId="51" fillId="4" borderId="19" xfId="0" applyFont="1" applyFill="1" applyBorder="1" applyAlignment="1">
      <alignment horizontal="center" vertical="center"/>
    </xf>
    <xf numFmtId="49" fontId="51" fillId="4" borderId="19" xfId="0" applyNumberFormat="1" applyFont="1" applyFill="1" applyBorder="1" applyAlignment="1">
      <alignment horizontal="center" vertical="center"/>
    </xf>
    <xf numFmtId="166" fontId="66" fillId="4" borderId="20" xfId="0" applyNumberFormat="1" applyFont="1" applyFill="1" applyBorder="1" applyAlignment="1">
      <alignment horizontal="right" vertical="center"/>
    </xf>
    <xf numFmtId="1" fontId="42" fillId="4" borderId="20" xfId="0" applyNumberFormat="1" applyFont="1" applyFill="1" applyBorder="1" applyAlignment="1">
      <alignment horizontal="center" vertical="center"/>
    </xf>
    <xf numFmtId="0" fontId="51" fillId="4" borderId="20" xfId="0" applyFont="1" applyFill="1" applyBorder="1" applyAlignment="1">
      <alignment vertical="center"/>
    </xf>
    <xf numFmtId="0" fontId="42" fillId="23" borderId="0" xfId="0" applyFont="1" applyFill="1" applyAlignment="1">
      <alignment vertical="center"/>
    </xf>
    <xf numFmtId="0" fontId="67" fillId="23" borderId="7" xfId="0" applyFont="1" applyFill="1" applyBorder="1" applyAlignment="1">
      <alignment horizontal="center" vertical="center"/>
    </xf>
    <xf numFmtId="49" fontId="67" fillId="23" borderId="7" xfId="0" applyNumberFormat="1" applyFont="1" applyFill="1" applyBorder="1" applyAlignment="1">
      <alignment horizontal="center" vertical="center"/>
    </xf>
    <xf numFmtId="1" fontId="42" fillId="23" borderId="2" xfId="0" applyNumberFormat="1" applyFont="1" applyFill="1" applyBorder="1" applyAlignment="1">
      <alignment horizontal="center" vertical="center"/>
    </xf>
    <xf numFmtId="1" fontId="42" fillId="0" borderId="24" xfId="0" applyNumberFormat="1" applyFont="1" applyBorder="1" applyAlignment="1">
      <alignment horizontal="center" vertical="center"/>
    </xf>
    <xf numFmtId="0" fontId="51" fillId="24" borderId="19" xfId="0" applyFont="1" applyFill="1" applyBorder="1" applyAlignment="1">
      <alignment horizontal="center" vertical="center"/>
    </xf>
    <xf numFmtId="49" fontId="51" fillId="24" borderId="19" xfId="0" applyNumberFormat="1" applyFont="1" applyFill="1" applyBorder="1" applyAlignment="1">
      <alignment horizontal="center" vertical="center"/>
    </xf>
    <xf numFmtId="0" fontId="51" fillId="24" borderId="20" xfId="0" applyFont="1" applyFill="1" applyBorder="1" applyAlignment="1">
      <alignment horizontal="center" vertical="center"/>
    </xf>
    <xf numFmtId="166" fontId="66" fillId="24" borderId="24" xfId="0" applyNumberFormat="1" applyFont="1" applyFill="1" applyBorder="1" applyAlignment="1">
      <alignment horizontal="right" vertical="center"/>
    </xf>
    <xf numFmtId="1" fontId="42" fillId="24" borderId="24" xfId="0" applyNumberFormat="1" applyFont="1" applyFill="1" applyBorder="1" applyAlignment="1">
      <alignment horizontal="center" vertical="center"/>
    </xf>
    <xf numFmtId="1" fontId="42" fillId="23" borderId="7" xfId="0" applyNumberFormat="1" applyFont="1" applyFill="1" applyBorder="1" applyAlignment="1">
      <alignment horizontal="center" vertical="center"/>
    </xf>
    <xf numFmtId="0" fontId="42" fillId="0" borderId="20" xfId="0" applyFont="1" applyBorder="1" applyAlignment="1">
      <alignment vertical="center"/>
    </xf>
    <xf numFmtId="166" fontId="15" fillId="0" borderId="24" xfId="0" applyNumberFormat="1" applyFont="1" applyBorder="1" applyAlignment="1">
      <alignment vertical="center"/>
    </xf>
    <xf numFmtId="0" fontId="42" fillId="0" borderId="24" xfId="0" applyFont="1" applyBorder="1" applyAlignment="1">
      <alignment vertical="center"/>
    </xf>
    <xf numFmtId="0" fontId="42" fillId="0" borderId="0" xfId="0" applyFont="1" applyAlignment="1">
      <alignment vertical="center"/>
    </xf>
    <xf numFmtId="166" fontId="66" fillId="0" borderId="20" xfId="0" applyNumberFormat="1" applyFont="1" applyBorder="1" applyAlignment="1">
      <alignment vertical="center"/>
    </xf>
    <xf numFmtId="0" fontId="47" fillId="0" borderId="20" xfId="0" applyFont="1" applyBorder="1" applyAlignment="1">
      <alignment vertical="center"/>
    </xf>
    <xf numFmtId="166" fontId="42" fillId="21" borderId="20" xfId="0" applyNumberFormat="1" applyFont="1" applyFill="1" applyBorder="1" applyAlignment="1">
      <alignment horizontal="center" vertical="center"/>
    </xf>
    <xf numFmtId="0" fontId="66" fillId="21" borderId="1" xfId="0" applyFont="1" applyFill="1" applyBorder="1" applyAlignment="1">
      <alignment horizontal="center" vertical="center"/>
    </xf>
    <xf numFmtId="0" fontId="66" fillId="0" borderId="0" xfId="0" applyFont="1" applyAlignment="1">
      <alignment vertical="center"/>
    </xf>
    <xf numFmtId="43" fontId="83" fillId="2" borderId="2" xfId="2" applyFont="1" applyFill="1" applyBorder="1" applyAlignment="1">
      <alignment vertical="center"/>
    </xf>
    <xf numFmtId="0" fontId="66" fillId="0" borderId="22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168" fontId="67" fillId="13" borderId="25" xfId="0" applyNumberFormat="1" applyFont="1" applyFill="1" applyBorder="1" applyAlignment="1">
      <alignment horizontal="center" vertical="center"/>
    </xf>
    <xf numFmtId="43" fontId="84" fillId="22" borderId="4" xfId="0" applyNumberFormat="1" applyFont="1" applyFill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168" fontId="67" fillId="13" borderId="12" xfId="0" applyNumberFormat="1" applyFont="1" applyFill="1" applyBorder="1" applyAlignment="1">
      <alignment horizontal="center" vertical="center"/>
    </xf>
    <xf numFmtId="43" fontId="83" fillId="2" borderId="2" xfId="2" applyFont="1" applyFill="1" applyBorder="1" applyAlignment="1">
      <alignment horizontal="center" vertical="center"/>
    </xf>
    <xf numFmtId="0" fontId="42" fillId="0" borderId="19" xfId="0" applyFont="1" applyBorder="1" applyAlignment="1">
      <alignment vertical="center"/>
    </xf>
    <xf numFmtId="0" fontId="66" fillId="0" borderId="22" xfId="0" applyFont="1" applyBorder="1" applyAlignment="1">
      <alignment vertical="center"/>
    </xf>
    <xf numFmtId="0" fontId="42" fillId="0" borderId="4" xfId="0" applyFont="1" applyBorder="1" applyAlignment="1">
      <alignment vertical="center"/>
    </xf>
    <xf numFmtId="43" fontId="84" fillId="22" borderId="4" xfId="0" applyNumberFormat="1" applyFont="1" applyFill="1" applyBorder="1" applyAlignment="1">
      <alignment vertical="center"/>
    </xf>
    <xf numFmtId="1" fontId="67" fillId="13" borderId="1" xfId="0" applyNumberFormat="1" applyFont="1" applyFill="1" applyBorder="1" applyAlignment="1">
      <alignment horizontal="center" vertical="center"/>
    </xf>
    <xf numFmtId="43" fontId="85" fillId="2" borderId="2" xfId="2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168" fontId="67" fillId="23" borderId="19" xfId="0" applyNumberFormat="1" applyFont="1" applyFill="1" applyBorder="1" applyAlignment="1">
      <alignment horizontal="center" vertical="center"/>
    </xf>
    <xf numFmtId="0" fontId="66" fillId="15" borderId="19" xfId="0" applyFont="1" applyFill="1" applyBorder="1" applyAlignment="1">
      <alignment horizontal="center" vertical="center"/>
    </xf>
    <xf numFmtId="2" fontId="66" fillId="0" borderId="117" xfId="0" applyNumberFormat="1" applyFont="1" applyBorder="1" applyAlignment="1">
      <alignment horizontal="center" vertical="center"/>
    </xf>
    <xf numFmtId="43" fontId="42" fillId="0" borderId="54" xfId="2" applyFont="1" applyBorder="1" applyAlignment="1">
      <alignment horizontal="center" vertical="center"/>
    </xf>
    <xf numFmtId="0" fontId="66" fillId="0" borderId="19" xfId="0" applyFont="1" applyBorder="1" applyAlignment="1">
      <alignment vertical="center"/>
    </xf>
    <xf numFmtId="43" fontId="84" fillId="22" borderId="1" xfId="0" applyNumberFormat="1" applyFont="1" applyFill="1" applyBorder="1" applyAlignment="1">
      <alignment vertical="center"/>
    </xf>
    <xf numFmtId="2" fontId="66" fillId="5" borderId="46" xfId="0" applyNumberFormat="1" applyFont="1" applyFill="1" applyBorder="1" applyAlignment="1">
      <alignment horizontal="center" vertical="center"/>
    </xf>
    <xf numFmtId="1" fontId="67" fillId="13" borderId="12" xfId="0" applyNumberFormat="1" applyFont="1" applyFill="1" applyBorder="1" applyAlignment="1">
      <alignment horizontal="center" vertical="center"/>
    </xf>
    <xf numFmtId="43" fontId="15" fillId="2" borderId="2" xfId="2" applyFont="1" applyFill="1" applyBorder="1" applyAlignment="1">
      <alignment vertical="center"/>
    </xf>
    <xf numFmtId="14" fontId="42" fillId="0" borderId="19" xfId="0" applyNumberFormat="1" applyFont="1" applyBorder="1" applyAlignment="1">
      <alignment horizontal="center" vertical="center"/>
    </xf>
    <xf numFmtId="168" fontId="67" fillId="0" borderId="19" xfId="0" applyNumberFormat="1" applyFont="1" applyBorder="1" applyAlignment="1">
      <alignment horizontal="center" vertical="center"/>
    </xf>
    <xf numFmtId="14" fontId="42" fillId="0" borderId="22" xfId="0" applyNumberFormat="1" applyFont="1" applyBorder="1" applyAlignment="1">
      <alignment horizontal="center" vertical="center"/>
    </xf>
    <xf numFmtId="0" fontId="66" fillId="15" borderId="22" xfId="0" applyFont="1" applyFill="1" applyBorder="1" applyAlignment="1">
      <alignment horizontal="center" vertical="center"/>
    </xf>
    <xf numFmtId="0" fontId="66" fillId="0" borderId="24" xfId="0" applyFont="1" applyBorder="1" applyAlignment="1">
      <alignment horizontal="center" vertical="center"/>
    </xf>
    <xf numFmtId="43" fontId="42" fillId="0" borderId="26" xfId="2" applyFont="1" applyBorder="1" applyAlignment="1">
      <alignment horizontal="center" vertical="center"/>
    </xf>
    <xf numFmtId="0" fontId="66" fillId="15" borderId="23" xfId="0" applyFont="1" applyFill="1" applyBorder="1" applyAlignment="1">
      <alignment horizontal="center" vertical="center"/>
    </xf>
    <xf numFmtId="43" fontId="42" fillId="0" borderId="27" xfId="2" applyFont="1" applyBorder="1" applyAlignment="1">
      <alignment horizontal="center" vertical="center"/>
    </xf>
    <xf numFmtId="0" fontId="42" fillId="0" borderId="28" xfId="0" applyFont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167" fontId="67" fillId="0" borderId="23" xfId="0" applyNumberFormat="1" applyFont="1" applyBorder="1" applyAlignment="1">
      <alignment horizontal="center" vertical="center"/>
    </xf>
    <xf numFmtId="0" fontId="71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43" fontId="70" fillId="0" borderId="0" xfId="2" applyFont="1" applyAlignment="1">
      <alignment vertical="center"/>
    </xf>
    <xf numFmtId="0" fontId="78" fillId="0" borderId="0" xfId="0" applyFont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87" fillId="9" borderId="0" xfId="0" applyFont="1" applyFill="1" applyAlignment="1">
      <alignment horizontal="left" vertical="center"/>
    </xf>
    <xf numFmtId="0" fontId="64" fillId="0" borderId="0" xfId="0" applyFont="1" applyAlignment="1">
      <alignment vertical="center"/>
    </xf>
    <xf numFmtId="0" fontId="14" fillId="0" borderId="0" xfId="0" quotePrefix="1" applyFont="1"/>
    <xf numFmtId="14" fontId="42" fillId="0" borderId="23" xfId="0" applyNumberFormat="1" applyFont="1" applyBorder="1" applyAlignment="1">
      <alignment horizontal="center" vertical="center"/>
    </xf>
    <xf numFmtId="0" fontId="42" fillId="0" borderId="89" xfId="0" applyFont="1" applyBorder="1" applyAlignment="1">
      <alignment horizontal="center" vertical="center"/>
    </xf>
    <xf numFmtId="168" fontId="67" fillId="0" borderId="23" xfId="0" applyNumberFormat="1" applyFont="1" applyBorder="1" applyAlignment="1">
      <alignment horizontal="center" vertical="center"/>
    </xf>
    <xf numFmtId="14" fontId="19" fillId="0" borderId="89" xfId="0" applyNumberFormat="1" applyFont="1" applyBorder="1" applyAlignment="1">
      <alignment horizontal="right"/>
    </xf>
    <xf numFmtId="170" fontId="84" fillId="22" borderId="4" xfId="2" applyNumberFormat="1" applyFont="1" applyFill="1" applyBorder="1" applyAlignment="1">
      <alignment horizontal="center" vertical="center"/>
    </xf>
    <xf numFmtId="170" fontId="84" fillId="22" borderId="1" xfId="0" applyNumberFormat="1" applyFont="1" applyFill="1" applyBorder="1" applyAlignment="1">
      <alignment horizontal="center" vertical="center"/>
    </xf>
    <xf numFmtId="168" fontId="67" fillId="23" borderId="22" xfId="0" applyNumberFormat="1" applyFont="1" applyFill="1" applyBorder="1" applyAlignment="1">
      <alignment horizontal="center" vertical="center"/>
    </xf>
    <xf numFmtId="14" fontId="19" fillId="0" borderId="5" xfId="0" applyNumberFormat="1" applyFont="1" applyBorder="1" applyAlignment="1">
      <alignment horizontal="right"/>
    </xf>
    <xf numFmtId="0" fontId="14" fillId="0" borderId="19" xfId="0" applyFont="1" applyBorder="1"/>
    <xf numFmtId="0" fontId="42" fillId="0" borderId="23" xfId="0" applyFont="1" applyBorder="1" applyAlignment="1">
      <alignment horizontal="center" vertical="center"/>
    </xf>
    <xf numFmtId="0" fontId="67" fillId="0" borderId="23" xfId="0" applyFont="1" applyBorder="1" applyAlignment="1">
      <alignment vertical="center"/>
    </xf>
    <xf numFmtId="0" fontId="15" fillId="15" borderId="23" xfId="0" applyFont="1" applyFill="1" applyBorder="1" applyAlignment="1">
      <alignment horizontal="center" vertical="center"/>
    </xf>
    <xf numFmtId="0" fontId="67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43" fontId="67" fillId="0" borderId="27" xfId="2" applyFont="1" applyBorder="1" applyAlignment="1">
      <alignment horizontal="center" vertical="center"/>
    </xf>
    <xf numFmtId="2" fontId="15" fillId="0" borderId="116" xfId="0" applyNumberFormat="1" applyFont="1" applyBorder="1" applyAlignment="1">
      <alignment horizontal="center" vertical="center"/>
    </xf>
    <xf numFmtId="0" fontId="12" fillId="0" borderId="0" xfId="0" quotePrefix="1" applyFont="1"/>
    <xf numFmtId="2" fontId="4" fillId="0" borderId="0" xfId="0" quotePrefix="1" applyNumberFormat="1" applyFont="1"/>
    <xf numFmtId="2" fontId="88" fillId="0" borderId="0" xfId="0" quotePrefix="1" applyNumberFormat="1" applyFont="1"/>
    <xf numFmtId="168" fontId="67" fillId="0" borderId="0" xfId="0" applyNumberFormat="1" applyFont="1" applyAlignment="1">
      <alignment horizontal="center" vertical="center"/>
    </xf>
    <xf numFmtId="0" fontId="86" fillId="0" borderId="0" xfId="0" applyFont="1" applyAlignment="1">
      <alignment vertical="center"/>
    </xf>
    <xf numFmtId="0" fontId="10" fillId="0" borderId="81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10" fillId="0" borderId="83" xfId="0" applyFont="1" applyBorder="1" applyAlignment="1">
      <alignment vertical="top"/>
    </xf>
    <xf numFmtId="0" fontId="51" fillId="0" borderId="19" xfId="0" applyFont="1" applyBorder="1" applyAlignment="1">
      <alignment horizontal="center" vertical="center"/>
    </xf>
    <xf numFmtId="49" fontId="51" fillId="0" borderId="19" xfId="0" applyNumberFormat="1" applyFont="1" applyBorder="1" applyAlignment="1">
      <alignment horizontal="center" vertical="center"/>
    </xf>
    <xf numFmtId="0" fontId="51" fillId="0" borderId="22" xfId="0" applyFont="1" applyBorder="1" applyAlignment="1">
      <alignment horizontal="center" vertical="center"/>
    </xf>
    <xf numFmtId="49" fontId="51" fillId="0" borderId="22" xfId="0" applyNumberFormat="1" applyFont="1" applyBorder="1" applyAlignment="1">
      <alignment horizontal="center" vertical="center"/>
    </xf>
    <xf numFmtId="0" fontId="69" fillId="0" borderId="19" xfId="0" applyFont="1" applyBorder="1" applyAlignment="1">
      <alignment horizontal="center" vertical="center"/>
    </xf>
    <xf numFmtId="49" fontId="69" fillId="0" borderId="19" xfId="0" applyNumberFormat="1" applyFont="1" applyBorder="1" applyAlignment="1">
      <alignment horizontal="center" vertical="center"/>
    </xf>
    <xf numFmtId="1" fontId="42" fillId="3" borderId="20" xfId="0" applyNumberFormat="1" applyFont="1" applyFill="1" applyBorder="1" applyAlignment="1">
      <alignment horizontal="center"/>
    </xf>
    <xf numFmtId="14" fontId="17" fillId="0" borderId="89" xfId="0" applyNumberFormat="1" applyFont="1" applyBorder="1" applyAlignment="1">
      <alignment horizontal="right"/>
    </xf>
    <xf numFmtId="0" fontId="47" fillId="0" borderId="0" xfId="0" applyFont="1" applyAlignment="1">
      <alignment vertical="center" wrapText="1"/>
    </xf>
    <xf numFmtId="0" fontId="90" fillId="0" borderId="0" xfId="0" quotePrefix="1" applyFont="1" applyAlignment="1">
      <alignment vertical="center"/>
    </xf>
    <xf numFmtId="0" fontId="68" fillId="2" borderId="2" xfId="0" applyFont="1" applyFill="1" applyBorder="1" applyAlignment="1">
      <alignment horizontal="center" vertical="center"/>
    </xf>
    <xf numFmtId="167" fontId="66" fillId="0" borderId="45" xfId="0" applyNumberFormat="1" applyFont="1" applyBorder="1" applyAlignment="1">
      <alignment horizontal="center" vertical="center"/>
    </xf>
    <xf numFmtId="167" fontId="66" fillId="5" borderId="43" xfId="0" applyNumberFormat="1" applyFont="1" applyFill="1" applyBorder="1" applyAlignment="1">
      <alignment horizontal="center" vertical="center"/>
    </xf>
    <xf numFmtId="167" fontId="66" fillId="0" borderId="117" xfId="0" applyNumberFormat="1" applyFont="1" applyBorder="1" applyAlignment="1">
      <alignment horizontal="center" vertical="center"/>
    </xf>
    <xf numFmtId="167" fontId="66" fillId="0" borderId="116" xfId="0" applyNumberFormat="1" applyFont="1" applyBorder="1" applyAlignment="1">
      <alignment horizontal="center" vertical="center"/>
    </xf>
    <xf numFmtId="167" fontId="66" fillId="5" borderId="46" xfId="0" applyNumberFormat="1" applyFont="1" applyFill="1" applyBorder="1" applyAlignment="1">
      <alignment horizontal="center" vertical="center"/>
    </xf>
    <xf numFmtId="167" fontId="66" fillId="0" borderId="121" xfId="0" applyNumberFormat="1" applyFont="1" applyBorder="1" applyAlignment="1">
      <alignment horizontal="center" vertical="center"/>
    </xf>
    <xf numFmtId="2" fontId="68" fillId="2" borderId="2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2" fontId="9" fillId="0" borderId="0" xfId="0" applyNumberFormat="1" applyFont="1" applyAlignment="1">
      <alignment vertical="center"/>
    </xf>
    <xf numFmtId="0" fontId="92" fillId="0" borderId="19" xfId="0" applyFont="1" applyBorder="1" applyAlignment="1">
      <alignment horizontal="center"/>
    </xf>
    <xf numFmtId="49" fontId="92" fillId="0" borderId="19" xfId="0" applyNumberFormat="1" applyFont="1" applyBorder="1" applyAlignment="1">
      <alignment horizontal="left"/>
    </xf>
    <xf numFmtId="0" fontId="26" fillId="0" borderId="0" xfId="0" quotePrefix="1" applyFont="1"/>
    <xf numFmtId="0" fontId="65" fillId="14" borderId="2" xfId="0" applyFont="1" applyFill="1" applyBorder="1" applyAlignment="1">
      <alignment horizontal="center" vertical="center"/>
    </xf>
    <xf numFmtId="0" fontId="4" fillId="23" borderId="0" xfId="0" quotePrefix="1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1" fontId="12" fillId="23" borderId="0" xfId="0" applyNumberFormat="1" applyFont="1" applyFill="1" applyAlignment="1">
      <alignment vertical="center"/>
    </xf>
    <xf numFmtId="0" fontId="12" fillId="16" borderId="0" xfId="0" applyFont="1" applyFill="1" applyAlignment="1">
      <alignment vertical="center"/>
    </xf>
    <xf numFmtId="2" fontId="9" fillId="19" borderId="0" xfId="0" applyNumberFormat="1" applyFont="1" applyFill="1" applyAlignment="1">
      <alignment horizontal="right" vertical="center"/>
    </xf>
    <xf numFmtId="1" fontId="10" fillId="0" borderId="0" xfId="0" applyNumberFormat="1" applyFont="1" applyAlignment="1">
      <alignment horizontal="center" vertical="center"/>
    </xf>
    <xf numFmtId="166" fontId="66" fillId="17" borderId="0" xfId="0" applyNumberFormat="1" applyFont="1" applyFill="1" applyAlignment="1">
      <alignment vertical="center"/>
    </xf>
    <xf numFmtId="1" fontId="66" fillId="17" borderId="0" xfId="0" applyNumberFormat="1" applyFont="1" applyFill="1" applyAlignment="1">
      <alignment vertical="center"/>
    </xf>
    <xf numFmtId="0" fontId="53" fillId="0" borderId="0" xfId="0" applyFont="1" applyAlignment="1">
      <alignment horizontal="center"/>
    </xf>
    <xf numFmtId="0" fontId="53" fillId="0" borderId="0" xfId="0" applyFont="1"/>
    <xf numFmtId="43" fontId="42" fillId="0" borderId="122" xfId="2" applyFont="1" applyBorder="1" applyAlignment="1">
      <alignment horizontal="center" vertical="center"/>
    </xf>
    <xf numFmtId="167" fontId="66" fillId="0" borderId="123" xfId="0" applyNumberFormat="1" applyFont="1" applyBorder="1" applyAlignment="1">
      <alignment horizontal="center" vertical="center"/>
    </xf>
    <xf numFmtId="43" fontId="67" fillId="0" borderId="122" xfId="2" applyFont="1" applyBorder="1" applyAlignment="1">
      <alignment horizontal="center" vertical="center"/>
    </xf>
    <xf numFmtId="2" fontId="15" fillId="0" borderId="123" xfId="0" applyNumberFormat="1" applyFont="1" applyBorder="1" applyAlignment="1">
      <alignment horizontal="center" vertical="center"/>
    </xf>
    <xf numFmtId="0" fontId="17" fillId="0" borderId="28" xfId="0" applyFont="1" applyBorder="1" applyAlignment="1">
      <alignment horizontal="right"/>
    </xf>
    <xf numFmtId="0" fontId="10" fillId="0" borderId="0" xfId="0" applyFont="1" applyAlignment="1">
      <alignment vertical="top"/>
    </xf>
    <xf numFmtId="14" fontId="17" fillId="0" borderId="28" xfId="0" applyNumberFormat="1" applyFont="1" applyBorder="1" applyAlignment="1">
      <alignment horizontal="right"/>
    </xf>
    <xf numFmtId="0" fontId="10" fillId="15" borderId="0" xfId="0" applyFont="1" applyFill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/>
    </xf>
    <xf numFmtId="2" fontId="43" fillId="0" borderId="0" xfId="0" applyNumberFormat="1" applyFont="1"/>
    <xf numFmtId="2" fontId="5" fillId="0" borderId="0" xfId="0" applyNumberFormat="1" applyFont="1" applyAlignment="1">
      <alignment vertical="center" wrapText="1"/>
    </xf>
    <xf numFmtId="2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left" vertical="center"/>
    </xf>
    <xf numFmtId="167" fontId="17" fillId="30" borderId="0" xfId="0" applyNumberFormat="1" applyFont="1" applyFill="1"/>
    <xf numFmtId="2" fontId="10" fillId="30" borderId="0" xfId="0" applyNumberFormat="1" applyFont="1" applyFill="1"/>
    <xf numFmtId="2" fontId="10" fillId="29" borderId="0" xfId="0" applyNumberFormat="1" applyFont="1" applyFill="1"/>
    <xf numFmtId="2" fontId="0" fillId="29" borderId="0" xfId="0" applyNumberFormat="1" applyFill="1"/>
    <xf numFmtId="0" fontId="40" fillId="15" borderId="0" xfId="0" applyFont="1" applyFill="1" applyAlignment="1">
      <alignment horizontal="left" vertical="center" wrapText="1"/>
    </xf>
    <xf numFmtId="166" fontId="66" fillId="11" borderId="1" xfId="0" applyNumberFormat="1" applyFont="1" applyFill="1" applyBorder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26" fillId="0" borderId="62" xfId="0" applyFont="1" applyBorder="1" applyAlignment="1">
      <alignment horizontal="center"/>
    </xf>
    <xf numFmtId="0" fontId="26" fillId="0" borderId="63" xfId="0" applyFont="1" applyBorder="1" applyAlignment="1">
      <alignment horizontal="center"/>
    </xf>
    <xf numFmtId="0" fontId="26" fillId="0" borderId="64" xfId="0" applyFont="1" applyBorder="1" applyAlignment="1">
      <alignment horizontal="center"/>
    </xf>
    <xf numFmtId="164" fontId="2" fillId="4" borderId="25" xfId="0" applyNumberFormat="1" applyFont="1" applyFill="1" applyBorder="1" applyAlignment="1">
      <alignment horizontal="left" vertical="center"/>
    </xf>
    <xf numFmtId="164" fontId="2" fillId="4" borderId="21" xfId="0" applyNumberFormat="1" applyFont="1" applyFill="1" applyBorder="1" applyAlignment="1">
      <alignment horizontal="left" vertical="center"/>
    </xf>
    <xf numFmtId="0" fontId="12" fillId="0" borderId="19" xfId="0" applyFont="1" applyBorder="1"/>
    <xf numFmtId="0" fontId="69" fillId="0" borderId="19" xfId="0" applyFont="1" applyBorder="1" applyAlignment="1">
      <alignment horizontal="center"/>
    </xf>
    <xf numFmtId="49" fontId="69" fillId="0" borderId="19" xfId="0" applyNumberFormat="1" applyFont="1" applyBorder="1" applyAlignment="1">
      <alignment horizontal="left"/>
    </xf>
    <xf numFmtId="0" fontId="47" fillId="0" borderId="20" xfId="0" applyFont="1" applyBorder="1"/>
    <xf numFmtId="1" fontId="66" fillId="0" borderId="20" xfId="0" applyNumberFormat="1" applyFont="1" applyBorder="1" applyAlignment="1">
      <alignment horizontal="center"/>
    </xf>
    <xf numFmtId="0" fontId="23" fillId="16" borderId="40" xfId="0" applyFont="1" applyFill="1" applyBorder="1" applyAlignment="1">
      <alignment horizontal="center"/>
    </xf>
    <xf numFmtId="0" fontId="68" fillId="14" borderId="37" xfId="0" applyFont="1" applyFill="1" applyBorder="1" applyAlignment="1">
      <alignment vertical="center"/>
    </xf>
    <xf numFmtId="0" fontId="9" fillId="16" borderId="40" xfId="0" applyFont="1" applyFill="1" applyBorder="1" applyAlignment="1">
      <alignment horizontal="center"/>
    </xf>
    <xf numFmtId="2" fontId="9" fillId="0" borderId="0" xfId="0" applyNumberFormat="1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94" fillId="9" borderId="7" xfId="0" applyFont="1" applyFill="1" applyBorder="1" applyAlignment="1">
      <alignment vertical="center"/>
    </xf>
    <xf numFmtId="0" fontId="94" fillId="9" borderId="2" xfId="0" applyFont="1" applyFill="1" applyBorder="1" applyAlignment="1">
      <alignment vertical="center"/>
    </xf>
    <xf numFmtId="0" fontId="94" fillId="7" borderId="2" xfId="0" applyFont="1" applyFill="1" applyBorder="1" applyAlignment="1">
      <alignment vertical="center"/>
    </xf>
    <xf numFmtId="0" fontId="94" fillId="8" borderId="2" xfId="0" applyFont="1" applyFill="1" applyBorder="1" applyAlignment="1">
      <alignment vertical="center"/>
    </xf>
    <xf numFmtId="0" fontId="4" fillId="0" borderId="16" xfId="0" applyFont="1" applyBorder="1" applyAlignment="1">
      <alignment horizontal="left"/>
    </xf>
    <xf numFmtId="0" fontId="10" fillId="16" borderId="22" xfId="0" applyFont="1" applyFill="1" applyBorder="1" applyAlignment="1">
      <alignment horizontal="left"/>
    </xf>
    <xf numFmtId="10" fontId="10" fillId="0" borderId="0" xfId="0" applyNumberFormat="1" applyFont="1"/>
    <xf numFmtId="0" fontId="95" fillId="0" borderId="0" xfId="0" applyFont="1" applyAlignment="1">
      <alignment vertical="center"/>
    </xf>
    <xf numFmtId="0" fontId="9" fillId="0" borderId="26" xfId="0" applyFont="1" applyBorder="1" applyAlignment="1">
      <alignment horizontal="center"/>
    </xf>
    <xf numFmtId="0" fontId="9" fillId="0" borderId="95" xfId="0" applyFont="1" applyBorder="1" applyAlignment="1">
      <alignment horizontal="center"/>
    </xf>
    <xf numFmtId="2" fontId="9" fillId="0" borderId="5" xfId="0" applyNumberFormat="1" applyFont="1" applyBorder="1" applyAlignment="1">
      <alignment horizontal="right" vertical="center"/>
    </xf>
    <xf numFmtId="0" fontId="51" fillId="0" borderId="0" xfId="0" applyFont="1" applyAlignment="1">
      <alignment horizontal="center"/>
    </xf>
    <xf numFmtId="2" fontId="26" fillId="0" borderId="0" xfId="0" applyNumberFormat="1" applyFont="1" applyAlignment="1">
      <alignment vertical="top" wrapText="1"/>
    </xf>
    <xf numFmtId="0" fontId="61" fillId="0" borderId="22" xfId="0" applyFont="1" applyBorder="1" applyAlignment="1">
      <alignment horizontal="left"/>
    </xf>
    <xf numFmtId="14" fontId="26" fillId="0" borderId="24" xfId="0" applyNumberFormat="1" applyFont="1" applyBorder="1" applyAlignment="1">
      <alignment horizontal="right"/>
    </xf>
    <xf numFmtId="0" fontId="43" fillId="0" borderId="0" xfId="0" applyFont="1" applyAlignment="1">
      <alignment vertical="top" wrapText="1"/>
    </xf>
    <xf numFmtId="0" fontId="17" fillId="31" borderId="12" xfId="0" applyFont="1" applyFill="1" applyBorder="1" applyAlignment="1">
      <alignment horizontal="center" vertical="center"/>
    </xf>
    <xf numFmtId="0" fontId="17" fillId="31" borderId="2" xfId="0" applyFont="1" applyFill="1" applyBorder="1" applyAlignment="1">
      <alignment vertical="center"/>
    </xf>
    <xf numFmtId="0" fontId="67" fillId="31" borderId="2" xfId="0" applyFont="1" applyFill="1" applyBorder="1" applyAlignment="1">
      <alignment horizontal="center" vertical="center"/>
    </xf>
    <xf numFmtId="49" fontId="67" fillId="31" borderId="2" xfId="0" applyNumberFormat="1" applyFont="1" applyFill="1" applyBorder="1" applyAlignment="1">
      <alignment vertical="center"/>
    </xf>
    <xf numFmtId="49" fontId="15" fillId="31" borderId="2" xfId="0" applyNumberFormat="1" applyFont="1" applyFill="1" applyBorder="1" applyAlignment="1">
      <alignment horizontal="center" vertical="center"/>
    </xf>
    <xf numFmtId="0" fontId="67" fillId="31" borderId="2" xfId="0" applyFont="1" applyFill="1" applyBorder="1" applyAlignment="1">
      <alignment vertical="center"/>
    </xf>
    <xf numFmtId="166" fontId="68" fillId="31" borderId="9" xfId="0" applyNumberFormat="1" applyFont="1" applyFill="1" applyBorder="1" applyAlignment="1">
      <alignment vertical="center"/>
    </xf>
    <xf numFmtId="166" fontId="65" fillId="31" borderId="2" xfId="0" applyNumberFormat="1" applyFont="1" applyFill="1" applyBorder="1" applyAlignment="1">
      <alignment horizontal="center" vertical="center"/>
    </xf>
    <xf numFmtId="166" fontId="11" fillId="31" borderId="0" xfId="0" applyNumberFormat="1" applyFont="1" applyFill="1" applyAlignment="1">
      <alignment horizontal="center" vertical="center"/>
    </xf>
    <xf numFmtId="0" fontId="10" fillId="31" borderId="2" xfId="0" applyFont="1" applyFill="1" applyBorder="1" applyAlignment="1">
      <alignment horizontal="center"/>
    </xf>
    <xf numFmtId="0" fontId="10" fillId="31" borderId="2" xfId="0" applyFont="1" applyFill="1" applyBorder="1"/>
    <xf numFmtId="0" fontId="10" fillId="31" borderId="2" xfId="0" quotePrefix="1" applyFont="1" applyFill="1" applyBorder="1"/>
    <xf numFmtId="0" fontId="10" fillId="31" borderId="3" xfId="0" applyFont="1" applyFill="1" applyBorder="1"/>
    <xf numFmtId="2" fontId="66" fillId="0" borderId="28" xfId="0" applyNumberFormat="1" applyFont="1" applyBorder="1"/>
    <xf numFmtId="1" fontId="42" fillId="0" borderId="28" xfId="0" applyNumberFormat="1" applyFont="1" applyBorder="1" applyAlignment="1">
      <alignment horizontal="center"/>
    </xf>
    <xf numFmtId="2" fontId="10" fillId="0" borderId="0" xfId="0" quotePrefix="1" applyNumberFormat="1" applyFont="1" applyAlignment="1">
      <alignment horizontal="left"/>
    </xf>
    <xf numFmtId="2" fontId="10" fillId="0" borderId="0" xfId="0" quotePrefix="1" applyNumberFormat="1" applyFont="1"/>
    <xf numFmtId="2" fontId="10" fillId="23" borderId="0" xfId="0" applyNumberFormat="1" applyFont="1" applyFill="1" applyAlignment="1">
      <alignment vertical="center"/>
    </xf>
    <xf numFmtId="0" fontId="10" fillId="23" borderId="0" xfId="0" applyFont="1" applyFill="1" applyAlignment="1">
      <alignment horizontal="center" vertical="center"/>
    </xf>
    <xf numFmtId="2" fontId="10" fillId="23" borderId="0" xfId="0" applyNumberFormat="1" applyFont="1" applyFill="1"/>
    <xf numFmtId="1" fontId="42" fillId="0" borderId="1" xfId="0" applyNumberFormat="1" applyFont="1" applyBorder="1" applyAlignment="1">
      <alignment horizontal="center"/>
    </xf>
    <xf numFmtId="1" fontId="71" fillId="0" borderId="1" xfId="0" applyNumberFormat="1" applyFont="1" applyBorder="1" applyAlignment="1">
      <alignment horizontal="center" vertical="center"/>
    </xf>
    <xf numFmtId="1" fontId="89" fillId="0" borderId="0" xfId="0" quotePrefix="1" applyNumberFormat="1" applyFont="1" applyAlignment="1">
      <alignment horizontal="left" vertical="center" wrapText="1"/>
    </xf>
    <xf numFmtId="0" fontId="40" fillId="0" borderId="0" xfId="0" applyFont="1"/>
    <xf numFmtId="167" fontId="10" fillId="0" borderId="12" xfId="0" applyNumberFormat="1" applyFont="1" applyBorder="1" applyAlignment="1">
      <alignment horizontal="center" vertical="center"/>
    </xf>
    <xf numFmtId="166" fontId="66" fillId="11" borderId="2" xfId="0" applyNumberFormat="1" applyFont="1" applyFill="1" applyBorder="1" applyAlignment="1">
      <alignment horizontal="right" vertical="center"/>
    </xf>
    <xf numFmtId="1" fontId="66" fillId="11" borderId="2" xfId="0" applyNumberFormat="1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66" fillId="15" borderId="0" xfId="0" applyFont="1" applyFill="1"/>
    <xf numFmtId="0" fontId="15" fillId="2" borderId="0" xfId="0" applyFont="1" applyFill="1" applyAlignment="1">
      <alignment horizontal="center" vertical="center"/>
    </xf>
    <xf numFmtId="164" fontId="15" fillId="2" borderId="0" xfId="0" applyNumberFormat="1" applyFont="1" applyFill="1" applyAlignment="1">
      <alignment vertical="center"/>
    </xf>
    <xf numFmtId="0" fontId="23" fillId="0" borderId="19" xfId="0" applyFont="1" applyBorder="1" applyAlignment="1">
      <alignment horizontal="left"/>
    </xf>
    <xf numFmtId="0" fontId="10" fillId="4" borderId="19" xfId="0" applyFont="1" applyFill="1" applyBorder="1"/>
    <xf numFmtId="0" fontId="96" fillId="0" borderId="19" xfId="0" applyFont="1" applyBorder="1"/>
    <xf numFmtId="0" fontId="42" fillId="0" borderId="5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20" fontId="10" fillId="0" borderId="0" xfId="0" applyNumberFormat="1" applyFont="1" applyAlignment="1">
      <alignment vertical="center"/>
    </xf>
    <xf numFmtId="0" fontId="10" fillId="4" borderId="0" xfId="0" applyFont="1" applyFill="1"/>
    <xf numFmtId="0" fontId="42" fillId="0" borderId="8" xfId="0" applyFont="1" applyBorder="1" applyAlignment="1">
      <alignment horizontal="center" vertical="center"/>
    </xf>
    <xf numFmtId="2" fontId="42" fillId="0" borderId="7" xfId="0" applyNumberFormat="1" applyFont="1" applyBorder="1" applyAlignment="1">
      <alignment horizontal="center" vertical="center"/>
    </xf>
    <xf numFmtId="0" fontId="10" fillId="0" borderId="95" xfId="0" applyFont="1" applyBorder="1"/>
    <xf numFmtId="0" fontId="99" fillId="0" borderId="6" xfId="0" applyFont="1" applyBorder="1"/>
    <xf numFmtId="0" fontId="99" fillId="0" borderId="6" xfId="0" applyFont="1" applyBorder="1" applyAlignment="1">
      <alignment horizontal="center" vertical="center"/>
    </xf>
    <xf numFmtId="0" fontId="100" fillId="0" borderId="6" xfId="0" applyFont="1" applyBorder="1"/>
    <xf numFmtId="0" fontId="100" fillId="0" borderId="6" xfId="0" applyFont="1" applyBorder="1" applyAlignment="1">
      <alignment horizontal="center" vertical="center"/>
    </xf>
    <xf numFmtId="0" fontId="99" fillId="33" borderId="6" xfId="0" applyFont="1" applyFill="1" applyBorder="1" applyAlignment="1">
      <alignment horizontal="center" vertical="center"/>
    </xf>
    <xf numFmtId="0" fontId="100" fillId="33" borderId="6" xfId="0" applyFont="1" applyFill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02" fillId="15" borderId="0" xfId="0" applyFont="1" applyFill="1" applyAlignment="1">
      <alignment horizontal="center" vertical="center"/>
    </xf>
    <xf numFmtId="0" fontId="7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vertical="center"/>
    </xf>
    <xf numFmtId="0" fontId="0" fillId="15" borderId="0" xfId="0" applyFill="1" applyAlignment="1">
      <alignment vertical="center"/>
    </xf>
    <xf numFmtId="0" fontId="104" fillId="0" borderId="0" xfId="0" applyFont="1" applyAlignment="1">
      <alignment horizontal="center" vertical="center"/>
    </xf>
    <xf numFmtId="0" fontId="104" fillId="15" borderId="0" xfId="0" applyFont="1" applyFill="1" applyAlignment="1">
      <alignment horizontal="center" vertical="center"/>
    </xf>
    <xf numFmtId="0" fontId="10" fillId="34" borderId="0" xfId="0" applyFont="1" applyFill="1"/>
    <xf numFmtId="14" fontId="67" fillId="0" borderId="19" xfId="0" applyNumberFormat="1" applyFont="1" applyBorder="1" applyAlignment="1">
      <alignment vertical="center"/>
    </xf>
    <xf numFmtId="0" fontId="105" fillId="0" borderId="0" xfId="0" applyFont="1"/>
    <xf numFmtId="166" fontId="66" fillId="0" borderId="1" xfId="0" applyNumberFormat="1" applyFont="1" applyBorder="1" applyAlignment="1">
      <alignment horizontal="center"/>
    </xf>
    <xf numFmtId="0" fontId="15" fillId="35" borderId="12" xfId="0" applyFont="1" applyFill="1" applyBorder="1" applyAlignment="1">
      <alignment horizontal="center" vertical="center"/>
    </xf>
    <xf numFmtId="164" fontId="15" fillId="35" borderId="2" xfId="0" applyNumberFormat="1" applyFont="1" applyFill="1" applyBorder="1" applyAlignment="1">
      <alignment vertical="center"/>
    </xf>
    <xf numFmtId="0" fontId="15" fillId="35" borderId="2" xfId="0" applyFont="1" applyFill="1" applyBorder="1" applyAlignment="1">
      <alignment horizontal="center" vertical="center"/>
    </xf>
    <xf numFmtId="0" fontId="65" fillId="35" borderId="2" xfId="0" applyFont="1" applyFill="1" applyBorder="1" applyAlignment="1">
      <alignment horizontal="center" vertical="center"/>
    </xf>
    <xf numFmtId="0" fontId="65" fillId="35" borderId="38" xfId="0" applyFont="1" applyFill="1" applyBorder="1" applyAlignment="1">
      <alignment horizontal="center" vertical="center"/>
    </xf>
    <xf numFmtId="0" fontId="65" fillId="35" borderId="37" xfId="0" applyFont="1" applyFill="1" applyBorder="1" applyAlignment="1">
      <alignment horizontal="center" vertical="center"/>
    </xf>
    <xf numFmtId="0" fontId="11" fillId="35" borderId="0" xfId="0" applyFont="1" applyFill="1" applyAlignment="1">
      <alignment horizontal="center" vertical="center"/>
    </xf>
    <xf numFmtId="0" fontId="10" fillId="35" borderId="2" xfId="0" applyFont="1" applyFill="1" applyBorder="1" applyAlignment="1">
      <alignment horizontal="center"/>
    </xf>
    <xf numFmtId="0" fontId="10" fillId="35" borderId="2" xfId="0" applyFont="1" applyFill="1" applyBorder="1"/>
    <xf numFmtId="0" fontId="10" fillId="35" borderId="2" xfId="0" quotePrefix="1" applyFont="1" applyFill="1" applyBorder="1"/>
    <xf numFmtId="0" fontId="10" fillId="35" borderId="3" xfId="0" applyFont="1" applyFill="1" applyBorder="1"/>
    <xf numFmtId="1" fontId="10" fillId="0" borderId="0" xfId="0" applyNumberFormat="1" applyFont="1" applyAlignment="1">
      <alignment horizontal="center"/>
    </xf>
    <xf numFmtId="2" fontId="10" fillId="0" borderId="2" xfId="0" applyNumberFormat="1" applyFont="1" applyBorder="1" applyAlignment="1">
      <alignment horizontal="center"/>
    </xf>
    <xf numFmtId="0" fontId="66" fillId="0" borderId="2" xfId="0" applyFont="1" applyBorder="1" applyAlignment="1">
      <alignment horizontal="center"/>
    </xf>
    <xf numFmtId="166" fontId="66" fillId="0" borderId="2" xfId="0" applyNumberFormat="1" applyFont="1" applyBorder="1" applyAlignment="1">
      <alignment horizontal="center"/>
    </xf>
    <xf numFmtId="0" fontId="12" fillId="16" borderId="2" xfId="0" applyFont="1" applyFill="1" applyBorder="1" applyAlignment="1">
      <alignment horizontal="center"/>
    </xf>
    <xf numFmtId="166" fontId="66" fillId="0" borderId="5" xfId="0" applyNumberFormat="1" applyFont="1" applyBorder="1" applyAlignment="1">
      <alignment horizontal="center"/>
    </xf>
    <xf numFmtId="0" fontId="10" fillId="0" borderId="0" xfId="0" applyFont="1" applyAlignment="1">
      <alignment horizontal="left" vertical="top"/>
    </xf>
    <xf numFmtId="0" fontId="10" fillId="32" borderId="0" xfId="0" applyFont="1" applyFill="1" applyAlignment="1">
      <alignment horizontal="left"/>
    </xf>
    <xf numFmtId="2" fontId="42" fillId="0" borderId="2" xfId="0" applyNumberFormat="1" applyFont="1" applyBorder="1" applyAlignment="1">
      <alignment horizontal="center" vertical="center"/>
    </xf>
    <xf numFmtId="2" fontId="42" fillId="0" borderId="12" xfId="0" applyNumberFormat="1" applyFont="1" applyBorder="1" applyAlignment="1">
      <alignment horizontal="center" vertical="center"/>
    </xf>
    <xf numFmtId="0" fontId="10" fillId="0" borderId="3" xfId="0" applyFont="1" applyBorder="1"/>
    <xf numFmtId="166" fontId="42" fillId="0" borderId="3" xfId="0" applyNumberFormat="1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166" fontId="42" fillId="0" borderId="12" xfId="0" applyNumberFormat="1" applyFont="1" applyBorder="1" applyAlignment="1">
      <alignment horizontal="center" vertical="center"/>
    </xf>
    <xf numFmtId="166" fontId="42" fillId="0" borderId="2" xfId="0" applyNumberFormat="1" applyFont="1" applyBorder="1" applyAlignment="1">
      <alignment horizontal="center" vertical="center"/>
    </xf>
    <xf numFmtId="2" fontId="66" fillId="0" borderId="5" xfId="1" applyNumberFormat="1" applyFont="1" applyFill="1" applyBorder="1" applyAlignment="1">
      <alignment horizontal="right"/>
    </xf>
    <xf numFmtId="0" fontId="9" fillId="36" borderId="12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vertical="center"/>
    </xf>
    <xf numFmtId="0" fontId="15" fillId="36" borderId="2" xfId="0" applyFont="1" applyFill="1" applyBorder="1" applyAlignment="1">
      <alignment vertical="center"/>
    </xf>
    <xf numFmtId="43" fontId="15" fillId="36" borderId="2" xfId="2" applyFont="1" applyFill="1" applyBorder="1" applyAlignment="1">
      <alignment vertical="center"/>
    </xf>
    <xf numFmtId="2" fontId="68" fillId="36" borderId="2" xfId="0" applyNumberFormat="1" applyFont="1" applyFill="1" applyBorder="1" applyAlignment="1">
      <alignment horizontal="center" vertical="center"/>
    </xf>
    <xf numFmtId="0" fontId="8" fillId="36" borderId="2" xfId="0" applyFont="1" applyFill="1" applyBorder="1" applyAlignment="1">
      <alignment horizontal="center" vertical="center"/>
    </xf>
    <xf numFmtId="2" fontId="106" fillId="36" borderId="2" xfId="0" applyNumberFormat="1" applyFont="1" applyFill="1" applyBorder="1" applyAlignment="1">
      <alignment horizontal="center" vertical="center" wrapText="1"/>
    </xf>
    <xf numFmtId="0" fontId="1" fillId="36" borderId="2" xfId="0" applyFont="1" applyFill="1" applyBorder="1" applyAlignment="1">
      <alignment horizontal="center" vertical="center"/>
    </xf>
    <xf numFmtId="0" fontId="1" fillId="36" borderId="2" xfId="0" applyFont="1" applyFill="1" applyBorder="1" applyAlignment="1">
      <alignment horizontal="center" vertical="center" wrapText="1"/>
    </xf>
    <xf numFmtId="43" fontId="1" fillId="36" borderId="2" xfId="2" applyFont="1" applyFill="1" applyBorder="1" applyAlignment="1">
      <alignment horizontal="center" vertical="center" wrapText="1"/>
    </xf>
    <xf numFmtId="0" fontId="107" fillId="36" borderId="2" xfId="0" applyFont="1" applyFill="1" applyBorder="1" applyAlignment="1">
      <alignment horizontal="center" wrapText="1"/>
    </xf>
    <xf numFmtId="0" fontId="4" fillId="36" borderId="3" xfId="0" applyFont="1" applyFill="1" applyBorder="1" applyAlignment="1">
      <alignment horizontal="center" wrapText="1"/>
    </xf>
    <xf numFmtId="168" fontId="17" fillId="0" borderId="18" xfId="0" applyNumberFormat="1" applyFont="1" applyBorder="1" applyAlignment="1">
      <alignment horizontal="center"/>
    </xf>
    <xf numFmtId="168" fontId="17" fillId="13" borderId="12" xfId="0" applyNumberFormat="1" applyFont="1" applyFill="1" applyBorder="1" applyAlignment="1">
      <alignment horizontal="center" vertical="center"/>
    </xf>
    <xf numFmtId="168" fontId="32" fillId="22" borderId="75" xfId="0" applyNumberFormat="1" applyFont="1" applyFill="1" applyBorder="1" applyAlignment="1">
      <alignment horizontal="right" vertical="center"/>
    </xf>
    <xf numFmtId="0" fontId="71" fillId="35" borderId="0" xfId="0" applyFont="1" applyFill="1" applyAlignment="1">
      <alignment horizontal="center" vertical="center"/>
    </xf>
    <xf numFmtId="0" fontId="1" fillId="36" borderId="2" xfId="0" applyFont="1" applyFill="1" applyBorder="1" applyAlignment="1">
      <alignment horizontal="left" vertical="center"/>
    </xf>
    <xf numFmtId="0" fontId="107" fillId="36" borderId="2" xfId="0" applyFont="1" applyFill="1" applyBorder="1" applyAlignment="1">
      <alignment horizontal="center" vertical="center"/>
    </xf>
    <xf numFmtId="0" fontId="4" fillId="36" borderId="3" xfId="0" applyFont="1" applyFill="1" applyBorder="1" applyAlignment="1">
      <alignment horizontal="left" vertical="center"/>
    </xf>
    <xf numFmtId="0" fontId="29" fillId="36" borderId="2" xfId="0" applyFont="1" applyFill="1" applyBorder="1" applyAlignment="1">
      <alignment horizontal="center" vertical="center" wrapText="1"/>
    </xf>
    <xf numFmtId="0" fontId="108" fillId="0" borderId="23" xfId="0" applyFont="1" applyBorder="1" applyAlignment="1">
      <alignment horizontal="left"/>
    </xf>
    <xf numFmtId="0" fontId="91" fillId="0" borderId="0" xfId="0" applyFont="1" applyAlignment="1">
      <alignment horizontal="left" vertical="center" wrapText="1"/>
    </xf>
    <xf numFmtId="168" fontId="109" fillId="35" borderId="0" xfId="0" applyNumberFormat="1" applyFont="1" applyFill="1" applyAlignment="1">
      <alignment horizontal="center" vertical="center"/>
    </xf>
    <xf numFmtId="168" fontId="110" fillId="35" borderId="0" xfId="0" applyNumberFormat="1" applyFont="1" applyFill="1" applyAlignment="1">
      <alignment horizontal="center" vertical="center"/>
    </xf>
    <xf numFmtId="171" fontId="110" fillId="35" borderId="0" xfId="0" applyNumberFormat="1" applyFont="1" applyFill="1" applyAlignment="1">
      <alignment horizontal="center" vertical="center"/>
    </xf>
    <xf numFmtId="0" fontId="12" fillId="0" borderId="17" xfId="0" applyFont="1" applyBorder="1"/>
    <xf numFmtId="0" fontId="94" fillId="17" borderId="2" xfId="0" applyFont="1" applyFill="1" applyBorder="1" applyAlignment="1">
      <alignment vertical="center"/>
    </xf>
    <xf numFmtId="168" fontId="51" fillId="0" borderId="0" xfId="0" applyNumberFormat="1" applyFont="1" applyAlignment="1">
      <alignment horizontal="right" vertical="center"/>
    </xf>
    <xf numFmtId="1" fontId="70" fillId="0" borderId="0" xfId="0" applyNumberFormat="1" applyFont="1" applyAlignment="1">
      <alignment horizontal="center" vertical="center"/>
    </xf>
    <xf numFmtId="1" fontId="78" fillId="0" borderId="0" xfId="0" applyNumberFormat="1" applyFont="1" applyAlignment="1">
      <alignment horizontal="center" vertical="center"/>
    </xf>
    <xf numFmtId="1" fontId="102" fillId="0" borderId="0" xfId="0" applyNumberFormat="1" applyFont="1" applyAlignment="1">
      <alignment horizontal="center" vertical="center"/>
    </xf>
    <xf numFmtId="1" fontId="102" fillId="15" borderId="0" xfId="0" applyNumberFormat="1" applyFont="1" applyFill="1" applyAlignment="1">
      <alignment horizontal="center" vertical="center"/>
    </xf>
    <xf numFmtId="1" fontId="78" fillId="15" borderId="0" xfId="0" applyNumberFormat="1" applyFont="1" applyFill="1" applyAlignment="1">
      <alignment horizontal="center" vertical="center"/>
    </xf>
    <xf numFmtId="0" fontId="78" fillId="15" borderId="0" xfId="0" applyFont="1" applyFill="1" applyAlignment="1">
      <alignment horizontal="center" vertical="center"/>
    </xf>
    <xf numFmtId="0" fontId="17" fillId="32" borderId="12" xfId="0" applyFont="1" applyFill="1" applyBorder="1" applyAlignment="1">
      <alignment horizontal="center" vertical="center"/>
    </xf>
    <xf numFmtId="0" fontId="67" fillId="32" borderId="2" xfId="0" applyFont="1" applyFill="1" applyBorder="1" applyAlignment="1">
      <alignment horizontal="center" vertical="center"/>
    </xf>
    <xf numFmtId="49" fontId="67" fillId="32" borderId="2" xfId="0" applyNumberFormat="1" applyFont="1" applyFill="1" applyBorder="1" applyAlignment="1">
      <alignment vertical="center"/>
    </xf>
    <xf numFmtId="49" fontId="15" fillId="32" borderId="2" xfId="0" applyNumberFormat="1" applyFont="1" applyFill="1" applyBorder="1" applyAlignment="1">
      <alignment horizontal="center" vertical="center"/>
    </xf>
    <xf numFmtId="0" fontId="67" fillId="32" borderId="2" xfId="0" applyFont="1" applyFill="1" applyBorder="1" applyAlignment="1">
      <alignment vertical="center"/>
    </xf>
    <xf numFmtId="2" fontId="68" fillId="32" borderId="9" xfId="0" applyNumberFormat="1" applyFont="1" applyFill="1" applyBorder="1" applyAlignment="1">
      <alignment vertical="center"/>
    </xf>
    <xf numFmtId="166" fontId="65" fillId="32" borderId="2" xfId="0" applyNumberFormat="1" applyFont="1" applyFill="1" applyBorder="1" applyAlignment="1">
      <alignment horizontal="center" vertical="center"/>
    </xf>
    <xf numFmtId="166" fontId="11" fillId="32" borderId="0" xfId="0" applyNumberFormat="1" applyFont="1" applyFill="1" applyAlignment="1">
      <alignment horizontal="center" vertical="center"/>
    </xf>
    <xf numFmtId="0" fontId="10" fillId="32" borderId="2" xfId="0" applyFont="1" applyFill="1" applyBorder="1" applyAlignment="1">
      <alignment horizontal="center"/>
    </xf>
    <xf numFmtId="0" fontId="10" fillId="32" borderId="2" xfId="0" applyFont="1" applyFill="1" applyBorder="1"/>
    <xf numFmtId="0" fontId="10" fillId="32" borderId="2" xfId="0" quotePrefix="1" applyFont="1" applyFill="1" applyBorder="1"/>
    <xf numFmtId="0" fontId="10" fillId="32" borderId="3" xfId="0" applyFont="1" applyFill="1" applyBorder="1"/>
    <xf numFmtId="0" fontId="12" fillId="0" borderId="21" xfId="0" applyFont="1" applyBorder="1"/>
    <xf numFmtId="0" fontId="12" fillId="0" borderId="23" xfId="0" applyFont="1" applyBorder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0" fillId="0" borderId="26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0" fillId="0" borderId="2" xfId="0" applyFont="1" applyBorder="1"/>
    <xf numFmtId="16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horizontal="center" vertical="center"/>
    </xf>
    <xf numFmtId="0" fontId="111" fillId="0" borderId="0" xfId="0" quotePrefix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0" fontId="54" fillId="0" borderId="0" xfId="0" applyFont="1" applyAlignment="1">
      <alignment vertical="top"/>
    </xf>
    <xf numFmtId="2" fontId="10" fillId="0" borderId="0" xfId="0" applyNumberFormat="1" applyFont="1" applyAlignment="1">
      <alignment vertical="top"/>
    </xf>
    <xf numFmtId="0" fontId="10" fillId="0" borderId="111" xfId="0" applyFont="1" applyBorder="1" applyAlignment="1">
      <alignment vertical="top" wrapText="1"/>
    </xf>
    <xf numFmtId="0" fontId="10" fillId="0" borderId="113" xfId="0" applyFont="1" applyBorder="1" applyAlignment="1">
      <alignment vertical="top" wrapText="1"/>
    </xf>
    <xf numFmtId="0" fontId="26" fillId="0" borderId="0" xfId="0" applyFont="1" applyAlignment="1">
      <alignment horizontal="left"/>
    </xf>
    <xf numFmtId="0" fontId="10" fillId="0" borderId="7" xfId="0" applyFont="1" applyBorder="1" applyAlignment="1">
      <alignment horizontal="center"/>
    </xf>
    <xf numFmtId="0" fontId="6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20" fontId="10" fillId="0" borderId="19" xfId="0" applyNumberFormat="1" applyFont="1" applyBorder="1"/>
    <xf numFmtId="0" fontId="17" fillId="17" borderId="12" xfId="0" applyFont="1" applyFill="1" applyBorder="1" applyAlignment="1">
      <alignment horizontal="center" vertical="center"/>
    </xf>
    <xf numFmtId="0" fontId="67" fillId="17" borderId="2" xfId="0" applyFont="1" applyFill="1" applyBorder="1" applyAlignment="1">
      <alignment horizontal="center" vertical="center"/>
    </xf>
    <xf numFmtId="49" fontId="67" fillId="17" borderId="2" xfId="0" applyNumberFormat="1" applyFont="1" applyFill="1" applyBorder="1" applyAlignment="1">
      <alignment vertical="center"/>
    </xf>
    <xf numFmtId="49" fontId="15" fillId="17" borderId="2" xfId="0" applyNumberFormat="1" applyFont="1" applyFill="1" applyBorder="1" applyAlignment="1">
      <alignment horizontal="center" vertical="center"/>
    </xf>
    <xf numFmtId="0" fontId="67" fillId="17" borderId="2" xfId="0" applyFont="1" applyFill="1" applyBorder="1" applyAlignment="1">
      <alignment vertical="center"/>
    </xf>
    <xf numFmtId="2" fontId="68" fillId="17" borderId="9" xfId="0" applyNumberFormat="1" applyFont="1" applyFill="1" applyBorder="1" applyAlignment="1">
      <alignment vertical="center"/>
    </xf>
    <xf numFmtId="166" fontId="65" fillId="17" borderId="2" xfId="0" applyNumberFormat="1" applyFont="1" applyFill="1" applyBorder="1" applyAlignment="1">
      <alignment horizontal="center" vertical="center"/>
    </xf>
    <xf numFmtId="166" fontId="11" fillId="17" borderId="0" xfId="0" applyNumberFormat="1" applyFont="1" applyFill="1" applyAlignment="1">
      <alignment horizontal="center" vertical="center"/>
    </xf>
    <xf numFmtId="0" fontId="10" fillId="17" borderId="2" xfId="0" applyFont="1" applyFill="1" applyBorder="1" applyAlignment="1">
      <alignment horizontal="center"/>
    </xf>
    <xf numFmtId="0" fontId="10" fillId="17" borderId="2" xfId="0" applyFont="1" applyFill="1" applyBorder="1"/>
    <xf numFmtId="0" fontId="10" fillId="17" borderId="2" xfId="0" quotePrefix="1" applyFont="1" applyFill="1" applyBorder="1"/>
    <xf numFmtId="0" fontId="10" fillId="17" borderId="3" xfId="0" applyFont="1" applyFill="1" applyBorder="1"/>
    <xf numFmtId="0" fontId="67" fillId="17" borderId="2" xfId="0" applyFont="1" applyFill="1" applyBorder="1" applyAlignment="1">
      <alignment horizontal="left" vertical="center"/>
    </xf>
    <xf numFmtId="20" fontId="10" fillId="0" borderId="22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66" fontId="10" fillId="16" borderId="19" xfId="0" applyNumberFormat="1" applyFont="1" applyFill="1" applyBorder="1" applyAlignment="1">
      <alignment horizontal="center" wrapText="1"/>
    </xf>
    <xf numFmtId="1" fontId="10" fillId="0" borderId="0" xfId="0" applyNumberFormat="1" applyFont="1" applyAlignment="1">
      <alignment horizontal="left"/>
    </xf>
    <xf numFmtId="20" fontId="10" fillId="0" borderId="0" xfId="0" applyNumberFormat="1" applyFont="1" applyAlignment="1">
      <alignment horizontal="left"/>
    </xf>
    <xf numFmtId="166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left"/>
    </xf>
    <xf numFmtId="166" fontId="0" fillId="0" borderId="0" xfId="0" applyNumberFormat="1"/>
    <xf numFmtId="166" fontId="18" fillId="0" borderId="0" xfId="0" applyNumberFormat="1" applyFont="1"/>
    <xf numFmtId="2" fontId="66" fillId="0" borderId="24" xfId="1" applyNumberFormat="1" applyFont="1" applyFill="1" applyBorder="1" applyAlignment="1">
      <alignment horizontal="right"/>
    </xf>
    <xf numFmtId="2" fontId="66" fillId="0" borderId="20" xfId="1" applyNumberFormat="1" applyFont="1" applyFill="1" applyBorder="1" applyAlignment="1">
      <alignment horizontal="right"/>
    </xf>
    <xf numFmtId="49" fontId="15" fillId="15" borderId="19" xfId="0" applyNumberFormat="1" applyFont="1" applyFill="1" applyBorder="1" applyAlignment="1">
      <alignment horizontal="center" vertical="center"/>
    </xf>
    <xf numFmtId="0" fontId="15" fillId="0" borderId="20" xfId="0" applyFont="1" applyBorder="1" applyAlignment="1">
      <alignment vertical="center"/>
    </xf>
    <xf numFmtId="166" fontId="15" fillId="0" borderId="20" xfId="0" applyNumberFormat="1" applyFont="1" applyBorder="1" applyAlignment="1">
      <alignment vertical="center"/>
    </xf>
    <xf numFmtId="0" fontId="9" fillId="16" borderId="19" xfId="0" applyFont="1" applyFill="1" applyBorder="1" applyAlignment="1">
      <alignment horizontal="center"/>
    </xf>
    <xf numFmtId="0" fontId="64" fillId="0" borderId="0" xfId="0" applyFont="1"/>
    <xf numFmtId="0" fontId="112" fillId="0" borderId="19" xfId="0" applyFont="1" applyBorder="1"/>
    <xf numFmtId="2" fontId="42" fillId="0" borderId="0" xfId="0" applyNumberFormat="1" applyFont="1" applyAlignment="1">
      <alignment horizontal="center" vertical="center"/>
    </xf>
    <xf numFmtId="0" fontId="66" fillId="23" borderId="0" xfId="0" applyFont="1" applyFill="1"/>
    <xf numFmtId="0" fontId="10" fillId="0" borderId="0" xfId="0" applyFont="1" applyAlignment="1">
      <alignment horizontal="center" vertical="top"/>
    </xf>
    <xf numFmtId="2" fontId="26" fillId="37" borderId="58" xfId="0" applyNumberFormat="1" applyFont="1" applyFill="1" applyBorder="1" applyAlignment="1">
      <alignment horizontal="right" vertical="center"/>
    </xf>
    <xf numFmtId="2" fontId="23" fillId="37" borderId="58" xfId="0" applyNumberFormat="1" applyFont="1" applyFill="1" applyBorder="1" applyAlignment="1">
      <alignment horizontal="right" vertical="center"/>
    </xf>
    <xf numFmtId="2" fontId="26" fillId="37" borderId="61" xfId="0" applyNumberFormat="1" applyFont="1" applyFill="1" applyBorder="1" applyAlignment="1">
      <alignment horizontal="right" vertical="center"/>
    </xf>
    <xf numFmtId="2" fontId="23" fillId="37" borderId="61" xfId="0" applyNumberFormat="1" applyFont="1" applyFill="1" applyBorder="1" applyAlignment="1">
      <alignment horizontal="right" vertical="center"/>
    </xf>
    <xf numFmtId="43" fontId="23" fillId="37" borderId="61" xfId="2" applyFont="1" applyFill="1" applyBorder="1" applyAlignment="1">
      <alignment horizontal="right" vertical="center"/>
    </xf>
    <xf numFmtId="166" fontId="26" fillId="37" borderId="61" xfId="0" applyNumberFormat="1" applyFont="1" applyFill="1" applyBorder="1" applyAlignment="1">
      <alignment horizontal="right" vertical="center"/>
    </xf>
    <xf numFmtId="2" fontId="23" fillId="37" borderId="61" xfId="0" applyNumberFormat="1" applyFont="1" applyFill="1" applyBorder="1" applyAlignment="1">
      <alignment vertical="center"/>
    </xf>
    <xf numFmtId="2" fontId="26" fillId="37" borderId="100" xfId="0" applyNumberFormat="1" applyFont="1" applyFill="1" applyBorder="1" applyAlignment="1">
      <alignment horizontal="right" vertical="center"/>
    </xf>
    <xf numFmtId="169" fontId="26" fillId="37" borderId="61" xfId="0" applyNumberFormat="1" applyFont="1" applyFill="1" applyBorder="1" applyAlignment="1">
      <alignment horizontal="right" vertical="center"/>
    </xf>
    <xf numFmtId="166" fontId="42" fillId="0" borderId="3" xfId="0" applyNumberFormat="1" applyFont="1" applyBorder="1" applyAlignment="1">
      <alignment horizontal="center"/>
    </xf>
    <xf numFmtId="166" fontId="42" fillId="0" borderId="27" xfId="0" applyNumberFormat="1" applyFont="1" applyBorder="1" applyAlignment="1">
      <alignment horizontal="center" vertical="center"/>
    </xf>
    <xf numFmtId="166" fontId="42" fillId="0" borderId="7" xfId="0" applyNumberFormat="1" applyFont="1" applyBorder="1" applyAlignment="1">
      <alignment horizontal="center" vertical="center"/>
    </xf>
    <xf numFmtId="49" fontId="47" fillId="38" borderId="19" xfId="0" applyNumberFormat="1" applyFont="1" applyFill="1" applyBorder="1" applyAlignment="1">
      <alignment horizontal="center"/>
    </xf>
    <xf numFmtId="0" fontId="75" fillId="38" borderId="20" xfId="0" applyFont="1" applyFill="1" applyBorder="1"/>
    <xf numFmtId="2" fontId="47" fillId="38" borderId="20" xfId="0" applyNumberFormat="1" applyFont="1" applyFill="1" applyBorder="1"/>
    <xf numFmtId="1" fontId="75" fillId="38" borderId="20" xfId="0" applyNumberFormat="1" applyFont="1" applyFill="1" applyBorder="1" applyAlignment="1">
      <alignment horizontal="center"/>
    </xf>
    <xf numFmtId="1" fontId="26" fillId="38" borderId="5" xfId="0" applyNumberFormat="1" applyFont="1" applyFill="1" applyBorder="1" applyAlignment="1">
      <alignment horizontal="center"/>
    </xf>
    <xf numFmtId="0" fontId="26" fillId="38" borderId="20" xfId="0" applyFont="1" applyFill="1" applyBorder="1" applyAlignment="1">
      <alignment horizontal="center"/>
    </xf>
    <xf numFmtId="0" fontId="26" fillId="38" borderId="19" xfId="0" applyFont="1" applyFill="1" applyBorder="1"/>
    <xf numFmtId="0" fontId="26" fillId="38" borderId="19" xfId="0" applyFont="1" applyFill="1" applyBorder="1" applyAlignment="1">
      <alignment horizontal="left"/>
    </xf>
    <xf numFmtId="0" fontId="17" fillId="0" borderId="7" xfId="0" applyFont="1" applyBorder="1" applyAlignment="1">
      <alignment horizontal="center"/>
    </xf>
    <xf numFmtId="0" fontId="113" fillId="16" borderId="19" xfId="0" applyFont="1" applyFill="1" applyBorder="1" applyAlignment="1">
      <alignment horizontal="center"/>
    </xf>
    <xf numFmtId="0" fontId="40" fillId="0" borderId="19" xfId="0" applyFont="1" applyBorder="1" applyAlignment="1">
      <alignment horizontal="left"/>
    </xf>
    <xf numFmtId="2" fontId="114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left"/>
    </xf>
    <xf numFmtId="2" fontId="23" fillId="37" borderId="58" xfId="2" applyNumberFormat="1" applyFont="1" applyFill="1" applyBorder="1" applyAlignment="1">
      <alignment horizontal="right" vertical="center"/>
    </xf>
    <xf numFmtId="2" fontId="26" fillId="0" borderId="0" xfId="0" applyNumberFormat="1" applyFont="1" applyAlignment="1">
      <alignment horizontal="right" vertical="center"/>
    </xf>
    <xf numFmtId="166" fontId="42" fillId="0" borderId="0" xfId="0" applyNumberFormat="1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51" fillId="0" borderId="23" xfId="0" applyFont="1" applyBorder="1" applyAlignment="1">
      <alignment horizontal="center"/>
    </xf>
    <xf numFmtId="49" fontId="51" fillId="0" borderId="23" xfId="0" applyNumberFormat="1" applyFont="1" applyBorder="1"/>
    <xf numFmtId="0" fontId="42" fillId="0" borderId="28" xfId="0" applyFont="1" applyBorder="1"/>
    <xf numFmtId="1" fontId="10" fillId="0" borderId="28" xfId="0" applyNumberFormat="1" applyFont="1" applyBorder="1" applyAlignment="1">
      <alignment horizontal="center"/>
    </xf>
    <xf numFmtId="1" fontId="10" fillId="0" borderId="20" xfId="0" applyNumberFormat="1" applyFont="1" applyBorder="1" applyAlignment="1">
      <alignment horizontal="center"/>
    </xf>
    <xf numFmtId="20" fontId="51" fillId="0" borderId="19" xfId="0" applyNumberFormat="1" applyFont="1" applyBorder="1" applyAlignment="1">
      <alignment horizontal="center"/>
    </xf>
    <xf numFmtId="14" fontId="26" fillId="0" borderId="0" xfId="0" applyNumberFormat="1" applyFont="1" applyAlignment="1">
      <alignment horizontal="center"/>
    </xf>
    <xf numFmtId="14" fontId="116" fillId="0" borderId="0" xfId="0" applyNumberFormat="1" applyFont="1" applyAlignment="1">
      <alignment horizontal="center"/>
    </xf>
    <xf numFmtId="0" fontId="10" fillId="30" borderId="0" xfId="0" applyFont="1" applyFill="1" applyAlignment="1">
      <alignment horizontal="left" vertical="center"/>
    </xf>
    <xf numFmtId="0" fontId="10" fillId="30" borderId="0" xfId="0" applyFont="1" applyFill="1"/>
    <xf numFmtId="0" fontId="4" fillId="30" borderId="0" xfId="0" applyFont="1" applyFill="1" applyAlignment="1">
      <alignment horizontal="left"/>
    </xf>
    <xf numFmtId="0" fontId="10" fillId="30" borderId="22" xfId="0" applyFont="1" applyFill="1" applyBorder="1" applyAlignment="1">
      <alignment horizontal="left"/>
    </xf>
    <xf numFmtId="0" fontId="10" fillId="30" borderId="31" xfId="0" applyFont="1" applyFill="1" applyBorder="1" applyAlignment="1">
      <alignment horizontal="left"/>
    </xf>
    <xf numFmtId="49" fontId="10" fillId="0" borderId="16" xfId="0" applyNumberFormat="1" applyFont="1" applyBorder="1" applyAlignment="1">
      <alignment horizontal="left"/>
    </xf>
    <xf numFmtId="0" fontId="10" fillId="30" borderId="0" xfId="0" applyFont="1" applyFill="1" applyAlignment="1">
      <alignment vertical="center"/>
    </xf>
    <xf numFmtId="0" fontId="10" fillId="0" borderId="22" xfId="0" applyFont="1" applyBorder="1" applyAlignment="1">
      <alignment horizontal="left" vertical="center"/>
    </xf>
    <xf numFmtId="49" fontId="42" fillId="4" borderId="2" xfId="0" applyNumberFormat="1" applyFont="1" applyFill="1" applyBorder="1" applyAlignment="1">
      <alignment horizontal="center"/>
    </xf>
    <xf numFmtId="49" fontId="42" fillId="4" borderId="2" xfId="0" applyNumberFormat="1" applyFont="1" applyFill="1" applyBorder="1" applyAlignment="1">
      <alignment horizontal="right"/>
    </xf>
    <xf numFmtId="49" fontId="66" fillId="4" borderId="2" xfId="0" applyNumberFormat="1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63" fillId="0" borderId="19" xfId="0" applyFont="1" applyBorder="1" applyAlignment="1">
      <alignment horizontal="center"/>
    </xf>
    <xf numFmtId="0" fontId="63" fillId="0" borderId="41" xfId="0" applyFont="1" applyBorder="1" applyAlignment="1">
      <alignment horizontal="center"/>
    </xf>
    <xf numFmtId="0" fontId="26" fillId="0" borderId="97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98" xfId="0" applyFont="1" applyBorder="1" applyAlignment="1">
      <alignment horizontal="center"/>
    </xf>
    <xf numFmtId="0" fontId="10" fillId="25" borderId="12" xfId="0" applyFont="1" applyFill="1" applyBorder="1" applyAlignment="1">
      <alignment horizontal="center"/>
    </xf>
    <xf numFmtId="0" fontId="10" fillId="25" borderId="2" xfId="0" applyFont="1" applyFill="1" applyBorder="1" applyAlignment="1">
      <alignment horizontal="center"/>
    </xf>
    <xf numFmtId="0" fontId="10" fillId="25" borderId="3" xfId="0" applyFont="1" applyFill="1" applyBorder="1" applyAlignment="1">
      <alignment horizontal="center"/>
    </xf>
    <xf numFmtId="0" fontId="10" fillId="0" borderId="109" xfId="0" applyFont="1" applyBorder="1" applyAlignment="1">
      <alignment horizontal="left" vertical="center"/>
    </xf>
    <xf numFmtId="0" fontId="10" fillId="0" borderId="110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112" xfId="0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44" fillId="4" borderId="7" xfId="0" applyFont="1" applyFill="1" applyBorder="1" applyAlignment="1">
      <alignment horizontal="center" vertical="center" wrapText="1"/>
    </xf>
    <xf numFmtId="0" fontId="44" fillId="4" borderId="8" xfId="0" applyFont="1" applyFill="1" applyBorder="1" applyAlignment="1">
      <alignment horizontal="center" vertical="center" wrapText="1"/>
    </xf>
    <xf numFmtId="0" fontId="10" fillId="0" borderId="111" xfId="0" applyFont="1" applyBorder="1" applyAlignment="1">
      <alignment horizontal="left" vertical="center"/>
    </xf>
    <xf numFmtId="0" fontId="10" fillId="0" borderId="108" xfId="0" applyFont="1" applyBorder="1" applyAlignment="1">
      <alignment horizontal="left" vertical="center"/>
    </xf>
    <xf numFmtId="2" fontId="10" fillId="0" borderId="12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66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26" fillId="0" borderId="57" xfId="0" applyFont="1" applyBorder="1" applyAlignment="1">
      <alignment horizontal="center"/>
    </xf>
    <xf numFmtId="0" fontId="1" fillId="0" borderId="94" xfId="0" applyFont="1" applyBorder="1" applyAlignment="1">
      <alignment horizontal="center" vertical="center" wrapText="1"/>
    </xf>
    <xf numFmtId="0" fontId="1" fillId="0" borderId="92" xfId="0" applyFont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top"/>
    </xf>
    <xf numFmtId="0" fontId="4" fillId="0" borderId="124" xfId="0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0" fillId="0" borderId="111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111" xfId="0" applyFont="1" applyBorder="1" applyAlignment="1">
      <alignment vertical="center" wrapText="1"/>
    </xf>
    <xf numFmtId="0" fontId="10" fillId="0" borderId="19" xfId="0" applyFont="1" applyBorder="1" applyAlignment="1">
      <alignment vertical="center" wrapText="1"/>
    </xf>
    <xf numFmtId="0" fontId="10" fillId="0" borderId="111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97" fillId="0" borderId="25" xfId="0" applyFont="1" applyBorder="1" applyAlignment="1">
      <alignment horizontal="center" wrapText="1"/>
    </xf>
    <xf numFmtId="0" fontId="97" fillId="0" borderId="21" xfId="0" applyFont="1" applyBorder="1" applyAlignment="1">
      <alignment horizontal="center" wrapText="1"/>
    </xf>
    <xf numFmtId="0" fontId="97" fillId="0" borderId="44" xfId="0" applyFont="1" applyBorder="1" applyAlignment="1">
      <alignment horizontal="center" wrapText="1"/>
    </xf>
    <xf numFmtId="0" fontId="97" fillId="0" borderId="27" xfId="0" applyFont="1" applyBorder="1" applyAlignment="1">
      <alignment horizontal="center" wrapText="1"/>
    </xf>
    <xf numFmtId="0" fontId="97" fillId="0" borderId="7" xfId="0" applyFont="1" applyBorder="1" applyAlignment="1">
      <alignment horizontal="center" wrapText="1"/>
    </xf>
    <xf numFmtId="0" fontId="97" fillId="0" borderId="8" xfId="0" applyFont="1" applyBorder="1" applyAlignment="1">
      <alignment horizontal="center" wrapText="1"/>
    </xf>
    <xf numFmtId="2" fontId="10" fillId="0" borderId="105" xfId="0" applyNumberFormat="1" applyFont="1" applyBorder="1" applyAlignment="1">
      <alignment horizontal="center"/>
    </xf>
    <xf numFmtId="2" fontId="10" fillId="0" borderId="107" xfId="0" applyNumberFormat="1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44" xfId="0" applyFont="1" applyBorder="1" applyAlignment="1">
      <alignment horizontal="center"/>
    </xf>
    <xf numFmtId="0" fontId="5" fillId="0" borderId="25" xfId="0" applyFont="1" applyBorder="1" applyAlignment="1">
      <alignment horizontal="center" wrapText="1"/>
    </xf>
    <xf numFmtId="0" fontId="5" fillId="0" borderId="44" xfId="0" applyFont="1" applyBorder="1" applyAlignment="1">
      <alignment horizontal="center" wrapText="1"/>
    </xf>
    <xf numFmtId="0" fontId="5" fillId="0" borderId="27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5" fillId="0" borderId="102" xfId="0" applyFont="1" applyBorder="1" applyAlignment="1">
      <alignment horizontal="center" vertical="center" wrapText="1"/>
    </xf>
    <xf numFmtId="0" fontId="5" fillId="0" borderId="103" xfId="0" applyFont="1" applyBorder="1" applyAlignment="1">
      <alignment horizontal="center" vertical="center" wrapText="1"/>
    </xf>
    <xf numFmtId="0" fontId="40" fillId="26" borderId="105" xfId="0" applyFont="1" applyFill="1" applyBorder="1" applyAlignment="1">
      <alignment horizontal="center" vertical="center" wrapText="1"/>
    </xf>
    <xf numFmtId="0" fontId="40" fillId="26" borderId="107" xfId="0" applyFont="1" applyFill="1" applyBorder="1" applyAlignment="1">
      <alignment horizontal="center" vertical="center" wrapText="1"/>
    </xf>
    <xf numFmtId="2" fontId="10" fillId="0" borderId="21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93" fillId="0" borderId="7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2" fillId="0" borderId="9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9" fillId="2" borderId="1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65" fillId="2" borderId="2" xfId="0" applyFont="1" applyFill="1" applyBorder="1" applyAlignment="1">
      <alignment horizontal="center" vertical="center"/>
    </xf>
    <xf numFmtId="0" fontId="65" fillId="2" borderId="38" xfId="0" applyFont="1" applyFill="1" applyBorder="1" applyAlignment="1">
      <alignment horizontal="center" vertical="center"/>
    </xf>
    <xf numFmtId="10" fontId="72" fillId="2" borderId="2" xfId="0" quotePrefix="1" applyNumberFormat="1" applyFont="1" applyFill="1" applyBorder="1" applyAlignment="1">
      <alignment horizontal="center"/>
    </xf>
    <xf numFmtId="2" fontId="10" fillId="0" borderId="2" xfId="0" applyNumberFormat="1" applyFont="1" applyBorder="1" applyAlignment="1">
      <alignment horizontal="center"/>
    </xf>
    <xf numFmtId="167" fontId="10" fillId="0" borderId="2" xfId="0" applyNumberFormat="1" applyFont="1" applyBorder="1" applyAlignment="1">
      <alignment horizontal="center"/>
    </xf>
    <xf numFmtId="0" fontId="26" fillId="0" borderId="59" xfId="0" applyFont="1" applyBorder="1" applyAlignment="1">
      <alignment horizontal="center"/>
    </xf>
    <xf numFmtId="0" fontId="26" fillId="0" borderId="49" xfId="0" applyFont="1" applyBorder="1" applyAlignment="1">
      <alignment horizontal="center"/>
    </xf>
    <xf numFmtId="0" fontId="26" fillId="0" borderId="60" xfId="0" applyFont="1" applyBorder="1" applyAlignment="1">
      <alignment horizontal="center"/>
    </xf>
    <xf numFmtId="10" fontId="74" fillId="2" borderId="2" xfId="0" quotePrefix="1" applyNumberFormat="1" applyFont="1" applyFill="1" applyBorder="1" applyAlignment="1">
      <alignment horizontal="center"/>
    </xf>
    <xf numFmtId="0" fontId="2" fillId="0" borderId="13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5" fillId="16" borderId="6" xfId="0" applyFont="1" applyFill="1" applyBorder="1" applyAlignment="1">
      <alignment horizontal="center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13" xfId="0" applyNumberFormat="1" applyFont="1" applyBorder="1" applyAlignment="1">
      <alignment horizontal="center" vertical="center" wrapText="1"/>
    </xf>
    <xf numFmtId="0" fontId="65" fillId="2" borderId="2" xfId="0" quotePrefix="1" applyFon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10" fontId="73" fillId="2" borderId="2" xfId="0" quotePrefix="1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10" fontId="72" fillId="8" borderId="2" xfId="0" quotePrefix="1" applyNumberFormat="1" applyFont="1" applyFill="1" applyBorder="1" applyAlignment="1">
      <alignment horizontal="center"/>
    </xf>
    <xf numFmtId="0" fontId="65" fillId="8" borderId="2" xfId="0" applyFont="1" applyFill="1" applyBorder="1" applyAlignment="1">
      <alignment horizontal="center" vertical="center"/>
    </xf>
    <xf numFmtId="0" fontId="65" fillId="8" borderId="38" xfId="0" applyFont="1" applyFill="1" applyBorder="1" applyAlignment="1">
      <alignment horizontal="center" vertical="center"/>
    </xf>
    <xf numFmtId="10" fontId="74" fillId="6" borderId="2" xfId="0" quotePrefix="1" applyNumberFormat="1" applyFont="1" applyFill="1" applyBorder="1" applyAlignment="1">
      <alignment horizontal="center"/>
    </xf>
    <xf numFmtId="0" fontId="12" fillId="2" borderId="26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6" borderId="27" xfId="0" applyFont="1" applyFill="1" applyBorder="1" applyAlignment="1">
      <alignment horizontal="center"/>
    </xf>
    <xf numFmtId="0" fontId="12" fillId="6" borderId="7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0" borderId="62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10" fillId="0" borderId="105" xfId="0" applyFont="1" applyBorder="1" applyAlignment="1">
      <alignment horizontal="center"/>
    </xf>
    <xf numFmtId="0" fontId="10" fillId="0" borderId="107" xfId="0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2" fontId="10" fillId="0" borderId="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8" fillId="18" borderId="12" xfId="0" applyFont="1" applyFill="1" applyBorder="1" applyAlignment="1">
      <alignment horizontal="center" vertical="center" wrapText="1"/>
    </xf>
    <xf numFmtId="0" fontId="98" fillId="18" borderId="3" xfId="0" applyFont="1" applyFill="1" applyBorder="1" applyAlignment="1">
      <alignment horizontal="center" vertical="center" wrapText="1"/>
    </xf>
    <xf numFmtId="0" fontId="65" fillId="18" borderId="12" xfId="0" applyFont="1" applyFill="1" applyBorder="1" applyAlignment="1">
      <alignment horizontal="right" vertical="center"/>
    </xf>
    <xf numFmtId="0" fontId="65" fillId="18" borderId="38" xfId="0" applyFont="1" applyFill="1" applyBorder="1" applyAlignment="1">
      <alignment horizontal="right" vertical="center"/>
    </xf>
    <xf numFmtId="0" fontId="65" fillId="18" borderId="37" xfId="0" applyFont="1" applyFill="1" applyBorder="1" applyAlignment="1">
      <alignment horizontal="center" vertical="center"/>
    </xf>
    <xf numFmtId="0" fontId="65" fillId="18" borderId="2" xfId="0" applyFont="1" applyFill="1" applyBorder="1" applyAlignment="1">
      <alignment horizontal="center" vertical="center"/>
    </xf>
    <xf numFmtId="164" fontId="9" fillId="18" borderId="27" xfId="0" applyNumberFormat="1" applyFont="1" applyFill="1" applyBorder="1" applyAlignment="1">
      <alignment horizontal="center" vertical="center"/>
    </xf>
    <xf numFmtId="164" fontId="9" fillId="18" borderId="7" xfId="0" applyNumberFormat="1" applyFont="1" applyFill="1" applyBorder="1" applyAlignment="1">
      <alignment horizontal="center" vertical="center"/>
    </xf>
    <xf numFmtId="164" fontId="9" fillId="18" borderId="8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/>
    </xf>
    <xf numFmtId="0" fontId="2" fillId="0" borderId="92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16" borderId="6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 wrapText="1"/>
    </xf>
    <xf numFmtId="166" fontId="2" fillId="0" borderId="7" xfId="0" applyNumberFormat="1" applyFont="1" applyBorder="1" applyAlignment="1">
      <alignment horizontal="center" vertical="center" wrapText="1"/>
    </xf>
    <xf numFmtId="166" fontId="2" fillId="0" borderId="51" xfId="0" applyNumberFormat="1" applyFont="1" applyBorder="1" applyAlignment="1">
      <alignment horizontal="center" vertical="center" wrapText="1"/>
    </xf>
    <xf numFmtId="166" fontId="2" fillId="0" borderId="52" xfId="0" applyNumberFormat="1" applyFont="1" applyBorder="1" applyAlignment="1">
      <alignment horizontal="center" vertical="center" wrapText="1"/>
    </xf>
    <xf numFmtId="166" fontId="10" fillId="0" borderId="105" xfId="0" applyNumberFormat="1" applyFont="1" applyBorder="1" applyAlignment="1">
      <alignment horizontal="center"/>
    </xf>
    <xf numFmtId="166" fontId="10" fillId="0" borderId="107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03" fillId="0" borderId="48" xfId="0" applyFont="1" applyBorder="1" applyAlignment="1">
      <alignment horizontal="center"/>
    </xf>
    <xf numFmtId="0" fontId="103" fillId="0" borderId="49" xfId="0" applyFont="1" applyBorder="1" applyAlignment="1">
      <alignment horizontal="center"/>
    </xf>
    <xf numFmtId="0" fontId="103" fillId="0" borderId="50" xfId="0" applyFont="1" applyBorder="1" applyAlignment="1">
      <alignment horizontal="center"/>
    </xf>
    <xf numFmtId="164" fontId="9" fillId="2" borderId="12" xfId="0" applyNumberFormat="1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3" xfId="0" applyNumberFormat="1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wrapText="1"/>
    </xf>
    <xf numFmtId="0" fontId="5" fillId="0" borderId="95" xfId="0" applyFont="1" applyBorder="1" applyAlignment="1">
      <alignment horizont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65" fillId="2" borderId="37" xfId="0" applyFont="1" applyFill="1" applyBorder="1" applyAlignment="1">
      <alignment horizontal="center" vertical="center"/>
    </xf>
    <xf numFmtId="0" fontId="2" fillId="0" borderId="124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right" vertical="center"/>
    </xf>
    <xf numFmtId="49" fontId="2" fillId="0" borderId="7" xfId="0" applyNumberFormat="1" applyFont="1" applyBorder="1" applyAlignment="1">
      <alignment horizontal="right" vertical="center"/>
    </xf>
    <xf numFmtId="0" fontId="2" fillId="0" borderId="94" xfId="0" applyFont="1" applyBorder="1" applyAlignment="1">
      <alignment vertical="center" wrapText="1"/>
    </xf>
    <xf numFmtId="0" fontId="2" fillId="0" borderId="92" xfId="0" applyFont="1" applyBorder="1" applyAlignment="1">
      <alignment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169" fontId="10" fillId="0" borderId="105" xfId="0" applyNumberFormat="1" applyFont="1" applyBorder="1" applyAlignment="1">
      <alignment horizontal="center"/>
    </xf>
    <xf numFmtId="169" fontId="10" fillId="0" borderId="107" xfId="0" applyNumberFormat="1" applyFont="1" applyBorder="1" applyAlignment="1">
      <alignment horizontal="center"/>
    </xf>
    <xf numFmtId="0" fontId="17" fillId="17" borderId="12" xfId="0" applyFont="1" applyFill="1" applyBorder="1" applyAlignment="1">
      <alignment horizontal="center" vertical="center"/>
    </xf>
    <xf numFmtId="0" fontId="17" fillId="17" borderId="2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66" fontId="10" fillId="0" borderId="2" xfId="0" applyNumberFormat="1" applyFont="1" applyBorder="1" applyAlignment="1">
      <alignment horizontal="center"/>
    </xf>
    <xf numFmtId="0" fontId="17" fillId="10" borderId="48" xfId="0" applyFont="1" applyFill="1" applyBorder="1" applyAlignment="1">
      <alignment horizontal="left" vertical="center"/>
    </xf>
    <xf numFmtId="0" fontId="17" fillId="10" borderId="49" xfId="0" applyFont="1" applyFill="1" applyBorder="1" applyAlignment="1">
      <alignment horizontal="left" vertical="center"/>
    </xf>
    <xf numFmtId="0" fontId="17" fillId="10" borderId="60" xfId="0" applyFont="1" applyFill="1" applyBorder="1" applyAlignment="1">
      <alignment horizontal="left" vertical="center"/>
    </xf>
    <xf numFmtId="0" fontId="26" fillId="0" borderId="0" xfId="0" applyFont="1" applyAlignment="1">
      <alignment horizontal="center"/>
    </xf>
    <xf numFmtId="0" fontId="17" fillId="7" borderId="12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4" fillId="16" borderId="53" xfId="0" applyFont="1" applyFill="1" applyBorder="1" applyAlignment="1">
      <alignment horizontal="center"/>
    </xf>
    <xf numFmtId="0" fontId="2" fillId="0" borderId="53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53" xfId="0" applyFont="1" applyBorder="1" applyAlignment="1">
      <alignment horizontal="center" vertical="center" wrapText="1"/>
    </xf>
    <xf numFmtId="49" fontId="2" fillId="0" borderId="53" xfId="0" applyNumberFormat="1" applyFont="1" applyBorder="1" applyAlignment="1">
      <alignment horizontal="center" vertical="center"/>
    </xf>
    <xf numFmtId="49" fontId="29" fillId="0" borderId="0" xfId="0" applyNumberFormat="1" applyFont="1" applyAlignment="1">
      <alignment horizontal="center" vertical="center" wrapText="1"/>
    </xf>
    <xf numFmtId="49" fontId="29" fillId="0" borderId="53" xfId="0" applyNumberFormat="1" applyFont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17" fillId="9" borderId="7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124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9" fillId="0" borderId="64" xfId="0" applyFont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2" fontId="18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0" fillId="0" borderId="105" xfId="0" applyFont="1" applyBorder="1" applyAlignment="1">
      <alignment horizontal="center" vertical="center"/>
    </xf>
    <xf numFmtId="0" fontId="10" fillId="0" borderId="107" xfId="0" applyFont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2" fontId="10" fillId="0" borderId="0" xfId="0" applyNumberFormat="1" applyFont="1" applyAlignment="1">
      <alignment horizontal="center"/>
    </xf>
    <xf numFmtId="0" fontId="97" fillId="0" borderId="0" xfId="0" applyFont="1" applyAlignment="1">
      <alignment horizontal="center" wrapText="1"/>
    </xf>
    <xf numFmtId="0" fontId="101" fillId="0" borderId="0" xfId="0" applyFont="1" applyAlignment="1">
      <alignment horizontal="center" vertical="center"/>
    </xf>
    <xf numFmtId="0" fontId="17" fillId="32" borderId="12" xfId="0" applyFont="1" applyFill="1" applyBorder="1" applyAlignment="1">
      <alignment horizontal="center" vertical="center"/>
    </xf>
    <xf numFmtId="0" fontId="17" fillId="32" borderId="2" xfId="0" applyFont="1" applyFill="1" applyBorder="1" applyAlignment="1">
      <alignment horizontal="center" vertical="center"/>
    </xf>
    <xf numFmtId="0" fontId="17" fillId="32" borderId="3" xfId="0" applyFont="1" applyFill="1" applyBorder="1" applyAlignment="1">
      <alignment horizontal="center" vertical="center"/>
    </xf>
    <xf numFmtId="0" fontId="71" fillId="35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2" fillId="0" borderId="0" xfId="0" applyFont="1" applyAlignment="1">
      <alignment horizontal="center" vertical="center" wrapText="1"/>
    </xf>
    <xf numFmtId="0" fontId="18" fillId="7" borderId="21" xfId="0" applyFont="1" applyFill="1" applyBorder="1" applyAlignment="1">
      <alignment horizontal="center"/>
    </xf>
    <xf numFmtId="0" fontId="17" fillId="0" borderId="8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85" xfId="0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74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85" xfId="0" applyFont="1" applyBorder="1" applyAlignment="1">
      <alignment horizontal="center"/>
    </xf>
    <xf numFmtId="0" fontId="17" fillId="0" borderId="90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71" xfId="0" applyFont="1" applyBorder="1" applyAlignment="1">
      <alignment horizontal="center"/>
    </xf>
    <xf numFmtId="0" fontId="9" fillId="0" borderId="73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4" xfId="0" applyFont="1" applyBorder="1" applyAlignment="1">
      <alignment horizontal="center"/>
    </xf>
    <xf numFmtId="0" fontId="91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26" fillId="0" borderId="67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35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9" fillId="0" borderId="76" xfId="0" applyFont="1" applyBorder="1" applyAlignment="1">
      <alignment horizontal="center" vertical="center" wrapText="1"/>
    </xf>
    <xf numFmtId="0" fontId="33" fillId="0" borderId="77" xfId="0" applyFont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 wrapText="1"/>
    </xf>
    <xf numFmtId="0" fontId="33" fillId="0" borderId="79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80" xfId="0" applyFont="1" applyBorder="1" applyAlignment="1">
      <alignment horizontal="center" vertical="center" wrapText="1"/>
    </xf>
    <xf numFmtId="0" fontId="33" fillId="0" borderId="81" xfId="0" applyFont="1" applyBorder="1" applyAlignment="1">
      <alignment horizontal="center" vertical="center" wrapText="1"/>
    </xf>
    <xf numFmtId="0" fontId="33" fillId="0" borderId="82" xfId="0" applyFont="1" applyBorder="1" applyAlignment="1">
      <alignment horizontal="center" vertical="center" wrapText="1"/>
    </xf>
    <xf numFmtId="0" fontId="33" fillId="0" borderId="83" xfId="0" applyFont="1" applyBorder="1" applyAlignment="1">
      <alignment horizontal="center" vertical="center" wrapText="1"/>
    </xf>
    <xf numFmtId="0" fontId="26" fillId="0" borderId="87" xfId="0" applyFont="1" applyBorder="1" applyAlignment="1">
      <alignment horizontal="center"/>
    </xf>
    <xf numFmtId="0" fontId="26" fillId="0" borderId="88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42" fillId="0" borderId="0" xfId="0" applyFont="1" applyAlignment="1">
      <alignment horizontal="center" vertical="center"/>
    </xf>
    <xf numFmtId="0" fontId="53" fillId="4" borderId="116" xfId="0" applyFont="1" applyFill="1" applyBorder="1" applyAlignment="1">
      <alignment horizontal="center"/>
    </xf>
    <xf numFmtId="164" fontId="1" fillId="17" borderId="27" xfId="0" applyNumberFormat="1" applyFont="1" applyFill="1" applyBorder="1" applyAlignment="1">
      <alignment horizontal="center" vertical="center"/>
    </xf>
    <xf numFmtId="164" fontId="1" fillId="17" borderId="7" xfId="0" applyNumberFormat="1" applyFont="1" applyFill="1" applyBorder="1" applyAlignment="1">
      <alignment horizontal="center" vertical="center"/>
    </xf>
    <xf numFmtId="164" fontId="1" fillId="17" borderId="8" xfId="0" applyNumberFormat="1" applyFont="1" applyFill="1" applyBorder="1" applyAlignment="1">
      <alignment horizontal="center" vertical="center"/>
    </xf>
    <xf numFmtId="1" fontId="89" fillId="0" borderId="0" xfId="0" quotePrefix="1" applyNumberFormat="1" applyFont="1" applyAlignment="1">
      <alignment horizontal="left" vertical="center" wrapText="1"/>
    </xf>
    <xf numFmtId="0" fontId="4" fillId="0" borderId="0" xfId="0" applyFont="1" applyAlignment="1">
      <alignment horizontal="left"/>
    </xf>
    <xf numFmtId="164" fontId="1" fillId="6" borderId="2" xfId="0" applyNumberFormat="1" applyFont="1" applyFill="1" applyBorder="1" applyAlignment="1">
      <alignment horizontal="center" vertical="center"/>
    </xf>
    <xf numFmtId="164" fontId="1" fillId="6" borderId="3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5" fillId="16" borderId="48" xfId="0" applyFont="1" applyFill="1" applyBorder="1" applyAlignment="1">
      <alignment horizontal="center" wrapText="1"/>
    </xf>
    <xf numFmtId="0" fontId="15" fillId="16" borderId="49" xfId="0" applyFont="1" applyFill="1" applyBorder="1" applyAlignment="1">
      <alignment horizontal="center" wrapText="1"/>
    </xf>
    <xf numFmtId="0" fontId="15" fillId="16" borderId="50" xfId="0" applyFont="1" applyFill="1" applyBorder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164" fontId="1" fillId="12" borderId="7" xfId="0" applyNumberFormat="1" applyFont="1" applyFill="1" applyBorder="1" applyAlignment="1">
      <alignment horizontal="center" vertical="center"/>
    </xf>
    <xf numFmtId="164" fontId="1" fillId="12" borderId="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49" fontId="1" fillId="0" borderId="0" xfId="0" applyNumberFormat="1" applyFont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0" fontId="10" fillId="0" borderId="76" xfId="0" applyFont="1" applyBorder="1" applyAlignment="1">
      <alignment horizontal="center" vertical="top" wrapText="1"/>
    </xf>
    <xf numFmtId="0" fontId="10" fillId="0" borderId="77" xfId="0" applyFont="1" applyBorder="1" applyAlignment="1">
      <alignment horizontal="center" vertical="top" wrapText="1"/>
    </xf>
    <xf numFmtId="0" fontId="10" fillId="0" borderId="78" xfId="0" applyFont="1" applyBorder="1" applyAlignment="1">
      <alignment horizontal="center" vertical="top" wrapText="1"/>
    </xf>
    <xf numFmtId="0" fontId="10" fillId="0" borderId="79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80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top" wrapText="1"/>
    </xf>
    <xf numFmtId="0" fontId="10" fillId="0" borderId="23" xfId="0" applyFont="1" applyBorder="1" applyAlignment="1">
      <alignment horizontal="center" vertical="top" wrapText="1"/>
    </xf>
    <xf numFmtId="0" fontId="65" fillId="17" borderId="2" xfId="0" applyFont="1" applyFill="1" applyBorder="1" applyAlignment="1">
      <alignment horizontal="center" vertical="center"/>
    </xf>
    <xf numFmtId="0" fontId="65" fillId="17" borderId="38" xfId="0" applyFont="1" applyFill="1" applyBorder="1" applyAlignment="1">
      <alignment horizontal="center" vertical="center"/>
    </xf>
    <xf numFmtId="0" fontId="65" fillId="14" borderId="2" xfId="0" applyFont="1" applyFill="1" applyBorder="1" applyAlignment="1">
      <alignment horizontal="center" vertical="center"/>
    </xf>
    <xf numFmtId="0" fontId="65" fillId="14" borderId="38" xfId="0" applyFont="1" applyFill="1" applyBorder="1" applyAlignment="1">
      <alignment horizontal="center" vertical="center"/>
    </xf>
    <xf numFmtId="0" fontId="65" fillId="12" borderId="2" xfId="0" applyFont="1" applyFill="1" applyBorder="1" applyAlignment="1">
      <alignment horizontal="center" vertical="center"/>
    </xf>
    <xf numFmtId="0" fontId="65" fillId="12" borderId="38" xfId="0" applyFont="1" applyFill="1" applyBorder="1" applyAlignment="1">
      <alignment horizontal="center" vertical="center"/>
    </xf>
    <xf numFmtId="164" fontId="9" fillId="14" borderId="7" xfId="0" applyNumberFormat="1" applyFont="1" applyFill="1" applyBorder="1" applyAlignment="1">
      <alignment horizontal="center" vertical="center"/>
    </xf>
    <xf numFmtId="164" fontId="9" fillId="14" borderId="8" xfId="0" applyNumberFormat="1" applyFont="1" applyFill="1" applyBorder="1" applyAlignment="1">
      <alignment horizontal="center" vertical="center"/>
    </xf>
  </cellXfs>
  <cellStyles count="5">
    <cellStyle name="백분율" xfId="1" builtinId="5"/>
    <cellStyle name="쉼표" xfId="2" builtinId="3"/>
    <cellStyle name="쉼표 2" xfId="4" xr:uid="{3801FDFF-25B0-40AB-8F8D-990EFAA95923}"/>
    <cellStyle name="통화" xfId="3" builtinId="4"/>
    <cellStyle name="표준" xfId="0" builtinId="0"/>
  </cellStyles>
  <dxfs count="0"/>
  <tableStyles count="0" defaultTableStyle="TableStyleMedium2" defaultPivotStyle="PivotStyleLight16"/>
  <colors>
    <mruColors>
      <color rgb="FFFFFFCC"/>
      <color rgb="FFFF3300"/>
      <color rgb="FFFF9900"/>
      <color rgb="FFFFCCCC"/>
      <color rgb="FF0000FF"/>
      <color rgb="FFFFCC66"/>
      <color rgb="FFFF5050"/>
      <color rgb="FF0066FF"/>
      <color rgb="FF66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</a:t>
            </a:r>
            <a:r>
              <a:rPr lang="fr-FR" baseline="0"/>
              <a:t> 250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MIGNON'!$AF$7:$AI$7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MIGNON'!$AF$8:$AI$8</c:f>
              <c:numCache>
                <c:formatCode>0.0</c:formatCode>
                <c:ptCount val="4"/>
                <c:pt idx="0">
                  <c:v>0.20380434782608695</c:v>
                </c:pt>
                <c:pt idx="1">
                  <c:v>0.12206521739130435</c:v>
                </c:pt>
                <c:pt idx="2">
                  <c:v>5.434782608695652E-2</c:v>
                </c:pt>
                <c:pt idx="3">
                  <c:v>0.54347826086956519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A-496C-A620-A0AEA55B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7968"/>
        <c:axId val="476604008"/>
      </c:lineChart>
      <c:catAx>
        <c:axId val="4766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4008"/>
        <c:crosses val="autoZero"/>
        <c:auto val="1"/>
        <c:lblAlgn val="ctr"/>
        <c:lblOffset val="100"/>
        <c:noMultiLvlLbl val="0"/>
      </c:catAx>
      <c:valAx>
        <c:axId val="47660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3-400</a:t>
            </a:r>
            <a:r>
              <a:rPr lang="fr-FR" baseline="0"/>
              <a:t>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MIGNON'!$AF$34:$AI$34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MIGNON'!$AF$35:$AI$35</c:f>
              <c:numCache>
                <c:formatCode>0.0</c:formatCode>
                <c:ptCount val="4"/>
                <c:pt idx="0">
                  <c:v>1.0696739130434783</c:v>
                </c:pt>
                <c:pt idx="1">
                  <c:v>1.8676739130434783</c:v>
                </c:pt>
                <c:pt idx="2">
                  <c:v>0.9328478260869566</c:v>
                </c:pt>
                <c:pt idx="3">
                  <c:v>2.1503478260869566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5-4E58-8A27-75B6B1E5A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1280"/>
        <c:axId val="471906960"/>
      </c:lineChart>
      <c:catAx>
        <c:axId val="47191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06960"/>
        <c:crosses val="autoZero"/>
        <c:auto val="1"/>
        <c:lblAlgn val="ctr"/>
        <c:lblOffset val="100"/>
        <c:noMultiLvlLbl val="0"/>
      </c:catAx>
      <c:valAx>
        <c:axId val="4719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7-800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MIGNON'!$AF$57:$AI$57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MIGNON'!$AF$58:$AI$58</c:f>
              <c:numCache>
                <c:formatCode>0.0</c:formatCode>
                <c:ptCount val="4"/>
                <c:pt idx="0">
                  <c:v>0.68153846153846154</c:v>
                </c:pt>
                <c:pt idx="1">
                  <c:v>0.13990384615384616</c:v>
                </c:pt>
                <c:pt idx="2">
                  <c:v>0.36586538461538459</c:v>
                </c:pt>
                <c:pt idx="3">
                  <c:v>0.20153846153846156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151-A870-0103C725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07072"/>
        <c:axId val="320705272"/>
      </c:lineChart>
      <c:catAx>
        <c:axId val="320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05272"/>
        <c:crosses val="autoZero"/>
        <c:auto val="1"/>
        <c:lblAlgn val="ctr"/>
        <c:lblOffset val="100"/>
        <c:noMultiLvlLbl val="0"/>
      </c:catAx>
      <c:valAx>
        <c:axId val="32070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0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Mignonette</a:t>
            </a:r>
            <a:r>
              <a:rPr lang="fr-FR" baseline="0"/>
              <a:t>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MIGNON'!$AF$79:$AI$79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MIGNON'!$AF$80:$AI$80</c:f>
              <c:numCache>
                <c:formatCode>0.0</c:formatCode>
                <c:ptCount val="4"/>
                <c:pt idx="0">
                  <c:v>0.12770000000000001</c:v>
                </c:pt>
                <c:pt idx="1">
                  <c:v>0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C-49F9-B5DB-776567FB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0368"/>
        <c:axId val="554763248"/>
      </c:lineChart>
      <c:catAx>
        <c:axId val="55476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3248"/>
        <c:crosses val="autoZero"/>
        <c:auto val="1"/>
        <c:lblAlgn val="ctr"/>
        <c:lblOffset val="100"/>
        <c:noMultiLvlLbl val="0"/>
      </c:catAx>
      <c:valAx>
        <c:axId val="55476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MIGNON'!$AF$115:$AI$115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MIGNON'!$AF$116:$AI$116</c:f>
              <c:numCache>
                <c:formatCode>0.0</c:formatCode>
                <c:ptCount val="4"/>
                <c:pt idx="0">
                  <c:v>4.0571276595744683</c:v>
                </c:pt>
                <c:pt idx="1">
                  <c:v>1.0480851063829788</c:v>
                </c:pt>
                <c:pt idx="2">
                  <c:v>1.3307234042553193</c:v>
                </c:pt>
                <c:pt idx="3">
                  <c:v>2.3383404255319151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4-4798-B321-10EDCAD07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71320"/>
        <c:axId val="406269880"/>
      </c:lineChart>
      <c:catAx>
        <c:axId val="40627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9880"/>
        <c:crosses val="autoZero"/>
        <c:auto val="1"/>
        <c:lblAlgn val="ctr"/>
        <c:lblOffset val="100"/>
        <c:noMultiLvlLbl val="0"/>
      </c:catAx>
      <c:valAx>
        <c:axId val="40626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Courbe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MIGNON'!$AF$15:$AI$15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MIGNON'!$AF$16:$AI$16</c:f>
              <c:numCache>
                <c:formatCode>0.0</c:formatCode>
                <c:ptCount val="4"/>
                <c:pt idx="0">
                  <c:v>0.24088888888888887</c:v>
                </c:pt>
                <c:pt idx="1">
                  <c:v>0.18533333333333332</c:v>
                </c:pt>
                <c:pt idx="2">
                  <c:v>0.3634222222222222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5-482C-BD45-C2762F877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0488"/>
        <c:axId val="476611208"/>
      </c:lineChart>
      <c:catAx>
        <c:axId val="476610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1208"/>
        <c:crosses val="autoZero"/>
        <c:auto val="1"/>
        <c:lblAlgn val="ctr"/>
        <c:lblOffset val="100"/>
        <c:noMultiLvlLbl val="0"/>
      </c:catAx>
      <c:valAx>
        <c:axId val="47661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200</a:t>
            </a:r>
            <a:r>
              <a:rPr lang="fr-FR" baseline="0"/>
              <a:t> 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'BN 200'!$AF$65:$AI$65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'BN 200'!$AF$66:$AI$66</c:f>
              <c:numCache>
                <c:formatCode>0.0</c:formatCode>
                <c:ptCount val="4"/>
                <c:pt idx="0">
                  <c:v>16.070760869565216</c:v>
                </c:pt>
                <c:pt idx="1">
                  <c:v>18.119152173913044</c:v>
                </c:pt>
                <c:pt idx="2">
                  <c:v>14.734782608695653</c:v>
                </c:pt>
                <c:pt idx="3">
                  <c:v>33.485304347826087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327-BCDD-48D07359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4368"/>
        <c:axId val="476602208"/>
      </c:lineChart>
      <c:catAx>
        <c:axId val="47660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2208"/>
        <c:crosses val="autoZero"/>
        <c:auto val="1"/>
        <c:lblAlgn val="ctr"/>
        <c:lblOffset val="100"/>
        <c:noMultiLvlLbl val="0"/>
      </c:catAx>
      <c:valAx>
        <c:axId val="4766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3-400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H.M!$AF$47:$AI$47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H.M!$AF$48:$AI$48</c:f>
              <c:numCache>
                <c:formatCode>0.0</c:formatCode>
                <c:ptCount val="4"/>
                <c:pt idx="0">
                  <c:v>5.0243478260869567</c:v>
                </c:pt>
                <c:pt idx="1">
                  <c:v>9.2381304347826081</c:v>
                </c:pt>
                <c:pt idx="2">
                  <c:v>3.4861739130434786</c:v>
                </c:pt>
                <c:pt idx="3">
                  <c:v>7.5728913043478263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E-4104-A8BA-4C9D56988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7408"/>
        <c:axId val="476623448"/>
      </c:lineChart>
      <c:catAx>
        <c:axId val="47662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3448"/>
        <c:crosses val="autoZero"/>
        <c:auto val="1"/>
        <c:lblAlgn val="ctr"/>
        <c:lblOffset val="100"/>
        <c:noMultiLvlLbl val="0"/>
      </c:catAx>
      <c:valAx>
        <c:axId val="4766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7-800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H.M!$AF$71:$AI$71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H.M!$AF$72:$AI$72</c:f>
              <c:numCache>
                <c:formatCode>0.0</c:formatCode>
                <c:ptCount val="4"/>
                <c:pt idx="0">
                  <c:v>2.5901923076923077</c:v>
                </c:pt>
                <c:pt idx="1">
                  <c:v>2.0713461538461542</c:v>
                </c:pt>
                <c:pt idx="2">
                  <c:v>1.4048076923076922</c:v>
                </c:pt>
                <c:pt idx="3">
                  <c:v>2.6810384615384613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B-438A-84EF-846477A3B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767312"/>
        <c:axId val="471768392"/>
      </c:lineChart>
      <c:catAx>
        <c:axId val="4717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68392"/>
        <c:crosses val="autoZero"/>
        <c:auto val="1"/>
        <c:lblAlgn val="ctr"/>
        <c:lblOffset val="100"/>
        <c:noMultiLvlLbl val="0"/>
      </c:catAx>
      <c:valAx>
        <c:axId val="4717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6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Droite 250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H.M!$AF$4:$AI$4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H.M!$AF$5:$AI$5</c:f>
              <c:numCache>
                <c:formatCode>0.0</c:formatCode>
                <c:ptCount val="4"/>
                <c:pt idx="0">
                  <c:v>0</c:v>
                </c:pt>
                <c:pt idx="1">
                  <c:v>1.6304347826086956E-2</c:v>
                </c:pt>
                <c:pt idx="2">
                  <c:v>0</c:v>
                </c:pt>
                <c:pt idx="3">
                  <c:v>0.38858695652173914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B-4979-9E91-F98F9455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4608"/>
        <c:axId val="554760728"/>
      </c:lineChart>
      <c:catAx>
        <c:axId val="55475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728"/>
        <c:crosses val="autoZero"/>
        <c:auto val="1"/>
        <c:lblAlgn val="ctr"/>
        <c:lblOffset val="100"/>
        <c:noMultiLvlLbl val="0"/>
      </c:catAx>
      <c:valAx>
        <c:axId val="5547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Mini Rosette</a:t>
            </a:r>
            <a:r>
              <a:rPr lang="fr-FR" baseline="0"/>
              <a:t> 400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H.M!$AF$12:$AI$12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H.M!$AF$13:$AI$13</c:f>
              <c:numCache>
                <c:formatCode>0.0</c:formatCode>
                <c:ptCount val="4"/>
                <c:pt idx="0">
                  <c:v>0.13749999999999998</c:v>
                </c:pt>
                <c:pt idx="1">
                  <c:v>5.4166666666666669E-2</c:v>
                </c:pt>
                <c:pt idx="2">
                  <c:v>0.20833333333333334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4-4C33-AE86-BE71DDF57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25560"/>
        <c:axId val="406330208"/>
      </c:lineChart>
      <c:catAx>
        <c:axId val="541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30208"/>
        <c:crosses val="autoZero"/>
        <c:auto val="1"/>
        <c:lblAlgn val="ctr"/>
        <c:lblOffset val="100"/>
        <c:noMultiLvlLbl val="0"/>
      </c:catAx>
      <c:valAx>
        <c:axId val="4063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650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H.M!$AF$28:$AI$28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H.M!$AF$29:$AI$29</c:f>
              <c:numCache>
                <c:formatCode>0.0</c:formatCode>
                <c:ptCount val="4"/>
                <c:pt idx="0">
                  <c:v>0.33191489361702126</c:v>
                </c:pt>
                <c:pt idx="1">
                  <c:v>0</c:v>
                </c:pt>
                <c:pt idx="2">
                  <c:v>0</c:v>
                </c:pt>
                <c:pt idx="3">
                  <c:v>0.11063829787234043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7-471B-9715-BACA9473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69840"/>
        <c:axId val="570684648"/>
      </c:lineChart>
      <c:catAx>
        <c:axId val="48116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4648"/>
        <c:crosses val="autoZero"/>
        <c:auto val="1"/>
        <c:lblAlgn val="ctr"/>
        <c:lblOffset val="100"/>
        <c:noMultiLvlLbl val="0"/>
      </c:catAx>
      <c:valAx>
        <c:axId val="57068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Rosette Kg - Nb mêlées</a:t>
            </a:r>
            <a:r>
              <a:rPr lang="fr-FR" baseline="0"/>
              <a:t>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H.M!$AF$20:$AI$20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H.M!$AF$21:$AI$21</c:f>
              <c:numCache>
                <c:formatCode>0.0</c:formatCode>
                <c:ptCount val="4"/>
                <c:pt idx="0">
                  <c:v>8.5324675324675331E-2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0-483B-985B-F341D6EA7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5568"/>
        <c:axId val="284584128"/>
      </c:lineChart>
      <c:catAx>
        <c:axId val="284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4128"/>
        <c:crosses val="autoZero"/>
        <c:auto val="1"/>
        <c:lblAlgn val="ctr"/>
        <c:lblOffset val="100"/>
        <c:noMultiLvlLbl val="0"/>
      </c:catAx>
      <c:valAx>
        <c:axId val="28458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BEAUFORT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SPECIALITES!$AO$19:$AZ$20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BEAUFORT 200g en 2022</c:v>
                  </c:pt>
                </c:lvl>
              </c:multiLvlStrCache>
            </c:multiLvlStrRef>
          </c:cat>
          <c:val>
            <c:numRef>
              <c:f>SPECIALITES!$AO$21:$AZ$21</c:f>
              <c:numCache>
                <c:formatCode>0</c:formatCode>
                <c:ptCount val="12"/>
                <c:pt idx="0">
                  <c:v>566</c:v>
                </c:pt>
                <c:pt idx="1">
                  <c:v>949</c:v>
                </c:pt>
                <c:pt idx="2">
                  <c:v>676.8</c:v>
                </c:pt>
                <c:pt idx="3">
                  <c:v>509</c:v>
                </c:pt>
                <c:pt idx="4">
                  <c:v>469</c:v>
                </c:pt>
                <c:pt idx="5">
                  <c:v>607</c:v>
                </c:pt>
                <c:pt idx="6">
                  <c:v>509</c:v>
                </c:pt>
                <c:pt idx="7">
                  <c:v>608</c:v>
                </c:pt>
                <c:pt idx="8">
                  <c:v>291</c:v>
                </c:pt>
                <c:pt idx="9">
                  <c:v>330</c:v>
                </c:pt>
                <c:pt idx="10">
                  <c:v>559</c:v>
                </c:pt>
                <c:pt idx="11">
                  <c:v>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A-469A-AD3B-572C0554A9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10047"/>
        <c:axId val="576301727"/>
      </c:barChart>
      <c:catAx>
        <c:axId val="57631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1727"/>
        <c:crosses val="autoZero"/>
        <c:auto val="1"/>
        <c:lblAlgn val="ctr"/>
        <c:lblOffset val="100"/>
        <c:noMultiLvlLbl val="0"/>
      </c:catAx>
      <c:valAx>
        <c:axId val="57630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1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FROMAGE DE CHEVRE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SPECIALITES!$AO$28:$AZ$29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FROMAGE DE CHEVRE 200g en 2022</c:v>
                  </c:pt>
                </c:lvl>
              </c:multiLvlStrCache>
            </c:multiLvlStrRef>
          </c:cat>
          <c:val>
            <c:numRef>
              <c:f>SPECIALITES!$AO$30:$AZ$30</c:f>
              <c:numCache>
                <c:formatCode>0</c:formatCode>
                <c:ptCount val="12"/>
                <c:pt idx="0">
                  <c:v>277</c:v>
                </c:pt>
                <c:pt idx="1">
                  <c:v>363</c:v>
                </c:pt>
                <c:pt idx="2">
                  <c:v>320.2</c:v>
                </c:pt>
                <c:pt idx="3">
                  <c:v>268.8</c:v>
                </c:pt>
                <c:pt idx="4">
                  <c:v>339</c:v>
                </c:pt>
                <c:pt idx="5">
                  <c:v>350</c:v>
                </c:pt>
                <c:pt idx="6">
                  <c:v>315</c:v>
                </c:pt>
                <c:pt idx="7">
                  <c:v>404</c:v>
                </c:pt>
                <c:pt idx="8">
                  <c:v>184</c:v>
                </c:pt>
                <c:pt idx="9">
                  <c:v>225</c:v>
                </c:pt>
                <c:pt idx="10">
                  <c:v>337</c:v>
                </c:pt>
                <c:pt idx="11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0-4543-9D11-2B782A7083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2815"/>
        <c:axId val="578690735"/>
      </c:barChart>
      <c:catAx>
        <c:axId val="57869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0735"/>
        <c:crosses val="autoZero"/>
        <c:auto val="1"/>
        <c:lblAlgn val="ctr"/>
        <c:lblOffset val="100"/>
        <c:noMultiLvlLbl val="0"/>
      </c:catAx>
      <c:valAx>
        <c:axId val="5786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ROQUEFORT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SPECIALITES!$AO$38:$AZ$39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ROQUEFORT 200g en 2022</c:v>
                  </c:pt>
                </c:lvl>
              </c:multiLvlStrCache>
            </c:multiLvlStrRef>
          </c:cat>
          <c:val>
            <c:numRef>
              <c:f>SPECIALITES!$AO$40:$AZ$40</c:f>
              <c:numCache>
                <c:formatCode>0</c:formatCode>
                <c:ptCount val="12"/>
                <c:pt idx="0">
                  <c:v>178</c:v>
                </c:pt>
                <c:pt idx="1">
                  <c:v>359</c:v>
                </c:pt>
                <c:pt idx="2">
                  <c:v>298.60000000000002</c:v>
                </c:pt>
                <c:pt idx="3">
                  <c:v>266.60000000000002</c:v>
                </c:pt>
                <c:pt idx="4">
                  <c:v>276</c:v>
                </c:pt>
                <c:pt idx="5">
                  <c:v>351</c:v>
                </c:pt>
                <c:pt idx="6">
                  <c:v>322</c:v>
                </c:pt>
                <c:pt idx="7">
                  <c:v>285</c:v>
                </c:pt>
                <c:pt idx="8">
                  <c:v>120</c:v>
                </c:pt>
                <c:pt idx="9">
                  <c:v>213</c:v>
                </c:pt>
                <c:pt idx="10">
                  <c:v>347</c:v>
                </c:pt>
                <c:pt idx="1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9-4C80-B624-6302F9C2AC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7887"/>
        <c:axId val="380207471"/>
      </c:barChart>
      <c:catAx>
        <c:axId val="38020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7471"/>
        <c:crosses val="autoZero"/>
        <c:auto val="1"/>
        <c:lblAlgn val="ctr"/>
        <c:lblOffset val="100"/>
        <c:noMultiLvlLbl val="0"/>
      </c:catAx>
      <c:valAx>
        <c:axId val="3802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SAUCIFLETTE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SPECIALITES!$AO$53:$AZ$54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SAUCIFLETTE 200g en 2022</c:v>
                  </c:pt>
                </c:lvl>
              </c:multiLvlStrCache>
            </c:multiLvlStrRef>
          </c:cat>
          <c:val>
            <c:numRef>
              <c:f>SPECIALITES!$AO$55:$AZ$55</c:f>
              <c:numCache>
                <c:formatCode>0</c:formatCode>
                <c:ptCount val="12"/>
                <c:pt idx="0">
                  <c:v>114</c:v>
                </c:pt>
                <c:pt idx="1">
                  <c:v>185</c:v>
                </c:pt>
                <c:pt idx="2">
                  <c:v>143</c:v>
                </c:pt>
                <c:pt idx="3">
                  <c:v>91.4</c:v>
                </c:pt>
                <c:pt idx="4">
                  <c:v>39</c:v>
                </c:pt>
                <c:pt idx="5">
                  <c:v>87</c:v>
                </c:pt>
                <c:pt idx="6">
                  <c:v>80</c:v>
                </c:pt>
                <c:pt idx="7">
                  <c:v>111</c:v>
                </c:pt>
                <c:pt idx="8">
                  <c:v>51</c:v>
                </c:pt>
                <c:pt idx="9">
                  <c:v>64</c:v>
                </c:pt>
                <c:pt idx="10">
                  <c:v>101</c:v>
                </c:pt>
                <c:pt idx="11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4-4304-89E7-7FE0C8B52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1521647"/>
        <c:axId val="221513327"/>
      </c:barChart>
      <c:catAx>
        <c:axId val="22152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513327"/>
        <c:crosses val="autoZero"/>
        <c:auto val="1"/>
        <c:lblAlgn val="ctr"/>
        <c:lblOffset val="100"/>
        <c:noMultiLvlLbl val="0"/>
      </c:catAx>
      <c:valAx>
        <c:axId val="22151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52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NOISETTES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SPECIALITES!$AO$66:$AZ$67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NOISETTES 200g en 2022</c:v>
                  </c:pt>
                </c:lvl>
              </c:multiLvlStrCache>
            </c:multiLvlStrRef>
          </c:cat>
          <c:val>
            <c:numRef>
              <c:f>SPECIALITES!$AO$68:$AZ$68</c:f>
              <c:numCache>
                <c:formatCode>0</c:formatCode>
                <c:ptCount val="12"/>
                <c:pt idx="0">
                  <c:v>672</c:v>
                </c:pt>
                <c:pt idx="1">
                  <c:v>1004</c:v>
                </c:pt>
                <c:pt idx="2">
                  <c:v>928.8</c:v>
                </c:pt>
                <c:pt idx="3">
                  <c:v>717.54</c:v>
                </c:pt>
                <c:pt idx="4">
                  <c:v>735</c:v>
                </c:pt>
                <c:pt idx="5">
                  <c:v>827</c:v>
                </c:pt>
                <c:pt idx="6">
                  <c:v>781</c:v>
                </c:pt>
                <c:pt idx="7">
                  <c:v>882</c:v>
                </c:pt>
                <c:pt idx="8">
                  <c:v>498</c:v>
                </c:pt>
                <c:pt idx="9">
                  <c:v>538</c:v>
                </c:pt>
                <c:pt idx="10">
                  <c:v>703</c:v>
                </c:pt>
                <c:pt idx="11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F-4539-A24F-91E4AF14E4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4063"/>
        <c:axId val="578688239"/>
      </c:barChart>
      <c:catAx>
        <c:axId val="57869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239"/>
        <c:crosses val="autoZero"/>
        <c:auto val="1"/>
        <c:lblAlgn val="ctr"/>
        <c:lblOffset val="100"/>
        <c:noMultiLvlLbl val="0"/>
      </c:catAx>
      <c:valAx>
        <c:axId val="57868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NOIX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SPECIALITES!$AO$82:$AZ$83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NOIX 200g en 2022</c:v>
                  </c:pt>
                </c:lvl>
              </c:multiLvlStrCache>
            </c:multiLvlStrRef>
          </c:cat>
          <c:val>
            <c:numRef>
              <c:f>SPECIALITES!$AO$84:$AZ$84</c:f>
              <c:numCache>
                <c:formatCode>0</c:formatCode>
                <c:ptCount val="12"/>
                <c:pt idx="0">
                  <c:v>267</c:v>
                </c:pt>
                <c:pt idx="1">
                  <c:v>469</c:v>
                </c:pt>
                <c:pt idx="2">
                  <c:v>371.7</c:v>
                </c:pt>
                <c:pt idx="3">
                  <c:v>371.8</c:v>
                </c:pt>
                <c:pt idx="4">
                  <c:v>309</c:v>
                </c:pt>
                <c:pt idx="5">
                  <c:v>414</c:v>
                </c:pt>
                <c:pt idx="6">
                  <c:v>320</c:v>
                </c:pt>
                <c:pt idx="7">
                  <c:v>414</c:v>
                </c:pt>
                <c:pt idx="8">
                  <c:v>202</c:v>
                </c:pt>
                <c:pt idx="9">
                  <c:v>261</c:v>
                </c:pt>
                <c:pt idx="10">
                  <c:v>346</c:v>
                </c:pt>
                <c:pt idx="11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3-45AF-978B-03F1BE98CB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82527"/>
        <c:axId val="384682943"/>
      </c:barChart>
      <c:catAx>
        <c:axId val="38468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2943"/>
        <c:crosses val="autoZero"/>
        <c:auto val="1"/>
        <c:lblAlgn val="ctr"/>
        <c:lblOffset val="100"/>
        <c:noMultiLvlLbl val="0"/>
      </c:catAx>
      <c:valAx>
        <c:axId val="38468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CEPES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SPECIALITES!$AO$92:$AZ$93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CEPES 200g en 2022</c:v>
                  </c:pt>
                </c:lvl>
              </c:multiLvlStrCache>
            </c:multiLvlStrRef>
          </c:cat>
          <c:val>
            <c:numRef>
              <c:f>SPECIALITES!$AO$94:$AZ$94</c:f>
              <c:numCache>
                <c:formatCode>0</c:formatCode>
                <c:ptCount val="12"/>
                <c:pt idx="0">
                  <c:v>604</c:v>
                </c:pt>
                <c:pt idx="1">
                  <c:v>809</c:v>
                </c:pt>
                <c:pt idx="2">
                  <c:v>645.6</c:v>
                </c:pt>
                <c:pt idx="3">
                  <c:v>577</c:v>
                </c:pt>
                <c:pt idx="4">
                  <c:v>590</c:v>
                </c:pt>
                <c:pt idx="5">
                  <c:v>651</c:v>
                </c:pt>
                <c:pt idx="6">
                  <c:v>611</c:v>
                </c:pt>
                <c:pt idx="7">
                  <c:v>764</c:v>
                </c:pt>
                <c:pt idx="8">
                  <c:v>497</c:v>
                </c:pt>
                <c:pt idx="9">
                  <c:v>448</c:v>
                </c:pt>
                <c:pt idx="10">
                  <c:v>642</c:v>
                </c:pt>
                <c:pt idx="11">
                  <c:v>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5-449B-AA39-3A501259AE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8303"/>
        <c:axId val="380204975"/>
      </c:barChart>
      <c:catAx>
        <c:axId val="380208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4975"/>
        <c:crosses val="autoZero"/>
        <c:auto val="1"/>
        <c:lblAlgn val="ctr"/>
        <c:lblOffset val="100"/>
        <c:noMultiLvlLbl val="0"/>
      </c:catAx>
      <c:valAx>
        <c:axId val="38020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8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GENEPI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SPECIALITES!$AO$107:$AZ$108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GENEPI 200g en 2022</c:v>
                  </c:pt>
                </c:lvl>
              </c:multiLvlStrCache>
            </c:multiLvlStrRef>
          </c:cat>
          <c:val>
            <c:numRef>
              <c:f>SPECIALITES!$AO$109:$AZ$109</c:f>
              <c:numCache>
                <c:formatCode>0</c:formatCode>
                <c:ptCount val="12"/>
                <c:pt idx="0">
                  <c:v>108</c:v>
                </c:pt>
                <c:pt idx="1">
                  <c:v>181</c:v>
                </c:pt>
                <c:pt idx="2">
                  <c:v>88.6</c:v>
                </c:pt>
                <c:pt idx="3">
                  <c:v>44</c:v>
                </c:pt>
                <c:pt idx="4">
                  <c:v>60</c:v>
                </c:pt>
                <c:pt idx="5">
                  <c:v>119</c:v>
                </c:pt>
                <c:pt idx="6">
                  <c:v>141</c:v>
                </c:pt>
                <c:pt idx="7">
                  <c:v>77</c:v>
                </c:pt>
                <c:pt idx="8">
                  <c:v>33</c:v>
                </c:pt>
                <c:pt idx="9">
                  <c:v>17</c:v>
                </c:pt>
                <c:pt idx="10">
                  <c:v>53</c:v>
                </c:pt>
                <c:pt idx="1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5-42E1-9BAE-47D83E73E1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0919471"/>
        <c:axId val="230921967"/>
      </c:barChart>
      <c:catAx>
        <c:axId val="23091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21967"/>
        <c:crosses val="autoZero"/>
        <c:auto val="1"/>
        <c:lblAlgn val="ctr"/>
        <c:lblOffset val="100"/>
        <c:noMultiLvlLbl val="0"/>
      </c:catAx>
      <c:valAx>
        <c:axId val="23092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1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MYRTILLES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SPECIALITES!$AO$117:$AZ$118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MYRTILLES 200g en 2022</c:v>
                  </c:pt>
                </c:lvl>
              </c:multiLvlStrCache>
            </c:multiLvlStrRef>
          </c:cat>
          <c:val>
            <c:numRef>
              <c:f>SPECIALITES!$AO$119:$AZ$119</c:f>
              <c:numCache>
                <c:formatCode>0</c:formatCode>
                <c:ptCount val="12"/>
                <c:pt idx="0">
                  <c:v>96</c:v>
                </c:pt>
                <c:pt idx="1">
                  <c:v>211</c:v>
                </c:pt>
                <c:pt idx="2">
                  <c:v>118</c:v>
                </c:pt>
                <c:pt idx="3">
                  <c:v>68.400000000000006</c:v>
                </c:pt>
                <c:pt idx="4">
                  <c:v>74</c:v>
                </c:pt>
                <c:pt idx="5">
                  <c:v>67</c:v>
                </c:pt>
                <c:pt idx="6">
                  <c:v>123</c:v>
                </c:pt>
                <c:pt idx="7">
                  <c:v>154</c:v>
                </c:pt>
                <c:pt idx="8">
                  <c:v>26</c:v>
                </c:pt>
                <c:pt idx="9">
                  <c:v>44</c:v>
                </c:pt>
                <c:pt idx="10">
                  <c:v>73</c:v>
                </c:pt>
                <c:pt idx="11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D44-855B-B7738934E2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88655"/>
        <c:axId val="578696975"/>
      </c:barChart>
      <c:catAx>
        <c:axId val="57868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6975"/>
        <c:crosses val="autoZero"/>
        <c:auto val="1"/>
        <c:lblAlgn val="ctr"/>
        <c:lblOffset val="100"/>
        <c:noMultiLvlLbl val="0"/>
      </c:catAx>
      <c:valAx>
        <c:axId val="57869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OLIVES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SPECIALITES!$AO$126:$AZ$127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OLIVES 200g en 2022</c:v>
                  </c:pt>
                </c:lvl>
              </c:multiLvlStrCache>
            </c:multiLvlStrRef>
          </c:cat>
          <c:val>
            <c:numRef>
              <c:f>SPECIALITES!$AO$128:$AZ$128</c:f>
              <c:numCache>
                <c:formatCode>0</c:formatCode>
                <c:ptCount val="12"/>
                <c:pt idx="0">
                  <c:v>83</c:v>
                </c:pt>
                <c:pt idx="1">
                  <c:v>209</c:v>
                </c:pt>
                <c:pt idx="2">
                  <c:v>136.80000000000001</c:v>
                </c:pt>
                <c:pt idx="3">
                  <c:v>162.19999999999999</c:v>
                </c:pt>
                <c:pt idx="4">
                  <c:v>156</c:v>
                </c:pt>
                <c:pt idx="5">
                  <c:v>182</c:v>
                </c:pt>
                <c:pt idx="6">
                  <c:v>200</c:v>
                </c:pt>
                <c:pt idx="7">
                  <c:v>192</c:v>
                </c:pt>
                <c:pt idx="8">
                  <c:v>58</c:v>
                </c:pt>
                <c:pt idx="9">
                  <c:v>61</c:v>
                </c:pt>
                <c:pt idx="10">
                  <c:v>124</c:v>
                </c:pt>
                <c:pt idx="11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B-4DFC-8923-A3454CD52B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8639"/>
        <c:axId val="578689071"/>
      </c:barChart>
      <c:catAx>
        <c:axId val="57869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9071"/>
        <c:crosses val="autoZero"/>
        <c:auto val="1"/>
        <c:lblAlgn val="ctr"/>
        <c:lblOffset val="100"/>
        <c:noMultiLvlLbl val="0"/>
      </c:catAx>
      <c:valAx>
        <c:axId val="57868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HERBES INTERIEURES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SPECIALITES!$AO$134:$AZ$135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HERBES INTERIEURES 200g en 2022</c:v>
                  </c:pt>
                </c:lvl>
              </c:multiLvlStrCache>
            </c:multiLvlStrRef>
          </c:cat>
          <c:val>
            <c:numRef>
              <c:f>SPECIALITES!$AO$136:$AZ$136</c:f>
              <c:numCache>
                <c:formatCode>0</c:formatCode>
                <c:ptCount val="12"/>
                <c:pt idx="0">
                  <c:v>58</c:v>
                </c:pt>
                <c:pt idx="1">
                  <c:v>122</c:v>
                </c:pt>
                <c:pt idx="2">
                  <c:v>80</c:v>
                </c:pt>
                <c:pt idx="3">
                  <c:v>73.599999999999994</c:v>
                </c:pt>
                <c:pt idx="4">
                  <c:v>79</c:v>
                </c:pt>
                <c:pt idx="5">
                  <c:v>53</c:v>
                </c:pt>
                <c:pt idx="6">
                  <c:v>87</c:v>
                </c:pt>
                <c:pt idx="7">
                  <c:v>86</c:v>
                </c:pt>
                <c:pt idx="8">
                  <c:v>47</c:v>
                </c:pt>
                <c:pt idx="9">
                  <c:v>30</c:v>
                </c:pt>
                <c:pt idx="10">
                  <c:v>76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2-48E2-9B3A-FB32F067A0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3089295"/>
        <c:axId val="393089711"/>
      </c:barChart>
      <c:catAx>
        <c:axId val="39308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9711"/>
        <c:crosses val="autoZero"/>
        <c:auto val="1"/>
        <c:lblAlgn val="ctr"/>
        <c:lblOffset val="100"/>
        <c:noMultiLvlLbl val="0"/>
      </c:catAx>
      <c:valAx>
        <c:axId val="39308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FIGUES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60628909053229"/>
          <c:y val="0.3494519449508835"/>
          <c:w val="0.85921729617678011"/>
          <c:h val="0.290399927839832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SPECIALITES!$AO$143:$AZ$144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FIGUES 200g en 2022</c:v>
                  </c:pt>
                </c:lvl>
              </c:multiLvlStrCache>
            </c:multiLvlStrRef>
          </c:cat>
          <c:val>
            <c:numRef>
              <c:f>SPECIALITES!$AO$145:$AZ$145</c:f>
              <c:numCache>
                <c:formatCode>0</c:formatCode>
                <c:ptCount val="12"/>
                <c:pt idx="0">
                  <c:v>141</c:v>
                </c:pt>
                <c:pt idx="1">
                  <c:v>249</c:v>
                </c:pt>
                <c:pt idx="2">
                  <c:v>146</c:v>
                </c:pt>
                <c:pt idx="3">
                  <c:v>170.6</c:v>
                </c:pt>
                <c:pt idx="4">
                  <c:v>173</c:v>
                </c:pt>
                <c:pt idx="5">
                  <c:v>188</c:v>
                </c:pt>
                <c:pt idx="6">
                  <c:v>163</c:v>
                </c:pt>
                <c:pt idx="7">
                  <c:v>210</c:v>
                </c:pt>
                <c:pt idx="8">
                  <c:v>104</c:v>
                </c:pt>
                <c:pt idx="9">
                  <c:v>107</c:v>
                </c:pt>
                <c:pt idx="10">
                  <c:v>115</c:v>
                </c:pt>
                <c:pt idx="11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8-4A40-922E-A97AF6BC4F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02975"/>
        <c:axId val="576305887"/>
      </c:barChart>
      <c:catAx>
        <c:axId val="57630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5887"/>
        <c:crosses val="autoZero"/>
        <c:auto val="1"/>
        <c:lblAlgn val="ctr"/>
        <c:lblOffset val="100"/>
        <c:noMultiLvlLbl val="0"/>
      </c:catAx>
      <c:valAx>
        <c:axId val="5763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PIMENTÉ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SPECIALITES!$AO$160:$AZ$161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PIMENTÉ 200g en 2022</c:v>
                  </c:pt>
                </c:lvl>
              </c:multiLvlStrCache>
            </c:multiLvlStrRef>
          </c:cat>
          <c:val>
            <c:numRef>
              <c:f>SPECIALITES!$AO$162:$AZ$162</c:f>
              <c:numCache>
                <c:formatCode>0</c:formatCode>
                <c:ptCount val="12"/>
                <c:pt idx="0">
                  <c:v>153</c:v>
                </c:pt>
                <c:pt idx="1">
                  <c:v>242</c:v>
                </c:pt>
                <c:pt idx="2">
                  <c:v>163.6</c:v>
                </c:pt>
                <c:pt idx="3">
                  <c:v>192.6</c:v>
                </c:pt>
                <c:pt idx="4">
                  <c:v>157</c:v>
                </c:pt>
                <c:pt idx="5">
                  <c:v>178</c:v>
                </c:pt>
                <c:pt idx="6">
                  <c:v>179</c:v>
                </c:pt>
                <c:pt idx="7">
                  <c:v>228</c:v>
                </c:pt>
                <c:pt idx="8">
                  <c:v>76</c:v>
                </c:pt>
                <c:pt idx="9">
                  <c:v>58</c:v>
                </c:pt>
                <c:pt idx="10">
                  <c:v>99</c:v>
                </c:pt>
                <c:pt idx="1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F-447A-AB53-5F56CB958C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95007"/>
        <c:axId val="384686687"/>
      </c:barChart>
      <c:catAx>
        <c:axId val="38469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6687"/>
        <c:crosses val="autoZero"/>
        <c:auto val="1"/>
        <c:lblAlgn val="ctr"/>
        <c:lblOffset val="100"/>
        <c:noMultiLvlLbl val="0"/>
      </c:catAx>
      <c:valAx>
        <c:axId val="38468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9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SANGLIER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SPECIALITES!$AO$197:$AZ$198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SANGLIER 200g en 2022</c:v>
                  </c:pt>
                </c:lvl>
              </c:multiLvlStrCache>
            </c:multiLvlStrRef>
          </c:cat>
          <c:val>
            <c:numRef>
              <c:f>SPECIALITES!$AO$199:$AZ$199</c:f>
              <c:numCache>
                <c:formatCode>0</c:formatCode>
                <c:ptCount val="12"/>
                <c:pt idx="0">
                  <c:v>316</c:v>
                </c:pt>
                <c:pt idx="1">
                  <c:v>555</c:v>
                </c:pt>
                <c:pt idx="2">
                  <c:v>469.8</c:v>
                </c:pt>
                <c:pt idx="3">
                  <c:v>441.8</c:v>
                </c:pt>
                <c:pt idx="4">
                  <c:v>449</c:v>
                </c:pt>
                <c:pt idx="5">
                  <c:v>448</c:v>
                </c:pt>
                <c:pt idx="6">
                  <c:v>462</c:v>
                </c:pt>
                <c:pt idx="7">
                  <c:v>490</c:v>
                </c:pt>
                <c:pt idx="8">
                  <c:v>267</c:v>
                </c:pt>
                <c:pt idx="9">
                  <c:v>236</c:v>
                </c:pt>
                <c:pt idx="10">
                  <c:v>433</c:v>
                </c:pt>
                <c:pt idx="11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E-4598-96E8-611B876867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3824927"/>
        <c:axId val="583822847"/>
      </c:barChart>
      <c:catAx>
        <c:axId val="583824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822847"/>
        <c:crosses val="autoZero"/>
        <c:auto val="1"/>
        <c:lblAlgn val="ctr"/>
        <c:lblOffset val="100"/>
        <c:noMultiLvlLbl val="0"/>
      </c:catAx>
      <c:valAx>
        <c:axId val="58382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82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TAUREAU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SPECIALITES!$AO$209:$AZ$210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TAUREAU 200g en 2022</c:v>
                  </c:pt>
                </c:lvl>
              </c:multiLvlStrCache>
            </c:multiLvlStrRef>
          </c:cat>
          <c:val>
            <c:numRef>
              <c:f>SPECIALITES!$AO$211:$AZ$211</c:f>
              <c:numCache>
                <c:formatCode>0</c:formatCode>
                <c:ptCount val="12"/>
                <c:pt idx="0">
                  <c:v>174</c:v>
                </c:pt>
                <c:pt idx="1">
                  <c:v>272</c:v>
                </c:pt>
                <c:pt idx="2">
                  <c:v>43.2</c:v>
                </c:pt>
                <c:pt idx="3">
                  <c:v>29.6</c:v>
                </c:pt>
                <c:pt idx="4">
                  <c:v>26</c:v>
                </c:pt>
                <c:pt idx="5">
                  <c:v>70</c:v>
                </c:pt>
                <c:pt idx="6">
                  <c:v>10</c:v>
                </c:pt>
                <c:pt idx="7">
                  <c:v>3</c:v>
                </c:pt>
                <c:pt idx="8">
                  <c:v>8</c:v>
                </c:pt>
                <c:pt idx="9">
                  <c:v>48</c:v>
                </c:pt>
                <c:pt idx="10">
                  <c:v>72</c:v>
                </c:pt>
                <c:pt idx="1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6-429A-843C-53B51B822C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9597935"/>
        <c:axId val="2049605007"/>
      </c:barChart>
      <c:catAx>
        <c:axId val="204959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605007"/>
        <c:crosses val="autoZero"/>
        <c:auto val="1"/>
        <c:lblAlgn val="ctr"/>
        <c:lblOffset val="100"/>
        <c:noMultiLvlLbl val="0"/>
      </c:catAx>
      <c:valAx>
        <c:axId val="204960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59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CERF</a:t>
            </a:r>
            <a:r>
              <a:rPr lang="fr-FR" baseline="0"/>
              <a:t> 2022</a:t>
            </a:r>
            <a:r>
              <a:rPr lang="fr-F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SPECIALITES!$AO$232:$AZ$233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CERF 200g en 2022</c:v>
                  </c:pt>
                </c:lvl>
              </c:multiLvlStrCache>
            </c:multiLvlStrRef>
          </c:cat>
          <c:val>
            <c:numRef>
              <c:f>SPECIALITES!$AO$234:$AZ$234</c:f>
              <c:numCache>
                <c:formatCode>0</c:formatCode>
                <c:ptCount val="12"/>
                <c:pt idx="0">
                  <c:v>149</c:v>
                </c:pt>
                <c:pt idx="1">
                  <c:v>287</c:v>
                </c:pt>
                <c:pt idx="2">
                  <c:v>155.6</c:v>
                </c:pt>
                <c:pt idx="3">
                  <c:v>135.80000000000001</c:v>
                </c:pt>
                <c:pt idx="4">
                  <c:v>122</c:v>
                </c:pt>
                <c:pt idx="5">
                  <c:v>177</c:v>
                </c:pt>
                <c:pt idx="6">
                  <c:v>123</c:v>
                </c:pt>
                <c:pt idx="7">
                  <c:v>203</c:v>
                </c:pt>
                <c:pt idx="8">
                  <c:v>60</c:v>
                </c:pt>
                <c:pt idx="9">
                  <c:v>106</c:v>
                </c:pt>
                <c:pt idx="10">
                  <c:v>189</c:v>
                </c:pt>
                <c:pt idx="11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8-4740-95C2-A233518191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10799"/>
        <c:axId val="380203727"/>
      </c:barChart>
      <c:catAx>
        <c:axId val="38021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3727"/>
        <c:crosses val="autoZero"/>
        <c:auto val="1"/>
        <c:lblAlgn val="ctr"/>
        <c:lblOffset val="100"/>
        <c:noMultiLvlLbl val="0"/>
      </c:catAx>
      <c:valAx>
        <c:axId val="38020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1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</a:t>
            </a:r>
            <a:r>
              <a:rPr lang="fr-FR" baseline="0"/>
              <a:t> DES OURS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SPECIALITES!$AF$264:$AI$264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SPECIALITES!$AF$265:$AI$265</c:f>
              <c:numCache>
                <c:formatCode>0.0</c:formatCode>
                <c:ptCount val="4"/>
                <c:pt idx="0">
                  <c:v>0.56170212765957439</c:v>
                </c:pt>
                <c:pt idx="1">
                  <c:v>0.15319148936170213</c:v>
                </c:pt>
                <c:pt idx="2">
                  <c:v>0.40851063829787232</c:v>
                </c:pt>
                <c:pt idx="3">
                  <c:v>0.74468085106382975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4-43E3-B846-A60D55BD7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73664"/>
        <c:axId val="482575824"/>
      </c:lineChart>
      <c:catAx>
        <c:axId val="48257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75824"/>
        <c:crosses val="autoZero"/>
        <c:auto val="1"/>
        <c:lblAlgn val="ctr"/>
        <c:lblOffset val="100"/>
        <c:noMultiLvlLbl val="0"/>
      </c:catAx>
      <c:valAx>
        <c:axId val="48257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SPECIALITES!$AF$175:$AI$175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SPECIALITES!$AF$176:$AI$176</c:f>
              <c:numCache>
                <c:formatCode>0.0</c:formatCode>
                <c:ptCount val="4"/>
                <c:pt idx="0">
                  <c:v>4.0000000000000001E-3</c:v>
                </c:pt>
                <c:pt idx="1">
                  <c:v>0.11599999999999999</c:v>
                </c:pt>
                <c:pt idx="2">
                  <c:v>0.124</c:v>
                </c:pt>
                <c:pt idx="3">
                  <c:v>0.51200000000000001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7-4C57-A2A7-53AF5AA4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5240"/>
        <c:axId val="471917400"/>
      </c:lineChart>
      <c:catAx>
        <c:axId val="47191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7400"/>
        <c:crosses val="autoZero"/>
        <c:auto val="1"/>
        <c:lblAlgn val="ctr"/>
        <c:lblOffset val="100"/>
        <c:noMultiLvlLbl val="0"/>
      </c:catAx>
      <c:valAx>
        <c:axId val="47191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BEAUFORT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SPECIALITES!$AF$14:$AI$14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SPECIALITES!$AF$15:$AI$15</c:f>
              <c:numCache>
                <c:formatCode>0.0</c:formatCode>
                <c:ptCount val="4"/>
                <c:pt idx="0">
                  <c:v>0.78556701030927834</c:v>
                </c:pt>
                <c:pt idx="1">
                  <c:v>1.2329896907216493</c:v>
                </c:pt>
                <c:pt idx="2">
                  <c:v>1.4536082474226804</c:v>
                </c:pt>
                <c:pt idx="3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5-4454-BC0E-6FA655322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7832"/>
        <c:axId val="283614952"/>
      </c:lineChart>
      <c:catAx>
        <c:axId val="28361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4952"/>
        <c:crosses val="autoZero"/>
        <c:auto val="1"/>
        <c:lblAlgn val="ctr"/>
        <c:lblOffset val="100"/>
        <c:noMultiLvlLbl val="0"/>
      </c:catAx>
      <c:valAx>
        <c:axId val="2836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CEPES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SPECIALITES!$AF$91:$AI$91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SPECIALITES!$AF$92:$AI$92</c:f>
              <c:numCache>
                <c:formatCode>0.0</c:formatCode>
                <c:ptCount val="4"/>
                <c:pt idx="0">
                  <c:v>1.9538541666666667</c:v>
                </c:pt>
                <c:pt idx="1">
                  <c:v>1.0104166666666667</c:v>
                </c:pt>
                <c:pt idx="2">
                  <c:v>1.14375</c:v>
                </c:pt>
                <c:pt idx="3">
                  <c:v>1.6979166666666667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F-40AF-AC93-12A1A0E9A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19016"/>
        <c:axId val="477320456"/>
      </c:lineChart>
      <c:catAx>
        <c:axId val="47731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20456"/>
        <c:crosses val="autoZero"/>
        <c:auto val="1"/>
        <c:lblAlgn val="ctr"/>
        <c:lblOffset val="100"/>
        <c:noMultiLvlLbl val="0"/>
      </c:catAx>
      <c:valAx>
        <c:axId val="47732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CERF -</a:t>
            </a:r>
            <a:r>
              <a:rPr lang="fr-FR" baseline="0"/>
              <a:t> Nb de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SPECIALITES!$AF$231:$AI$231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SPECIALITES!$AF$232:$AI$232</c:f>
              <c:numCache>
                <c:formatCode>0.0</c:formatCode>
                <c:ptCount val="4"/>
                <c:pt idx="0">
                  <c:v>9.4623655913978505E-2</c:v>
                </c:pt>
                <c:pt idx="1">
                  <c:v>0.24516129032258066</c:v>
                </c:pt>
                <c:pt idx="2">
                  <c:v>0.32903225806451608</c:v>
                </c:pt>
                <c:pt idx="3">
                  <c:v>0.43440860215053761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3-47E8-9617-61B714060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9128"/>
        <c:axId val="476619848"/>
      </c:lineChart>
      <c:catAx>
        <c:axId val="476619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848"/>
        <c:crosses val="autoZero"/>
        <c:auto val="1"/>
        <c:lblAlgn val="ctr"/>
        <c:lblOffset val="100"/>
        <c:noMultiLvlLbl val="0"/>
      </c:catAx>
      <c:valAx>
        <c:axId val="47661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FROMAGE</a:t>
            </a:r>
            <a:r>
              <a:rPr lang="fr-FR" baseline="0"/>
              <a:t> DE CHEVRE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SPECIALITES!$AF$27:$AI$27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SPECIALITES!$AF$28:$AI$28</c:f>
              <c:numCache>
                <c:formatCode>0.0</c:formatCode>
                <c:ptCount val="4"/>
                <c:pt idx="0">
                  <c:v>0.54618556701030929</c:v>
                </c:pt>
                <c:pt idx="1">
                  <c:v>0.23092783505154638</c:v>
                </c:pt>
                <c:pt idx="2">
                  <c:v>0.45360824742268041</c:v>
                </c:pt>
                <c:pt idx="3">
                  <c:v>0.69072164948453607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1-4DA3-90AB-47486B9EE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04584"/>
        <c:axId val="571304944"/>
      </c:lineChart>
      <c:catAx>
        <c:axId val="571304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1304944"/>
        <c:crosses val="autoZero"/>
        <c:auto val="1"/>
        <c:lblAlgn val="ctr"/>
        <c:lblOffset val="100"/>
        <c:noMultiLvlLbl val="0"/>
      </c:catAx>
      <c:valAx>
        <c:axId val="5713049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57130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FENOUIL - Nb mêlées</a:t>
            </a:r>
            <a:r>
              <a:rPr lang="fr-FR" baseline="0"/>
              <a:t>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SPECIALITES!$AF$150:$AI$150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SPECIALITES!$AF$151:$AI$151</c:f>
              <c:numCache>
                <c:formatCode>0.0</c:formatCode>
                <c:ptCount val="4"/>
                <c:pt idx="0">
                  <c:v>4.2105263157894736E-2</c:v>
                </c:pt>
                <c:pt idx="1">
                  <c:v>2.1052631578947368E-3</c:v>
                </c:pt>
                <c:pt idx="2">
                  <c:v>2.1052631578947368E-2</c:v>
                </c:pt>
                <c:pt idx="3">
                  <c:v>8.2105263157894737E-2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D-4E1B-BA0D-6FC4B28AA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0632"/>
        <c:axId val="283610992"/>
      </c:lineChart>
      <c:catAx>
        <c:axId val="28361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0992"/>
        <c:crosses val="autoZero"/>
        <c:auto val="1"/>
        <c:lblAlgn val="ctr"/>
        <c:lblOffset val="100"/>
        <c:noMultiLvlLbl val="0"/>
      </c:catAx>
      <c:valAx>
        <c:axId val="2836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FIGUES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SPECIALITES!$AF$142:$AI$142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SPECIALITES!$AF$143:$AI$143</c:f>
              <c:numCache>
                <c:formatCode>0.0</c:formatCode>
                <c:ptCount val="4"/>
                <c:pt idx="0">
                  <c:v>0.48367346938775507</c:v>
                </c:pt>
                <c:pt idx="1">
                  <c:v>0.28979591836734692</c:v>
                </c:pt>
                <c:pt idx="2">
                  <c:v>0.48163265306122449</c:v>
                </c:pt>
                <c:pt idx="3">
                  <c:v>0.65102040816326534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4-4584-BFB9-80C202DB4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950312"/>
        <c:axId val="552949592"/>
      </c:lineChart>
      <c:catAx>
        <c:axId val="5529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49592"/>
        <c:crosses val="autoZero"/>
        <c:auto val="1"/>
        <c:lblAlgn val="ctr"/>
        <c:lblOffset val="100"/>
        <c:noMultiLvlLbl val="0"/>
      </c:catAx>
      <c:valAx>
        <c:axId val="55294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GENEPI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SPECIALITES!$AF$106:$AI$106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SPECIALITES!$AF$107:$AI$107</c:f>
              <c:numCache>
                <c:formatCode>0.0</c:formatCode>
                <c:ptCount val="4"/>
                <c:pt idx="0">
                  <c:v>0.39157894736842108</c:v>
                </c:pt>
                <c:pt idx="1">
                  <c:v>0.30736842105263157</c:v>
                </c:pt>
                <c:pt idx="2">
                  <c:v>0.35368421052631582</c:v>
                </c:pt>
                <c:pt idx="3">
                  <c:v>0.27999999999999997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A-4B0F-BF6A-7FF2CB286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22152"/>
        <c:axId val="283622512"/>
      </c:lineChart>
      <c:catAx>
        <c:axId val="283622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512"/>
        <c:crosses val="autoZero"/>
        <c:auto val="1"/>
        <c:lblAlgn val="ctr"/>
        <c:lblOffset val="100"/>
        <c:noMultiLvlLbl val="0"/>
      </c:catAx>
      <c:valAx>
        <c:axId val="2836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HERBES INTERIEURES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SPECIALITES!$AF$133:$AI$133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SPECIALITES!$AF$134:$AI$134</c:f>
              <c:numCache>
                <c:formatCode>0.0</c:formatCode>
                <c:ptCount val="4"/>
                <c:pt idx="0">
                  <c:v>0.12043010752688171</c:v>
                </c:pt>
                <c:pt idx="1">
                  <c:v>2.1505376344086023E-2</c:v>
                </c:pt>
                <c:pt idx="2">
                  <c:v>0.12903225806451613</c:v>
                </c:pt>
                <c:pt idx="3">
                  <c:v>0.13333333333333333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2-4CF8-83C1-4A580397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6288"/>
        <c:axId val="284587368"/>
      </c:lineChart>
      <c:catAx>
        <c:axId val="28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7368"/>
        <c:crosses val="autoZero"/>
        <c:auto val="1"/>
        <c:lblAlgn val="ctr"/>
        <c:lblOffset val="100"/>
        <c:noMultiLvlLbl val="0"/>
      </c:catAx>
      <c:valAx>
        <c:axId val="28458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MYRTILLES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SPECIALITES!$AF$116:$AI$116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SPECIALITES!$AF$117:$AI$117</c:f>
              <c:numCache>
                <c:formatCode>0.0</c:formatCode>
                <c:ptCount val="4"/>
                <c:pt idx="0">
                  <c:v>0.18297872340425531</c:v>
                </c:pt>
                <c:pt idx="1">
                  <c:v>0.22127659574468087</c:v>
                </c:pt>
                <c:pt idx="2">
                  <c:v>0.46808510638297873</c:v>
                </c:pt>
                <c:pt idx="3">
                  <c:v>0.35744680851063831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0-402A-B702-5687747BA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09600"/>
        <c:axId val="484309960"/>
      </c:lineChart>
      <c:catAx>
        <c:axId val="4843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09960"/>
        <c:crosses val="autoZero"/>
        <c:auto val="1"/>
        <c:lblAlgn val="ctr"/>
        <c:lblOffset val="100"/>
        <c:noMultiLvlLbl val="0"/>
      </c:catAx>
      <c:valAx>
        <c:axId val="48430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NOISETES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SPECIALITES!$AF$66:$AI$66</c:f>
              <c:numCache>
                <c:formatCode>0.0</c:formatCode>
                <c:ptCount val="4"/>
                <c:pt idx="0">
                  <c:v>1.3529411764705883</c:v>
                </c:pt>
                <c:pt idx="1">
                  <c:v>1.2686274509803923</c:v>
                </c:pt>
                <c:pt idx="2">
                  <c:v>1.6019607843137256</c:v>
                </c:pt>
                <c:pt idx="3">
                  <c:v>1.7745098039215685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9-4D2B-B876-642C28AA2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16592"/>
        <c:axId val="595216952"/>
      </c:lineChart>
      <c:catAx>
        <c:axId val="59521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16952"/>
        <c:crosses val="autoZero"/>
        <c:auto val="1"/>
        <c:lblAlgn val="ctr"/>
        <c:lblOffset val="100"/>
        <c:noMultiLvlLbl val="0"/>
      </c:catAx>
      <c:valAx>
        <c:axId val="5952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1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NOIX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SPECIALITES!$AF$81:$AI$81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SPECIALITES!$AF$82:$AI$82</c:f>
              <c:numCache>
                <c:formatCode>0.0</c:formatCode>
                <c:ptCount val="4"/>
                <c:pt idx="0">
                  <c:v>0.52600000000000002</c:v>
                </c:pt>
                <c:pt idx="1">
                  <c:v>0.59599999999999997</c:v>
                </c:pt>
                <c:pt idx="2">
                  <c:v>0.76800000000000002</c:v>
                </c:pt>
                <c:pt idx="3">
                  <c:v>0.72400000000000009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5-46B7-994D-CD56E8FAD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44536"/>
        <c:axId val="402218464"/>
      </c:lineChart>
      <c:catAx>
        <c:axId val="4800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18464"/>
        <c:crosses val="autoZero"/>
        <c:auto val="1"/>
        <c:lblAlgn val="ctr"/>
        <c:lblOffset val="100"/>
        <c:noMultiLvlLbl val="0"/>
      </c:catAx>
      <c:valAx>
        <c:axId val="4022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OLIVES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SPECIALITES!$AF$125:$AI$125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SPECIALITES!$AF$126:$AI$126</c:f>
              <c:numCache>
                <c:formatCode>0.0</c:formatCode>
                <c:ptCount val="4"/>
                <c:pt idx="0">
                  <c:v>0.1980392156862745</c:v>
                </c:pt>
                <c:pt idx="1">
                  <c:v>0.16862745098039214</c:v>
                </c:pt>
                <c:pt idx="2">
                  <c:v>0.21568627450980393</c:v>
                </c:pt>
                <c:pt idx="3">
                  <c:v>0.3784313725490196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F-4D75-B055-ED0C1BFA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26648"/>
        <c:axId val="541325920"/>
      </c:lineChart>
      <c:catAx>
        <c:axId val="47942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5920"/>
        <c:crosses val="autoZero"/>
        <c:auto val="1"/>
        <c:lblAlgn val="ctr"/>
        <c:lblOffset val="100"/>
        <c:noMultiLvlLbl val="0"/>
      </c:catAx>
      <c:valAx>
        <c:axId val="5413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PIMENTE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SPECIALITES!$AF$159:$AI$159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SPECIALITES!$AF$160:$AI$160</c:f>
              <c:numCache>
                <c:formatCode>0.0</c:formatCode>
                <c:ptCount val="4"/>
                <c:pt idx="0">
                  <c:v>0.13191489361702127</c:v>
                </c:pt>
                <c:pt idx="1">
                  <c:v>0.2468085106382979</c:v>
                </c:pt>
                <c:pt idx="2">
                  <c:v>0.25957446808510637</c:v>
                </c:pt>
                <c:pt idx="3">
                  <c:v>0.46170212765957452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4-43ED-BEC2-F65C8E7E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64768"/>
        <c:axId val="407565128"/>
      </c:lineChart>
      <c:catAx>
        <c:axId val="4075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65128"/>
        <c:crosses val="autoZero"/>
        <c:auto val="1"/>
        <c:lblAlgn val="ctr"/>
        <c:lblOffset val="100"/>
        <c:noMultiLvlLbl val="0"/>
      </c:catAx>
      <c:valAx>
        <c:axId val="40756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ROQUEFORT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SPECIALITES!$AF$37:$AI$37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SPECIALITES!$AF$38:$AI$38</c:f>
              <c:numCache>
                <c:formatCode>0.0</c:formatCode>
                <c:ptCount val="4"/>
                <c:pt idx="0">
                  <c:v>0.42061855670103088</c:v>
                </c:pt>
                <c:pt idx="1">
                  <c:v>0.42886597938144333</c:v>
                </c:pt>
                <c:pt idx="2">
                  <c:v>0.79175257731958759</c:v>
                </c:pt>
                <c:pt idx="3">
                  <c:v>0.54020618556701039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A-412B-AC22-DA460E368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68048"/>
        <c:axId val="484442200"/>
      </c:lineChart>
      <c:catAx>
        <c:axId val="4767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2200"/>
        <c:crosses val="autoZero"/>
        <c:auto val="1"/>
        <c:lblAlgn val="ctr"/>
        <c:lblOffset val="100"/>
        <c:noMultiLvlLbl val="0"/>
      </c:catAx>
      <c:valAx>
        <c:axId val="48444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SANGLIER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SPECIALITES!$AF$196:$AI$196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SPECIALITES!$AF$197:$AI$197</c:f>
              <c:numCache>
                <c:formatCode>0.0</c:formatCode>
                <c:ptCount val="4"/>
                <c:pt idx="0">
                  <c:v>0.92515789473684207</c:v>
                </c:pt>
                <c:pt idx="1">
                  <c:v>0.83368421052631581</c:v>
                </c:pt>
                <c:pt idx="2">
                  <c:v>0.69894736842105265</c:v>
                </c:pt>
                <c:pt idx="3">
                  <c:v>0.27789473684210525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7-47D0-81DC-415EA317B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43280"/>
        <c:axId val="484440400"/>
      </c:lineChart>
      <c:catAx>
        <c:axId val="48444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0400"/>
        <c:crosses val="autoZero"/>
        <c:auto val="1"/>
        <c:lblAlgn val="ctr"/>
        <c:lblOffset val="100"/>
        <c:noMultiLvlLbl val="0"/>
      </c:catAx>
      <c:valAx>
        <c:axId val="4844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SAUCI'FLETTE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SPECIALITES!$AF$52:$AI$52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SPECIALITES!$AF$53:$AI$53</c:f>
              <c:numCache>
                <c:formatCode>0.0</c:formatCode>
                <c:ptCount val="4"/>
                <c:pt idx="0">
                  <c:v>0.11717171717171716</c:v>
                </c:pt>
                <c:pt idx="1">
                  <c:v>0</c:v>
                </c:pt>
                <c:pt idx="2">
                  <c:v>0.27070707070707073</c:v>
                </c:pt>
                <c:pt idx="3">
                  <c:v>0.23030303030303031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D-4DCF-B031-86C52CE5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81816"/>
        <c:axId val="481281096"/>
      </c:lineChart>
      <c:catAx>
        <c:axId val="48128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81096"/>
        <c:crosses val="autoZero"/>
        <c:auto val="1"/>
        <c:lblAlgn val="ctr"/>
        <c:lblOffset val="100"/>
        <c:noMultiLvlLbl val="0"/>
      </c:catAx>
      <c:valAx>
        <c:axId val="48128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8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TAUREAU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SPECIALITES!$AF$208:$AI$208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SPECIALITES!$AF$209:$AI$209</c:f>
              <c:numCache>
                <c:formatCode>0.0</c:formatCode>
                <c:ptCount val="4"/>
                <c:pt idx="0">
                  <c:v>0.18924731182795701</c:v>
                </c:pt>
                <c:pt idx="1">
                  <c:v>8.6021505376344093E-2</c:v>
                </c:pt>
                <c:pt idx="2">
                  <c:v>0.30107526881720431</c:v>
                </c:pt>
                <c:pt idx="3">
                  <c:v>0.53978494623655915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E-4D63-BF6E-DEE9B490B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5328"/>
        <c:axId val="554755688"/>
      </c:lineChart>
      <c:catAx>
        <c:axId val="55475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688"/>
        <c:crosses val="autoZero"/>
        <c:auto val="1"/>
        <c:lblAlgn val="ctr"/>
        <c:lblOffset val="100"/>
        <c:noMultiLvlLbl val="0"/>
      </c:catAx>
      <c:valAx>
        <c:axId val="5547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26" Type="http://schemas.openxmlformats.org/officeDocument/2006/relationships/chart" Target="../charts/chart39.xml"/><Relationship Id="rId3" Type="http://schemas.openxmlformats.org/officeDocument/2006/relationships/chart" Target="../charts/chart16.xml"/><Relationship Id="rId21" Type="http://schemas.openxmlformats.org/officeDocument/2006/relationships/chart" Target="../charts/chart34.xml"/><Relationship Id="rId34" Type="http://schemas.openxmlformats.org/officeDocument/2006/relationships/chart" Target="../charts/chart47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5" Type="http://schemas.openxmlformats.org/officeDocument/2006/relationships/chart" Target="../charts/chart38.xml"/><Relationship Id="rId33" Type="http://schemas.openxmlformats.org/officeDocument/2006/relationships/chart" Target="../charts/chart46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20" Type="http://schemas.openxmlformats.org/officeDocument/2006/relationships/chart" Target="../charts/chart33.xml"/><Relationship Id="rId29" Type="http://schemas.openxmlformats.org/officeDocument/2006/relationships/chart" Target="../charts/chart42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24" Type="http://schemas.openxmlformats.org/officeDocument/2006/relationships/chart" Target="../charts/chart37.xml"/><Relationship Id="rId32" Type="http://schemas.openxmlformats.org/officeDocument/2006/relationships/chart" Target="../charts/chart45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23" Type="http://schemas.openxmlformats.org/officeDocument/2006/relationships/chart" Target="../charts/chart36.xml"/><Relationship Id="rId28" Type="http://schemas.openxmlformats.org/officeDocument/2006/relationships/chart" Target="../charts/chart41.xml"/><Relationship Id="rId10" Type="http://schemas.openxmlformats.org/officeDocument/2006/relationships/chart" Target="../charts/chart23.xml"/><Relationship Id="rId19" Type="http://schemas.openxmlformats.org/officeDocument/2006/relationships/chart" Target="../charts/chart32.xml"/><Relationship Id="rId31" Type="http://schemas.openxmlformats.org/officeDocument/2006/relationships/chart" Target="../charts/chart44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Relationship Id="rId22" Type="http://schemas.openxmlformats.org/officeDocument/2006/relationships/chart" Target="../charts/chart35.xml"/><Relationship Id="rId27" Type="http://schemas.openxmlformats.org/officeDocument/2006/relationships/chart" Target="../charts/chart40.xml"/><Relationship Id="rId30" Type="http://schemas.openxmlformats.org/officeDocument/2006/relationships/chart" Target="../charts/chart43.xml"/><Relationship Id="rId35" Type="http://schemas.openxmlformats.org/officeDocument/2006/relationships/chart" Target="../charts/chart48.xml"/><Relationship Id="rId8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33451</xdr:colOff>
      <xdr:row>24</xdr:row>
      <xdr:rowOff>152300</xdr:rowOff>
    </xdr:from>
    <xdr:to>
      <xdr:col>18</xdr:col>
      <xdr:colOff>718902</xdr:colOff>
      <xdr:row>25</xdr:row>
      <xdr:rowOff>108837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83A58673-8536-410C-9003-5113DF82A350}"/>
            </a:ext>
          </a:extLst>
        </xdr:cNvPr>
        <xdr:cNvSpPr/>
      </xdr:nvSpPr>
      <xdr:spPr>
        <a:xfrm rot="20003215">
          <a:off x="17635651" y="7696100"/>
          <a:ext cx="685451" cy="23956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53789</xdr:colOff>
      <xdr:row>47</xdr:row>
      <xdr:rowOff>134471</xdr:rowOff>
    </xdr:from>
    <xdr:to>
      <xdr:col>18</xdr:col>
      <xdr:colOff>739240</xdr:colOff>
      <xdr:row>48</xdr:row>
      <xdr:rowOff>91008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621C8DE-9D13-4ED1-8CCA-E0F6EF93EF6F}"/>
            </a:ext>
          </a:extLst>
        </xdr:cNvPr>
        <xdr:cNvSpPr/>
      </xdr:nvSpPr>
      <xdr:spPr>
        <a:xfrm rot="20003215">
          <a:off x="17570824" y="13070542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81</xdr:row>
      <xdr:rowOff>188260</xdr:rowOff>
    </xdr:from>
    <xdr:to>
      <xdr:col>18</xdr:col>
      <xdr:colOff>784064</xdr:colOff>
      <xdr:row>82</xdr:row>
      <xdr:rowOff>144797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C1D58329-67AD-4D6B-895B-3858F2C50C20}"/>
            </a:ext>
          </a:extLst>
        </xdr:cNvPr>
        <xdr:cNvSpPr/>
      </xdr:nvSpPr>
      <xdr:spPr>
        <a:xfrm rot="20003215">
          <a:off x="17615648" y="2212489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53627</xdr:colOff>
      <xdr:row>113</xdr:row>
      <xdr:rowOff>109178</xdr:rowOff>
    </xdr:from>
    <xdr:to>
      <xdr:col>18</xdr:col>
      <xdr:colOff>739078</xdr:colOff>
      <xdr:row>114</xdr:row>
      <xdr:rowOff>76921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F7C71F75-E037-4C69-BC5C-11BC662E13E0}"/>
            </a:ext>
          </a:extLst>
        </xdr:cNvPr>
        <xdr:cNvSpPr/>
      </xdr:nvSpPr>
      <xdr:spPr>
        <a:xfrm rot="20550697">
          <a:off x="17176215" y="32863972"/>
          <a:ext cx="685451" cy="25909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26895</xdr:colOff>
      <xdr:row>125</xdr:row>
      <xdr:rowOff>134466</xdr:rowOff>
    </xdr:from>
    <xdr:to>
      <xdr:col>18</xdr:col>
      <xdr:colOff>712346</xdr:colOff>
      <xdr:row>126</xdr:row>
      <xdr:rowOff>91003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EC6CF088-AE84-4FC1-8D0D-DFE4311DB957}"/>
            </a:ext>
          </a:extLst>
        </xdr:cNvPr>
        <xdr:cNvSpPr/>
      </xdr:nvSpPr>
      <xdr:spPr>
        <a:xfrm rot="20003215">
          <a:off x="17543930" y="3205778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132</xdr:row>
      <xdr:rowOff>143436</xdr:rowOff>
    </xdr:from>
    <xdr:to>
      <xdr:col>18</xdr:col>
      <xdr:colOff>685451</xdr:colOff>
      <xdr:row>133</xdr:row>
      <xdr:rowOff>99973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99A992AD-84B7-47FF-91CD-EE99096298FA}"/>
            </a:ext>
          </a:extLst>
        </xdr:cNvPr>
        <xdr:cNvSpPr/>
      </xdr:nvSpPr>
      <xdr:spPr>
        <a:xfrm rot="20003215">
          <a:off x="17517035" y="3411967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201706</xdr:colOff>
      <xdr:row>1</xdr:row>
      <xdr:rowOff>56029</xdr:rowOff>
    </xdr:from>
    <xdr:to>
      <xdr:col>20</xdr:col>
      <xdr:colOff>661147</xdr:colOff>
      <xdr:row>1</xdr:row>
      <xdr:rowOff>1008529</xdr:rowOff>
    </xdr:to>
    <xdr:sp macro="[0]!totalMacr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1E47DD-0EFF-0274-5DAF-2FD04EB23086}"/>
            </a:ext>
          </a:extLst>
        </xdr:cNvPr>
        <xdr:cNvSpPr/>
      </xdr:nvSpPr>
      <xdr:spPr>
        <a:xfrm>
          <a:off x="20574000" y="347382"/>
          <a:ext cx="3036794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Bougez mec-jeu-ven à droite</a:t>
          </a:r>
        </a:p>
      </xdr:txBody>
    </xdr:sp>
    <xdr:clientData/>
  </xdr:twoCellAnchor>
  <xdr:twoCellAnchor>
    <xdr:from>
      <xdr:col>29</xdr:col>
      <xdr:colOff>694765</xdr:colOff>
      <xdr:row>1</xdr:row>
      <xdr:rowOff>56029</xdr:rowOff>
    </xdr:from>
    <xdr:to>
      <xdr:col>33</xdr:col>
      <xdr:colOff>683559</xdr:colOff>
      <xdr:row>1</xdr:row>
      <xdr:rowOff>1008529</xdr:rowOff>
    </xdr:to>
    <xdr:sp macro="[0]!total_melee_mov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B78CBA0-34D7-CD31-E6ED-CB79857D3BC4}"/>
            </a:ext>
          </a:extLst>
        </xdr:cNvPr>
        <xdr:cNvSpPr/>
      </xdr:nvSpPr>
      <xdr:spPr>
        <a:xfrm>
          <a:off x="31062706" y="347382"/>
          <a:ext cx="3036794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Bougez</a:t>
          </a:r>
          <a:r>
            <a:rPr lang="fr-FR" sz="2400" baseline="0"/>
            <a:t> melees</a:t>
          </a:r>
          <a:endParaRPr lang="fr-F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5A497F18-DF54-4907-ADCC-053A044919D5}"/>
            </a:ext>
          </a:extLst>
        </xdr:cNvPr>
        <xdr:cNvSpPr/>
      </xdr:nvSpPr>
      <xdr:spPr>
        <a:xfrm rot="20003215">
          <a:off x="15168284" y="151772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64</xdr:row>
      <xdr:rowOff>116541</xdr:rowOff>
    </xdr:from>
    <xdr:to>
      <xdr:col>18</xdr:col>
      <xdr:colOff>685451</xdr:colOff>
      <xdr:row>65</xdr:row>
      <xdr:rowOff>73078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187B1362-3756-49CB-A47D-61390C286190}"/>
            </a:ext>
          </a:extLst>
        </xdr:cNvPr>
        <xdr:cNvSpPr/>
      </xdr:nvSpPr>
      <xdr:spPr>
        <a:xfrm rot="20003215">
          <a:off x="15177247" y="17122588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152402</xdr:rowOff>
    </xdr:from>
    <xdr:to>
      <xdr:col>18</xdr:col>
      <xdr:colOff>685451</xdr:colOff>
      <xdr:row>72</xdr:row>
      <xdr:rowOff>99974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D4CF3A4C-0031-4D51-A0D2-0C8A7E419529}"/>
            </a:ext>
          </a:extLst>
        </xdr:cNvPr>
        <xdr:cNvSpPr/>
      </xdr:nvSpPr>
      <xdr:spPr>
        <a:xfrm rot="20003215">
          <a:off x="15177247" y="1880795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2DAC2373-47FA-42F1-8555-DDAFF4ED0A47}"/>
            </a:ext>
          </a:extLst>
        </xdr:cNvPr>
        <xdr:cNvSpPr/>
      </xdr:nvSpPr>
      <xdr:spPr>
        <a:xfrm rot="20003215">
          <a:off x="15177247" y="2242072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92</xdr:row>
      <xdr:rowOff>170332</xdr:rowOff>
    </xdr:from>
    <xdr:to>
      <xdr:col>18</xdr:col>
      <xdr:colOff>685451</xdr:colOff>
      <xdr:row>93</xdr:row>
      <xdr:rowOff>117905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5102B79-E9A2-43B2-AE34-1351F8321A65}"/>
            </a:ext>
          </a:extLst>
        </xdr:cNvPr>
        <xdr:cNvSpPr/>
      </xdr:nvSpPr>
      <xdr:spPr>
        <a:xfrm rot="20003215">
          <a:off x="15177247" y="2438400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98</xdr:row>
      <xdr:rowOff>179296</xdr:rowOff>
    </xdr:from>
    <xdr:to>
      <xdr:col>18</xdr:col>
      <xdr:colOff>685451</xdr:colOff>
      <xdr:row>99</xdr:row>
      <xdr:rowOff>126868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23AA8DC3-F8A2-42C4-893E-DD50CDA62615}"/>
            </a:ext>
          </a:extLst>
        </xdr:cNvPr>
        <xdr:cNvSpPr/>
      </xdr:nvSpPr>
      <xdr:spPr>
        <a:xfrm rot="20003215">
          <a:off x="15177247" y="2717202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10505</xdr:colOff>
      <xdr:row>115</xdr:row>
      <xdr:rowOff>104637</xdr:rowOff>
    </xdr:from>
    <xdr:to>
      <xdr:col>18</xdr:col>
      <xdr:colOff>698758</xdr:colOff>
      <xdr:row>116</xdr:row>
      <xdr:rowOff>52209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00CE9613-B877-456C-9505-6BED65599B5D}"/>
            </a:ext>
          </a:extLst>
        </xdr:cNvPr>
        <xdr:cNvSpPr/>
      </xdr:nvSpPr>
      <xdr:spPr>
        <a:xfrm rot="20003215">
          <a:off x="19203380" y="31810981"/>
          <a:ext cx="688253" cy="304759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34</xdr:row>
      <xdr:rowOff>152399</xdr:rowOff>
    </xdr:from>
    <xdr:to>
      <xdr:col>18</xdr:col>
      <xdr:colOff>739238</xdr:colOff>
      <xdr:row>35</xdr:row>
      <xdr:rowOff>117901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C2DE2179-650C-454B-9E03-77545DAE297A}"/>
            </a:ext>
          </a:extLst>
        </xdr:cNvPr>
        <xdr:cNvSpPr/>
      </xdr:nvSpPr>
      <xdr:spPr>
        <a:xfrm rot="20003215">
          <a:off x="15428257" y="9897034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833717</xdr:colOff>
      <xdr:row>7</xdr:row>
      <xdr:rowOff>161364</xdr:rowOff>
    </xdr:from>
    <xdr:to>
      <xdr:col>18</xdr:col>
      <xdr:colOff>730274</xdr:colOff>
      <xdr:row>8</xdr:row>
      <xdr:rowOff>117901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30EB96ED-F3D2-4D46-B3F4-8251DE9B2111}"/>
            </a:ext>
          </a:extLst>
        </xdr:cNvPr>
        <xdr:cNvSpPr/>
      </xdr:nvSpPr>
      <xdr:spPr>
        <a:xfrm rot="20003215">
          <a:off x="15419293" y="2474258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15</xdr:row>
      <xdr:rowOff>152401</xdr:rowOff>
    </xdr:from>
    <xdr:to>
      <xdr:col>18</xdr:col>
      <xdr:colOff>739238</xdr:colOff>
      <xdr:row>16</xdr:row>
      <xdr:rowOff>108939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AB7EF4F4-8D95-4931-9E9A-ED268F07ED7F}"/>
            </a:ext>
          </a:extLst>
        </xdr:cNvPr>
        <xdr:cNvSpPr/>
      </xdr:nvSpPr>
      <xdr:spPr>
        <a:xfrm rot="20003215">
          <a:off x="15428257" y="4706472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59532</xdr:colOff>
      <xdr:row>79</xdr:row>
      <xdr:rowOff>107156</xdr:rowOff>
    </xdr:from>
    <xdr:to>
      <xdr:col>19</xdr:col>
      <xdr:colOff>6796</xdr:colOff>
      <xdr:row>80</xdr:row>
      <xdr:rowOff>64934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A16A7E5A-391F-4319-AFE0-AA808D2359FB}"/>
            </a:ext>
          </a:extLst>
        </xdr:cNvPr>
        <xdr:cNvSpPr/>
      </xdr:nvSpPr>
      <xdr:spPr>
        <a:xfrm rot="20003215">
          <a:off x="16037720" y="23383875"/>
          <a:ext cx="685451" cy="31496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50425</xdr:colOff>
      <xdr:row>2</xdr:row>
      <xdr:rowOff>79561</xdr:rowOff>
    </xdr:from>
    <xdr:to>
      <xdr:col>42</xdr:col>
      <xdr:colOff>50425</xdr:colOff>
      <xdr:row>11</xdr:row>
      <xdr:rowOff>155761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A2172D62-7649-7D5D-34A5-B69C14013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608320</xdr:colOff>
      <xdr:row>29</xdr:row>
      <xdr:rowOff>137991</xdr:rowOff>
    </xdr:from>
    <xdr:to>
      <xdr:col>42</xdr:col>
      <xdr:colOff>608320</xdr:colOff>
      <xdr:row>38</xdr:row>
      <xdr:rowOff>247809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A8BB9FD-97A8-765C-797E-02D392742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483052</xdr:colOff>
      <xdr:row>51</xdr:row>
      <xdr:rowOff>97971</xdr:rowOff>
    </xdr:from>
    <xdr:to>
      <xdr:col>42</xdr:col>
      <xdr:colOff>483052</xdr:colOff>
      <xdr:row>61</xdr:row>
      <xdr:rowOff>174171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C7D637F-F134-08C0-7F3E-68DFA3955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61233</xdr:colOff>
      <xdr:row>61</xdr:row>
      <xdr:rowOff>342900</xdr:rowOff>
    </xdr:from>
    <xdr:to>
      <xdr:col>43</xdr:col>
      <xdr:colOff>61233</xdr:colOff>
      <xdr:row>84</xdr:row>
      <xdr:rowOff>364672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AF480509-9BC2-13E4-0089-23A7CC61B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401411</xdr:colOff>
      <xdr:row>107</xdr:row>
      <xdr:rowOff>329293</xdr:rowOff>
    </xdr:from>
    <xdr:to>
      <xdr:col>42</xdr:col>
      <xdr:colOff>401411</xdr:colOff>
      <xdr:row>118</xdr:row>
      <xdr:rowOff>65314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53458C7B-371A-6532-4197-FA710086B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47624</xdr:colOff>
      <xdr:row>11</xdr:row>
      <xdr:rowOff>220435</xdr:rowOff>
    </xdr:from>
    <xdr:to>
      <xdr:col>42</xdr:col>
      <xdr:colOff>47624</xdr:colOff>
      <xdr:row>21</xdr:row>
      <xdr:rowOff>242207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54EC3E-A243-7492-0FA0-08616325F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13" name="Flèche : droite 1">
          <a:extLst>
            <a:ext uri="{FF2B5EF4-FFF2-40B4-BE49-F238E27FC236}">
              <a16:creationId xmlns:a16="http://schemas.microsoft.com/office/drawing/2014/main" id="{84F86A72-5ECD-44DB-92B2-AEDDDFDC2B64}"/>
            </a:ext>
          </a:extLst>
        </xdr:cNvPr>
        <xdr:cNvSpPr/>
      </xdr:nvSpPr>
      <xdr:spPr>
        <a:xfrm rot="20003215">
          <a:off x="19692771" y="19416656"/>
          <a:ext cx="727137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20" name="Flèche : droite 4">
          <a:extLst>
            <a:ext uri="{FF2B5EF4-FFF2-40B4-BE49-F238E27FC236}">
              <a16:creationId xmlns:a16="http://schemas.microsoft.com/office/drawing/2014/main" id="{DAA7FFE0-A1C7-4CC2-A5B8-B7400F1E2E0A}"/>
            </a:ext>
          </a:extLst>
        </xdr:cNvPr>
        <xdr:cNvSpPr/>
      </xdr:nvSpPr>
      <xdr:spPr>
        <a:xfrm rot="20003215">
          <a:off x="19743420" y="24574500"/>
          <a:ext cx="685451" cy="29047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69273</xdr:colOff>
      <xdr:row>122</xdr:row>
      <xdr:rowOff>20892</xdr:rowOff>
    </xdr:from>
    <xdr:to>
      <xdr:col>18</xdr:col>
      <xdr:colOff>754724</xdr:colOff>
      <xdr:row>123</xdr:row>
      <xdr:rowOff>29384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21AF7648-0152-40E5-A85F-0DF652319FB7}"/>
            </a:ext>
          </a:extLst>
        </xdr:cNvPr>
        <xdr:cNvSpPr/>
      </xdr:nvSpPr>
      <xdr:spPr>
        <a:xfrm rot="20003215">
          <a:off x="19566948" y="15365667"/>
          <a:ext cx="685451" cy="37044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7ACBB0D2-BA7B-438D-9234-418AE98DF934}"/>
            </a:ext>
          </a:extLst>
        </xdr:cNvPr>
        <xdr:cNvSpPr/>
      </xdr:nvSpPr>
      <xdr:spPr>
        <a:xfrm rot="20003215">
          <a:off x="19304000" y="23796837"/>
          <a:ext cx="685451" cy="4667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151279</xdr:colOff>
      <xdr:row>51</xdr:row>
      <xdr:rowOff>113180</xdr:rowOff>
    </xdr:from>
    <xdr:to>
      <xdr:col>36</xdr:col>
      <xdr:colOff>151279</xdr:colOff>
      <xdr:row>61</xdr:row>
      <xdr:rowOff>279027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5B2C26-610C-ED40-65FA-74EC8D5B6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5" name="Flèche : droite 1">
          <a:extLst>
            <a:ext uri="{FF2B5EF4-FFF2-40B4-BE49-F238E27FC236}">
              <a16:creationId xmlns:a16="http://schemas.microsoft.com/office/drawing/2014/main" id="{BB51A893-7239-44CC-ABEE-E95CD539D2CB}"/>
            </a:ext>
          </a:extLst>
        </xdr:cNvPr>
        <xdr:cNvSpPr/>
      </xdr:nvSpPr>
      <xdr:spPr>
        <a:xfrm rot="20003215">
          <a:off x="19834860" y="23012400"/>
          <a:ext cx="685451" cy="4540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CC453762-A1CC-4476-B1E5-9E32E239CDAA}"/>
            </a:ext>
          </a:extLst>
        </xdr:cNvPr>
        <xdr:cNvSpPr/>
      </xdr:nvSpPr>
      <xdr:spPr>
        <a:xfrm rot="20003215">
          <a:off x="15663387" y="2026670"/>
          <a:ext cx="685451" cy="42088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5B3A71F0-40C7-437A-9CC6-9AE6758C62F1}"/>
            </a:ext>
          </a:extLst>
        </xdr:cNvPr>
        <xdr:cNvSpPr/>
      </xdr:nvSpPr>
      <xdr:spPr>
        <a:xfrm rot="20003215">
          <a:off x="15419294" y="353209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911F2ED-30BE-4931-991A-E10839D6824C}"/>
            </a:ext>
          </a:extLst>
        </xdr:cNvPr>
        <xdr:cNvSpPr/>
      </xdr:nvSpPr>
      <xdr:spPr>
        <a:xfrm rot="20003215">
          <a:off x="15419294" y="573741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58BC1B6A-546F-4788-81E1-CB8A140E50C8}"/>
            </a:ext>
          </a:extLst>
        </xdr:cNvPr>
        <xdr:cNvSpPr/>
      </xdr:nvSpPr>
      <xdr:spPr>
        <a:xfrm rot="20003215">
          <a:off x="15419294" y="768275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46365</xdr:colOff>
      <xdr:row>47</xdr:row>
      <xdr:rowOff>129621</xdr:rowOff>
    </xdr:from>
    <xdr:to>
      <xdr:col>18</xdr:col>
      <xdr:colOff>731816</xdr:colOff>
      <xdr:row>48</xdr:row>
      <xdr:rowOff>93049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4A22BCE9-2FDB-4026-8C7A-35DA350EDCFB}"/>
            </a:ext>
          </a:extLst>
        </xdr:cNvPr>
        <xdr:cNvSpPr/>
      </xdr:nvSpPr>
      <xdr:spPr>
        <a:xfrm rot="20003215">
          <a:off x="14983806" y="13184474"/>
          <a:ext cx="685451" cy="254781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C90D7E13-24A3-43C6-9343-3B591867EF6E}"/>
            </a:ext>
          </a:extLst>
        </xdr:cNvPr>
        <xdr:cNvSpPr/>
      </xdr:nvSpPr>
      <xdr:spPr>
        <a:xfrm rot="20003215">
          <a:off x="15419294" y="1692536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20410</xdr:colOff>
      <xdr:row>40</xdr:row>
      <xdr:rowOff>152399</xdr:rowOff>
    </xdr:from>
    <xdr:to>
      <xdr:col>42</xdr:col>
      <xdr:colOff>20410</xdr:colOff>
      <xdr:row>48</xdr:row>
      <xdr:rowOff>65313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A410B7B-B591-BA7B-8005-E5D382691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483053</xdr:colOff>
      <xdr:row>62</xdr:row>
      <xdr:rowOff>261257</xdr:rowOff>
    </xdr:from>
    <xdr:to>
      <xdr:col>42</xdr:col>
      <xdr:colOff>483053</xdr:colOff>
      <xdr:row>73</xdr:row>
      <xdr:rowOff>78922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9F38C60-7D88-E221-FA13-4AE26C08B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102053</xdr:colOff>
      <xdr:row>0</xdr:row>
      <xdr:rowOff>57150</xdr:rowOff>
    </xdr:from>
    <xdr:to>
      <xdr:col>42</xdr:col>
      <xdr:colOff>102053</xdr:colOff>
      <xdr:row>7</xdr:row>
      <xdr:rowOff>296636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F642BB-98D4-1887-5B94-05456BA8F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469446</xdr:colOff>
      <xdr:row>6</xdr:row>
      <xdr:rowOff>70759</xdr:rowOff>
    </xdr:from>
    <xdr:to>
      <xdr:col>48</xdr:col>
      <xdr:colOff>469446</xdr:colOff>
      <xdr:row>16</xdr:row>
      <xdr:rowOff>10887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24890D7-A82C-62E5-514C-F8D16A46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115659</xdr:colOff>
      <xdr:row>24</xdr:row>
      <xdr:rowOff>70757</xdr:rowOff>
    </xdr:from>
    <xdr:to>
      <xdr:col>42</xdr:col>
      <xdr:colOff>115659</xdr:colOff>
      <xdr:row>33</xdr:row>
      <xdr:rowOff>269421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9AA6604-F95A-A2B9-C18C-ABB609091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61231</xdr:colOff>
      <xdr:row>13</xdr:row>
      <xdr:rowOff>152399</xdr:rowOff>
    </xdr:from>
    <xdr:to>
      <xdr:col>42</xdr:col>
      <xdr:colOff>61231</xdr:colOff>
      <xdr:row>23</xdr:row>
      <xdr:rowOff>146956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16A3E8A0-8866-D2C2-AE2F-C82F54878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14" name="Flèche : droite 1">
          <a:extLst>
            <a:ext uri="{FF2B5EF4-FFF2-40B4-BE49-F238E27FC236}">
              <a16:creationId xmlns:a16="http://schemas.microsoft.com/office/drawing/2014/main" id="{1B10FAF8-6825-4031-9EFA-E34CAD479F59}"/>
            </a:ext>
          </a:extLst>
        </xdr:cNvPr>
        <xdr:cNvSpPr/>
      </xdr:nvSpPr>
      <xdr:spPr>
        <a:xfrm rot="20003215">
          <a:off x="19651028" y="1993809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15" name="Flèche : droite 2">
          <a:extLst>
            <a:ext uri="{FF2B5EF4-FFF2-40B4-BE49-F238E27FC236}">
              <a16:creationId xmlns:a16="http://schemas.microsoft.com/office/drawing/2014/main" id="{5B088037-5D5E-4A60-B5A3-1D4D4BD786EF}"/>
            </a:ext>
          </a:extLst>
        </xdr:cNvPr>
        <xdr:cNvSpPr/>
      </xdr:nvSpPr>
      <xdr:spPr>
        <a:xfrm rot="20003215">
          <a:off x="19644360" y="470916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16" name="Flèche : droite 3">
          <a:extLst>
            <a:ext uri="{FF2B5EF4-FFF2-40B4-BE49-F238E27FC236}">
              <a16:creationId xmlns:a16="http://schemas.microsoft.com/office/drawing/2014/main" id="{AB683098-AE5A-4AE3-A374-96F0AE434F57}"/>
            </a:ext>
          </a:extLst>
        </xdr:cNvPr>
        <xdr:cNvSpPr/>
      </xdr:nvSpPr>
      <xdr:spPr>
        <a:xfrm rot="20003215">
          <a:off x="19644360" y="7390054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17" name="Flèche : droite 4">
          <a:extLst>
            <a:ext uri="{FF2B5EF4-FFF2-40B4-BE49-F238E27FC236}">
              <a16:creationId xmlns:a16="http://schemas.microsoft.com/office/drawing/2014/main" id="{4911E610-4623-4651-97DF-F81E33096F1D}"/>
            </a:ext>
          </a:extLst>
        </xdr:cNvPr>
        <xdr:cNvSpPr/>
      </xdr:nvSpPr>
      <xdr:spPr>
        <a:xfrm rot="20003215">
          <a:off x="19644360" y="1008888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18" name="Flèche : droite 6">
          <a:extLst>
            <a:ext uri="{FF2B5EF4-FFF2-40B4-BE49-F238E27FC236}">
              <a16:creationId xmlns:a16="http://schemas.microsoft.com/office/drawing/2014/main" id="{722A79A0-FF8A-4383-A528-13AB0A806FF1}"/>
            </a:ext>
          </a:extLst>
        </xdr:cNvPr>
        <xdr:cNvSpPr/>
      </xdr:nvSpPr>
      <xdr:spPr>
        <a:xfrm rot="20003215">
          <a:off x="19644360" y="24905746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32FBAC2F-3210-4841-B483-B781C785BD3E}"/>
            </a:ext>
          </a:extLst>
        </xdr:cNvPr>
        <xdr:cNvSpPr/>
      </xdr:nvSpPr>
      <xdr:spPr>
        <a:xfrm rot="20003215">
          <a:off x="15894424" y="343348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807CE13D-B736-4B19-A203-BCCAB7D1DD1F}"/>
            </a:ext>
          </a:extLst>
        </xdr:cNvPr>
        <xdr:cNvSpPr/>
      </xdr:nvSpPr>
      <xdr:spPr>
        <a:xfrm rot="20003215">
          <a:off x="15894424" y="704625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9324AACD-FD18-43B7-86B3-82EE2DE74401}"/>
            </a:ext>
          </a:extLst>
        </xdr:cNvPr>
        <xdr:cNvSpPr/>
      </xdr:nvSpPr>
      <xdr:spPr>
        <a:xfrm rot="20003215">
          <a:off x="15894424" y="992393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99F79EDC-5D3B-412B-83F3-3BAE9C292CDA}"/>
            </a:ext>
          </a:extLst>
        </xdr:cNvPr>
        <xdr:cNvSpPr/>
      </xdr:nvSpPr>
      <xdr:spPr>
        <a:xfrm rot="20003215">
          <a:off x="18764250" y="18410563"/>
          <a:ext cx="685451" cy="313724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2DF2235-6A27-40AD-9629-EC24674BFD90}"/>
            </a:ext>
          </a:extLst>
        </xdr:cNvPr>
        <xdr:cNvSpPr/>
      </xdr:nvSpPr>
      <xdr:spPr>
        <a:xfrm rot="20003215">
          <a:off x="15894424" y="1699707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44823</xdr:colOff>
      <xdr:row>79</xdr:row>
      <xdr:rowOff>177052</xdr:rowOff>
    </xdr:from>
    <xdr:to>
      <xdr:col>18</xdr:col>
      <xdr:colOff>730274</xdr:colOff>
      <xdr:row>80</xdr:row>
      <xdr:rowOff>133589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8D10D4ED-1FE9-4F58-83E4-98162D28A96D}"/>
            </a:ext>
          </a:extLst>
        </xdr:cNvPr>
        <xdr:cNvSpPr/>
      </xdr:nvSpPr>
      <xdr:spPr>
        <a:xfrm rot="20003215">
          <a:off x="15452911" y="21994905"/>
          <a:ext cx="685451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89</xdr:row>
      <xdr:rowOff>124547</xdr:rowOff>
    </xdr:from>
    <xdr:to>
      <xdr:col>19</xdr:col>
      <xdr:colOff>22064</xdr:colOff>
      <xdr:row>90</xdr:row>
      <xdr:rowOff>100295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A0FE3514-50AE-4E74-AF68-1B2C143DE9A7}"/>
            </a:ext>
          </a:extLst>
        </xdr:cNvPr>
        <xdr:cNvSpPr/>
      </xdr:nvSpPr>
      <xdr:spPr>
        <a:xfrm rot="20003215">
          <a:off x="15937327" y="23648576"/>
          <a:ext cx="707223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54429</xdr:colOff>
      <xdr:row>104</xdr:row>
      <xdr:rowOff>89006</xdr:rowOff>
    </xdr:from>
    <xdr:to>
      <xdr:col>18</xdr:col>
      <xdr:colOff>739880</xdr:colOff>
      <xdr:row>105</xdr:row>
      <xdr:rowOff>45543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D3E541B2-9047-4E5D-B25B-DE5E3E753D0F}"/>
            </a:ext>
          </a:extLst>
        </xdr:cNvPr>
        <xdr:cNvSpPr/>
      </xdr:nvSpPr>
      <xdr:spPr>
        <a:xfrm rot="20003215">
          <a:off x="16641536" y="34691970"/>
          <a:ext cx="685451" cy="32393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B900AFBD-6905-4B4D-9096-8DA4DC738614}"/>
            </a:ext>
          </a:extLst>
        </xdr:cNvPr>
        <xdr:cNvSpPr/>
      </xdr:nvSpPr>
      <xdr:spPr>
        <a:xfrm rot="20003215">
          <a:off x="17918205" y="38151546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63096AA0-EA6E-4C90-8FA2-E14C4051D204}"/>
            </a:ext>
          </a:extLst>
        </xdr:cNvPr>
        <xdr:cNvSpPr/>
      </xdr:nvSpPr>
      <xdr:spPr>
        <a:xfrm rot="20003215">
          <a:off x="15894424" y="3153783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9A8A15BE-40EC-4D19-8884-34F889E3B768}"/>
            </a:ext>
          </a:extLst>
        </xdr:cNvPr>
        <xdr:cNvSpPr/>
      </xdr:nvSpPr>
      <xdr:spPr>
        <a:xfrm rot="20003215">
          <a:off x="15894424" y="340748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13" name="Flèche : droite 12">
          <a:extLst>
            <a:ext uri="{FF2B5EF4-FFF2-40B4-BE49-F238E27FC236}">
              <a16:creationId xmlns:a16="http://schemas.microsoft.com/office/drawing/2014/main" id="{4E9302A5-34D3-4ED7-9B81-E4D856410394}"/>
            </a:ext>
          </a:extLst>
        </xdr:cNvPr>
        <xdr:cNvSpPr/>
      </xdr:nvSpPr>
      <xdr:spPr>
        <a:xfrm rot="20003215">
          <a:off x="18769853" y="43844135"/>
          <a:ext cx="685451" cy="3487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14" name="Flèche : droite 13">
          <a:extLst>
            <a:ext uri="{FF2B5EF4-FFF2-40B4-BE49-F238E27FC236}">
              <a16:creationId xmlns:a16="http://schemas.microsoft.com/office/drawing/2014/main" id="{ED6C7502-3ACC-4CA1-98B5-8D002A38B6A5}"/>
            </a:ext>
          </a:extLst>
        </xdr:cNvPr>
        <xdr:cNvSpPr/>
      </xdr:nvSpPr>
      <xdr:spPr>
        <a:xfrm rot="20003215">
          <a:off x="15894424" y="3893371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75BCBDEE-61E6-4E08-B937-7ED9F8133AE9}"/>
            </a:ext>
          </a:extLst>
        </xdr:cNvPr>
        <xdr:cNvSpPr/>
      </xdr:nvSpPr>
      <xdr:spPr>
        <a:xfrm rot="20003215">
          <a:off x="15894424" y="4127350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153148</xdr:colOff>
      <xdr:row>173</xdr:row>
      <xdr:rowOff>102390</xdr:rowOff>
    </xdr:from>
    <xdr:to>
      <xdr:col>19</xdr:col>
      <xdr:colOff>186916</xdr:colOff>
      <xdr:row>174</xdr:row>
      <xdr:rowOff>259878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B18AF469-0AD1-455E-AAC2-FF4041444111}"/>
            </a:ext>
          </a:extLst>
        </xdr:cNvPr>
        <xdr:cNvSpPr/>
      </xdr:nvSpPr>
      <xdr:spPr>
        <a:xfrm rot="19264877">
          <a:off x="18911795" y="62776890"/>
          <a:ext cx="829386" cy="516076"/>
        </a:xfrm>
        <a:prstGeom prst="rightArrow">
          <a:avLst>
            <a:gd name="adj1" fmla="val 50000"/>
            <a:gd name="adj2" fmla="val 61110"/>
          </a:avLst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18" name="Flèche : droite 17">
          <a:extLst>
            <a:ext uri="{FF2B5EF4-FFF2-40B4-BE49-F238E27FC236}">
              <a16:creationId xmlns:a16="http://schemas.microsoft.com/office/drawing/2014/main" id="{2CC3867A-5BFC-4ED3-AFCB-8BEF71671E57}"/>
            </a:ext>
          </a:extLst>
        </xdr:cNvPr>
        <xdr:cNvSpPr/>
      </xdr:nvSpPr>
      <xdr:spPr>
        <a:xfrm rot="20003215">
          <a:off x="15894424" y="4906383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35495ED1-BA5E-410C-82EC-7E24E6F14124}"/>
            </a:ext>
          </a:extLst>
        </xdr:cNvPr>
        <xdr:cNvSpPr/>
      </xdr:nvSpPr>
      <xdr:spPr>
        <a:xfrm rot="20003215">
          <a:off x="15894424" y="5249731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217</xdr:row>
      <xdr:rowOff>134471</xdr:rowOff>
    </xdr:from>
    <xdr:to>
      <xdr:col>18</xdr:col>
      <xdr:colOff>685451</xdr:colOff>
      <xdr:row>218</xdr:row>
      <xdr:rowOff>82043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9AB9BA4F-0A54-4A39-ACE3-205870454112}"/>
            </a:ext>
          </a:extLst>
        </xdr:cNvPr>
        <xdr:cNvSpPr/>
      </xdr:nvSpPr>
      <xdr:spPr>
        <a:xfrm rot="20003215">
          <a:off x="15894424" y="5503433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21" name="Flèche : droite 20">
          <a:extLst>
            <a:ext uri="{FF2B5EF4-FFF2-40B4-BE49-F238E27FC236}">
              <a16:creationId xmlns:a16="http://schemas.microsoft.com/office/drawing/2014/main" id="{2D240AC3-3E8E-4F48-82D3-721998CD8A21}"/>
            </a:ext>
          </a:extLst>
        </xdr:cNvPr>
        <xdr:cNvSpPr/>
      </xdr:nvSpPr>
      <xdr:spPr>
        <a:xfrm rot="20003215">
          <a:off x="15894424" y="5822576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104</xdr:row>
      <xdr:rowOff>124547</xdr:rowOff>
    </xdr:from>
    <xdr:to>
      <xdr:col>19</xdr:col>
      <xdr:colOff>22064</xdr:colOff>
      <xdr:row>105</xdr:row>
      <xdr:rowOff>100295</xdr:rowOff>
    </xdr:to>
    <xdr:sp macro="" textlink="">
      <xdr:nvSpPr>
        <xdr:cNvPr id="43" name="Flèche : droite 42">
          <a:extLst>
            <a:ext uri="{FF2B5EF4-FFF2-40B4-BE49-F238E27FC236}">
              <a16:creationId xmlns:a16="http://schemas.microsoft.com/office/drawing/2014/main" id="{EE2BC060-8B21-41E9-BE5E-84FFCCCFC251}"/>
            </a:ext>
          </a:extLst>
        </xdr:cNvPr>
        <xdr:cNvSpPr/>
      </xdr:nvSpPr>
      <xdr:spPr>
        <a:xfrm rot="20003215">
          <a:off x="18862863" y="32170880"/>
          <a:ext cx="727784" cy="31441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113109</xdr:colOff>
      <xdr:row>15</xdr:row>
      <xdr:rowOff>107156</xdr:rowOff>
    </xdr:from>
    <xdr:to>
      <xdr:col>37</xdr:col>
      <xdr:colOff>119063</xdr:colOff>
      <xdr:row>23</xdr:row>
      <xdr:rowOff>115489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DCFA0208-3864-4637-9211-3342FDEDE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732233</xdr:colOff>
      <xdr:row>28</xdr:row>
      <xdr:rowOff>27384</xdr:rowOff>
    </xdr:from>
    <xdr:to>
      <xdr:col>36</xdr:col>
      <xdr:colOff>333374</xdr:colOff>
      <xdr:row>33</xdr:row>
      <xdr:rowOff>309563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156103C5-1FA7-4977-AF22-7143F73C7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485004</xdr:colOff>
      <xdr:row>38</xdr:row>
      <xdr:rowOff>252131</xdr:rowOff>
    </xdr:from>
    <xdr:to>
      <xdr:col>37</xdr:col>
      <xdr:colOff>300458</xdr:colOff>
      <xdr:row>47</xdr:row>
      <xdr:rowOff>224746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ADD5512D-B844-4FDD-B60C-826B3D6D4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744140</xdr:colOff>
      <xdr:row>53</xdr:row>
      <xdr:rowOff>107155</xdr:rowOff>
    </xdr:from>
    <xdr:to>
      <xdr:col>37</xdr:col>
      <xdr:colOff>369093</xdr:colOff>
      <xdr:row>61</xdr:row>
      <xdr:rowOff>258365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64F2E472-D7F4-4132-8867-DBDCB5C8C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186647</xdr:colOff>
      <xdr:row>67</xdr:row>
      <xdr:rowOff>53228</xdr:rowOff>
    </xdr:from>
    <xdr:to>
      <xdr:col>37</xdr:col>
      <xdr:colOff>25912</xdr:colOff>
      <xdr:row>76</xdr:row>
      <xdr:rowOff>37750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690D8780-F8EE-4CCF-81A3-593B4AA09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77391</xdr:colOff>
      <xdr:row>82</xdr:row>
      <xdr:rowOff>47625</xdr:rowOff>
    </xdr:from>
    <xdr:to>
      <xdr:col>35</xdr:col>
      <xdr:colOff>642938</xdr:colOff>
      <xdr:row>87</xdr:row>
      <xdr:rowOff>210740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3A848399-56C8-4336-950E-B9A5F6C79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15214</xdr:colOff>
      <xdr:row>92</xdr:row>
      <xdr:rowOff>222250</xdr:rowOff>
    </xdr:from>
    <xdr:to>
      <xdr:col>36</xdr:col>
      <xdr:colOff>347382</xdr:colOff>
      <xdr:row>101</xdr:row>
      <xdr:rowOff>100853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B48482BC-945D-4BF7-8745-09FD3B22C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684610</xdr:colOff>
      <xdr:row>107</xdr:row>
      <xdr:rowOff>47625</xdr:rowOff>
    </xdr:from>
    <xdr:to>
      <xdr:col>35</xdr:col>
      <xdr:colOff>694764</xdr:colOff>
      <xdr:row>112</xdr:row>
      <xdr:rowOff>336177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C9FC3150-57EF-45AB-9483-EA5EE1672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29766</xdr:colOff>
      <xdr:row>117</xdr:row>
      <xdr:rowOff>35717</xdr:rowOff>
    </xdr:from>
    <xdr:to>
      <xdr:col>36</xdr:col>
      <xdr:colOff>526676</xdr:colOff>
      <xdr:row>121</xdr:row>
      <xdr:rowOff>336176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3B5A0372-E05E-48E2-AF0F-7433D5F29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40971</xdr:colOff>
      <xdr:row>126</xdr:row>
      <xdr:rowOff>44824</xdr:rowOff>
    </xdr:from>
    <xdr:to>
      <xdr:col>36</xdr:col>
      <xdr:colOff>11206</xdr:colOff>
      <xdr:row>129</xdr:row>
      <xdr:rowOff>302559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E9B48557-F848-40C1-ABAB-4B145EF6E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720329</xdr:colOff>
      <xdr:row>134</xdr:row>
      <xdr:rowOff>1</xdr:rowOff>
    </xdr:from>
    <xdr:to>
      <xdr:col>35</xdr:col>
      <xdr:colOff>358588</xdr:colOff>
      <xdr:row>138</xdr:row>
      <xdr:rowOff>305990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459EF673-F037-480F-8037-BEBD46F41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130201</xdr:colOff>
      <xdr:row>141</xdr:row>
      <xdr:rowOff>258421</xdr:rowOff>
    </xdr:from>
    <xdr:to>
      <xdr:col>40</xdr:col>
      <xdr:colOff>743140</xdr:colOff>
      <xdr:row>147</xdr:row>
      <xdr:rowOff>222925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9C02F52F-1F5C-4900-B9D1-4CA56163A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28966</xdr:colOff>
      <xdr:row>159</xdr:row>
      <xdr:rowOff>30658</xdr:rowOff>
    </xdr:from>
    <xdr:to>
      <xdr:col>40</xdr:col>
      <xdr:colOff>622876</xdr:colOff>
      <xdr:row>166</xdr:row>
      <xdr:rowOff>329624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3A402F7F-F99C-45D6-AF63-3B85C3BD7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660797</xdr:colOff>
      <xdr:row>197</xdr:row>
      <xdr:rowOff>51197</xdr:rowOff>
    </xdr:from>
    <xdr:to>
      <xdr:col>36</xdr:col>
      <xdr:colOff>660797</xdr:colOff>
      <xdr:row>204</xdr:row>
      <xdr:rowOff>186928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331C6CD8-ED92-4039-8D84-E1F155813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684608</xdr:colOff>
      <xdr:row>209</xdr:row>
      <xdr:rowOff>148476</xdr:rowOff>
    </xdr:from>
    <xdr:to>
      <xdr:col>37</xdr:col>
      <xdr:colOff>201705</xdr:colOff>
      <xdr:row>226</xdr:row>
      <xdr:rowOff>324971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7108A7BB-5AE0-434B-9D47-B4F4EB35C0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37</xdr:col>
      <xdr:colOff>8035</xdr:colOff>
      <xdr:row>230</xdr:row>
      <xdr:rowOff>221873</xdr:rowOff>
    </xdr:from>
    <xdr:to>
      <xdr:col>43</xdr:col>
      <xdr:colOff>598564</xdr:colOff>
      <xdr:row>262</xdr:row>
      <xdr:rowOff>44613</xdr:rowOff>
    </xdr:to>
    <xdr:graphicFrame macro="">
      <xdr:nvGraphicFramePr>
        <xdr:cNvPr id="61" name="Graphique 60">
          <a:extLst>
            <a:ext uri="{FF2B5EF4-FFF2-40B4-BE49-F238E27FC236}">
              <a16:creationId xmlns:a16="http://schemas.microsoft.com/office/drawing/2014/main" id="{BD64494D-BD05-49DA-882A-2586E14F5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1C5F96E5-3D02-446F-9CDF-5F7ECB6DAA36}"/>
            </a:ext>
          </a:extLst>
        </xdr:cNvPr>
        <xdr:cNvSpPr/>
      </xdr:nvSpPr>
      <xdr:spPr>
        <a:xfrm rot="20003215">
          <a:off x="18758647" y="60365587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756395</xdr:colOff>
      <xdr:row>263</xdr:row>
      <xdr:rowOff>51548</xdr:rowOff>
    </xdr:from>
    <xdr:to>
      <xdr:col>42</xdr:col>
      <xdr:colOff>173689</xdr:colOff>
      <xdr:row>272</xdr:row>
      <xdr:rowOff>82924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C60EF0D6-C521-0DBA-FA7F-1F9CAA315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685778</xdr:colOff>
      <xdr:row>174</xdr:row>
      <xdr:rowOff>0</xdr:rowOff>
    </xdr:from>
    <xdr:to>
      <xdr:col>39</xdr:col>
      <xdr:colOff>463247</xdr:colOff>
      <xdr:row>178</xdr:row>
      <xdr:rowOff>85207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33A68998-6162-879E-D14D-C568039A7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36</xdr:col>
      <xdr:colOff>465889</xdr:colOff>
      <xdr:row>9</xdr:row>
      <xdr:rowOff>186018</xdr:rowOff>
    </xdr:from>
    <xdr:to>
      <xdr:col>39</xdr:col>
      <xdr:colOff>661993</xdr:colOff>
      <xdr:row>15</xdr:row>
      <xdr:rowOff>22411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34C823EB-FC75-92C7-D379-D347DADEF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288286</xdr:colOff>
      <xdr:row>87</xdr:row>
      <xdr:rowOff>174600</xdr:rowOff>
    </xdr:from>
    <xdr:to>
      <xdr:col>39</xdr:col>
      <xdr:colOff>137008</xdr:colOff>
      <xdr:row>92</xdr:row>
      <xdr:rowOff>22201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61668D3E-BEEF-EFDB-AEE7-501ADC750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37</xdr:col>
      <xdr:colOff>528685</xdr:colOff>
      <xdr:row>224</xdr:row>
      <xdr:rowOff>201663</xdr:rowOff>
    </xdr:from>
    <xdr:to>
      <xdr:col>40</xdr:col>
      <xdr:colOff>799211</xdr:colOff>
      <xdr:row>229</xdr:row>
      <xdr:rowOff>15646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EFB2372-743E-A51D-8689-11D5B6D6F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303933</xdr:colOff>
      <xdr:row>23</xdr:row>
      <xdr:rowOff>298287</xdr:rowOff>
    </xdr:from>
    <xdr:to>
      <xdr:col>38</xdr:col>
      <xdr:colOff>746567</xdr:colOff>
      <xdr:row>28</xdr:row>
      <xdr:rowOff>89858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53C7029-635B-0427-F0A0-EC57B2783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50215</xdr:colOff>
      <xdr:row>146</xdr:row>
      <xdr:rowOff>228515</xdr:rowOff>
    </xdr:from>
    <xdr:to>
      <xdr:col>39</xdr:col>
      <xdr:colOff>246318</xdr:colOff>
      <xdr:row>151</xdr:row>
      <xdr:rowOff>53704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4201C9DE-6448-7205-A71A-9FC91E2DA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36</xdr:col>
      <xdr:colOff>656389</xdr:colOff>
      <xdr:row>136</xdr:row>
      <xdr:rowOff>125549</xdr:rowOff>
    </xdr:from>
    <xdr:to>
      <xdr:col>40</xdr:col>
      <xdr:colOff>243357</xdr:colOff>
      <xdr:row>140</xdr:row>
      <xdr:rowOff>387766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CFA1B393-2222-754A-F883-3F92C666C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173479</xdr:colOff>
      <xdr:row>102</xdr:row>
      <xdr:rowOff>87281</xdr:rowOff>
    </xdr:from>
    <xdr:to>
      <xdr:col>40</xdr:col>
      <xdr:colOff>67023</xdr:colOff>
      <xdr:row>106</xdr:row>
      <xdr:rowOff>375082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59A80697-E32D-7117-7213-F84A7F84B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36</xdr:col>
      <xdr:colOff>126540</xdr:colOff>
      <xdr:row>130</xdr:row>
      <xdr:rowOff>42244</xdr:rowOff>
    </xdr:from>
    <xdr:to>
      <xdr:col>40</xdr:col>
      <xdr:colOff>199378</xdr:colOff>
      <xdr:row>133</xdr:row>
      <xdr:rowOff>372543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E7919513-6913-8433-0DC5-CDE4437EF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36</xdr:col>
      <xdr:colOff>114912</xdr:colOff>
      <xdr:row>112</xdr:row>
      <xdr:rowOff>109903</xdr:rowOff>
    </xdr:from>
    <xdr:to>
      <xdr:col>40</xdr:col>
      <xdr:colOff>42074</xdr:colOff>
      <xdr:row>117</xdr:row>
      <xdr:rowOff>125591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21B1C575-4A64-F0C5-BB76-17FBFD549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36</xdr:col>
      <xdr:colOff>504158</xdr:colOff>
      <xdr:row>61</xdr:row>
      <xdr:rowOff>136965</xdr:rowOff>
    </xdr:from>
    <xdr:to>
      <xdr:col>39</xdr:col>
      <xdr:colOff>404892</xdr:colOff>
      <xdr:row>66</xdr:row>
      <xdr:rowOff>130241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153E6B12-8A09-4FC1-3B75-AAA273A26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36</xdr:col>
      <xdr:colOff>133095</xdr:colOff>
      <xdr:row>75</xdr:row>
      <xdr:rowOff>94298</xdr:rowOff>
    </xdr:from>
    <xdr:to>
      <xdr:col>40</xdr:col>
      <xdr:colOff>329198</xdr:colOff>
      <xdr:row>82</xdr:row>
      <xdr:rowOff>71888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50B5FA50-F763-E778-BE09-72BA06ECD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144090</xdr:colOff>
      <xdr:row>120</xdr:row>
      <xdr:rowOff>230841</xdr:rowOff>
    </xdr:from>
    <xdr:to>
      <xdr:col>40</xdr:col>
      <xdr:colOff>15223</xdr:colOff>
      <xdr:row>125</xdr:row>
      <xdr:rowOff>257735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96D6BF37-B772-A149-E40B-9B7FE5E02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34</xdr:col>
      <xdr:colOff>868455</xdr:colOff>
      <xdr:row>151</xdr:row>
      <xdr:rowOff>286871</xdr:rowOff>
    </xdr:from>
    <xdr:to>
      <xdr:col>38</xdr:col>
      <xdr:colOff>324970</xdr:colOff>
      <xdr:row>155</xdr:row>
      <xdr:rowOff>190500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A84BCAD8-0CFD-25A9-BFD5-0B233BE9BE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36</xdr:col>
      <xdr:colOff>155507</xdr:colOff>
      <xdr:row>33</xdr:row>
      <xdr:rowOff>318372</xdr:rowOff>
    </xdr:from>
    <xdr:to>
      <xdr:col>39</xdr:col>
      <xdr:colOff>669393</xdr:colOff>
      <xdr:row>38</xdr:row>
      <xdr:rowOff>50741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49E8EA40-94F7-8E9C-DD24-550936F78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37</xdr:col>
      <xdr:colOff>16173</xdr:colOff>
      <xdr:row>191</xdr:row>
      <xdr:rowOff>46897</xdr:rowOff>
    </xdr:from>
    <xdr:to>
      <xdr:col>40</xdr:col>
      <xdr:colOff>698147</xdr:colOff>
      <xdr:row>195</xdr:row>
      <xdr:rowOff>327931</xdr:rowOff>
    </xdr:to>
    <xdr:graphicFrame macro="">
      <xdr:nvGraphicFramePr>
        <xdr:cNvPr id="60" name="Graphique 59">
          <a:extLst>
            <a:ext uri="{FF2B5EF4-FFF2-40B4-BE49-F238E27FC236}">
              <a16:creationId xmlns:a16="http://schemas.microsoft.com/office/drawing/2014/main" id="{1A7944FA-D9B3-FCEA-B1D6-4C4D6FFE9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36</xdr:col>
      <xdr:colOff>146839</xdr:colOff>
      <xdr:row>48</xdr:row>
      <xdr:rowOff>51547</xdr:rowOff>
    </xdr:from>
    <xdr:to>
      <xdr:col>39</xdr:col>
      <xdr:colOff>466206</xdr:colOff>
      <xdr:row>53</xdr:row>
      <xdr:rowOff>89647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17187212-FFA6-7E3A-5FCD-A50401CC4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539890</xdr:colOff>
      <xdr:row>204</xdr:row>
      <xdr:rowOff>192571</xdr:rowOff>
    </xdr:from>
    <xdr:to>
      <xdr:col>40</xdr:col>
      <xdr:colOff>306153</xdr:colOff>
      <xdr:row>208</xdr:row>
      <xdr:rowOff>379519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E997BF5C-AA4C-EC90-7ECF-C3EBF0C12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0</xdr:colOff>
      <xdr:row>271</xdr:row>
      <xdr:rowOff>55528</xdr:rowOff>
    </xdr:from>
    <xdr:to>
      <xdr:col>18</xdr:col>
      <xdr:colOff>685451</xdr:colOff>
      <xdr:row>272</xdr:row>
      <xdr:rowOff>12065</xdr:rowOff>
    </xdr:to>
    <xdr:sp macro="" textlink="">
      <xdr:nvSpPr>
        <xdr:cNvPr id="25" name="Flèche : droite 24">
          <a:extLst>
            <a:ext uri="{FF2B5EF4-FFF2-40B4-BE49-F238E27FC236}">
              <a16:creationId xmlns:a16="http://schemas.microsoft.com/office/drawing/2014/main" id="{DC4E7F1B-59D5-4ADE-A193-2B48C8A2B5CC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280</xdr:row>
      <xdr:rowOff>55528</xdr:rowOff>
    </xdr:from>
    <xdr:to>
      <xdr:col>18</xdr:col>
      <xdr:colOff>685451</xdr:colOff>
      <xdr:row>281</xdr:row>
      <xdr:rowOff>12065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365236A5-0E40-4704-9554-C8C17F44140D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41" name="Flèche : droite 1">
          <a:extLst>
            <a:ext uri="{FF2B5EF4-FFF2-40B4-BE49-F238E27FC236}">
              <a16:creationId xmlns:a16="http://schemas.microsoft.com/office/drawing/2014/main" id="{F76BDFAF-DA8B-4BC6-B168-4E667EC5C1A1}"/>
            </a:ext>
          </a:extLst>
        </xdr:cNvPr>
        <xdr:cNvSpPr/>
      </xdr:nvSpPr>
      <xdr:spPr>
        <a:xfrm rot="20003215">
          <a:off x="19309080" y="4403014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54" name="Flèche : droite 2">
          <a:extLst>
            <a:ext uri="{FF2B5EF4-FFF2-40B4-BE49-F238E27FC236}">
              <a16:creationId xmlns:a16="http://schemas.microsoft.com/office/drawing/2014/main" id="{74347BC0-5254-486A-A438-90C7E9B58D9B}"/>
            </a:ext>
          </a:extLst>
        </xdr:cNvPr>
        <xdr:cNvSpPr/>
      </xdr:nvSpPr>
      <xdr:spPr>
        <a:xfrm rot="20003215">
          <a:off x="19309080" y="8917638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64" name="Flèche : droite 3">
          <a:extLst>
            <a:ext uri="{FF2B5EF4-FFF2-40B4-BE49-F238E27FC236}">
              <a16:creationId xmlns:a16="http://schemas.microsoft.com/office/drawing/2014/main" id="{B7385926-1D6A-45F2-A6D7-C02F6F13EA6C}"/>
            </a:ext>
          </a:extLst>
        </xdr:cNvPr>
        <xdr:cNvSpPr/>
      </xdr:nvSpPr>
      <xdr:spPr>
        <a:xfrm rot="20003215">
          <a:off x="19309080" y="12513386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65" name="Flèche : droite 4">
          <a:extLst>
            <a:ext uri="{FF2B5EF4-FFF2-40B4-BE49-F238E27FC236}">
              <a16:creationId xmlns:a16="http://schemas.microsoft.com/office/drawing/2014/main" id="{9EA76C86-36A3-4BFC-B4C0-45012286C64C}"/>
            </a:ext>
          </a:extLst>
        </xdr:cNvPr>
        <xdr:cNvSpPr/>
      </xdr:nvSpPr>
      <xdr:spPr>
        <a:xfrm rot="20003215">
          <a:off x="19309080" y="176376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6" name="Flèche : droite 5">
          <a:extLst>
            <a:ext uri="{FF2B5EF4-FFF2-40B4-BE49-F238E27FC236}">
              <a16:creationId xmlns:a16="http://schemas.microsoft.com/office/drawing/2014/main" id="{2D47A8C2-CBE9-4F5D-BE56-25B907432874}"/>
            </a:ext>
          </a:extLst>
        </xdr:cNvPr>
        <xdr:cNvSpPr/>
      </xdr:nvSpPr>
      <xdr:spPr>
        <a:xfrm rot="20003215">
          <a:off x="19309080" y="22076481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67" name="Flèche : droite 9">
          <a:extLst>
            <a:ext uri="{FF2B5EF4-FFF2-40B4-BE49-F238E27FC236}">
              <a16:creationId xmlns:a16="http://schemas.microsoft.com/office/drawing/2014/main" id="{388B6BF1-568B-4412-9F8E-1412E6310C31}"/>
            </a:ext>
          </a:extLst>
        </xdr:cNvPr>
        <xdr:cNvSpPr/>
      </xdr:nvSpPr>
      <xdr:spPr>
        <a:xfrm rot="20003215">
          <a:off x="19320285" y="39933281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68" name="Flèche : droite 10">
          <a:extLst>
            <a:ext uri="{FF2B5EF4-FFF2-40B4-BE49-F238E27FC236}">
              <a16:creationId xmlns:a16="http://schemas.microsoft.com/office/drawing/2014/main" id="{3540614F-4C79-4F00-BEF9-638BE84F16B0}"/>
            </a:ext>
          </a:extLst>
        </xdr:cNvPr>
        <xdr:cNvSpPr/>
      </xdr:nvSpPr>
      <xdr:spPr>
        <a:xfrm rot="20003215">
          <a:off x="19309080" y="4320405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69" name="Flèche : droite 11">
          <a:extLst>
            <a:ext uri="{FF2B5EF4-FFF2-40B4-BE49-F238E27FC236}">
              <a16:creationId xmlns:a16="http://schemas.microsoft.com/office/drawing/2014/main" id="{F9B64CFD-CEE7-4667-BAA2-02464D16296F}"/>
            </a:ext>
          </a:extLst>
        </xdr:cNvPr>
        <xdr:cNvSpPr/>
      </xdr:nvSpPr>
      <xdr:spPr>
        <a:xfrm rot="20003215">
          <a:off x="19309080" y="461494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70" name="Flèche : droite 12">
          <a:extLst>
            <a:ext uri="{FF2B5EF4-FFF2-40B4-BE49-F238E27FC236}">
              <a16:creationId xmlns:a16="http://schemas.microsoft.com/office/drawing/2014/main" id="{2D0D15C8-30C8-40DE-8B7E-5B4FCE05EB55}"/>
            </a:ext>
          </a:extLst>
        </xdr:cNvPr>
        <xdr:cNvSpPr/>
      </xdr:nvSpPr>
      <xdr:spPr>
        <a:xfrm rot="20003215">
          <a:off x="19320286" y="492861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71" name="Flèche : droite 13">
          <a:extLst>
            <a:ext uri="{FF2B5EF4-FFF2-40B4-BE49-F238E27FC236}">
              <a16:creationId xmlns:a16="http://schemas.microsoft.com/office/drawing/2014/main" id="{97CAB89A-DDE6-4271-B1D6-2E6108B3FE4D}"/>
            </a:ext>
          </a:extLst>
        </xdr:cNvPr>
        <xdr:cNvSpPr/>
      </xdr:nvSpPr>
      <xdr:spPr>
        <a:xfrm rot="20003215">
          <a:off x="19309080" y="5217772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72" name="Flèche : droite 14">
          <a:extLst>
            <a:ext uri="{FF2B5EF4-FFF2-40B4-BE49-F238E27FC236}">
              <a16:creationId xmlns:a16="http://schemas.microsoft.com/office/drawing/2014/main" id="{CE1C233D-035E-4E21-AC05-9BA8FD3F2D1E}"/>
            </a:ext>
          </a:extLst>
        </xdr:cNvPr>
        <xdr:cNvSpPr/>
      </xdr:nvSpPr>
      <xdr:spPr>
        <a:xfrm rot="20003215">
          <a:off x="19309080" y="55488840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73" name="Flèche : droite 17">
          <a:extLst>
            <a:ext uri="{FF2B5EF4-FFF2-40B4-BE49-F238E27FC236}">
              <a16:creationId xmlns:a16="http://schemas.microsoft.com/office/drawing/2014/main" id="{45A76C9A-BB07-488C-9CBE-1409FDD2380A}"/>
            </a:ext>
          </a:extLst>
        </xdr:cNvPr>
        <xdr:cNvSpPr/>
      </xdr:nvSpPr>
      <xdr:spPr>
        <a:xfrm rot="20003215">
          <a:off x="19309080" y="6859030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74" name="Flèche : droite 18">
          <a:extLst>
            <a:ext uri="{FF2B5EF4-FFF2-40B4-BE49-F238E27FC236}">
              <a16:creationId xmlns:a16="http://schemas.microsoft.com/office/drawing/2014/main" id="{EFCE57F8-D46B-4A56-9182-D1A2A7770EE9}"/>
            </a:ext>
          </a:extLst>
        </xdr:cNvPr>
        <xdr:cNvSpPr/>
      </xdr:nvSpPr>
      <xdr:spPr>
        <a:xfrm rot="20003215">
          <a:off x="19309080" y="72941327"/>
          <a:ext cx="685451" cy="42763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75" name="Flèche : droite 20">
          <a:extLst>
            <a:ext uri="{FF2B5EF4-FFF2-40B4-BE49-F238E27FC236}">
              <a16:creationId xmlns:a16="http://schemas.microsoft.com/office/drawing/2014/main" id="{912B69D9-0050-442E-990E-77DB68EAEE5B}"/>
            </a:ext>
          </a:extLst>
        </xdr:cNvPr>
        <xdr:cNvSpPr/>
      </xdr:nvSpPr>
      <xdr:spPr>
        <a:xfrm rot="20003215">
          <a:off x="19309080" y="76981272"/>
          <a:ext cx="685451" cy="38953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76" name="Flèche : droite 21">
          <a:extLst>
            <a:ext uri="{FF2B5EF4-FFF2-40B4-BE49-F238E27FC236}">
              <a16:creationId xmlns:a16="http://schemas.microsoft.com/office/drawing/2014/main" id="{EB22F682-CB5D-48A7-B489-64316B960FB2}"/>
            </a:ext>
          </a:extLst>
        </xdr:cNvPr>
        <xdr:cNvSpPr/>
      </xdr:nvSpPr>
      <xdr:spPr>
        <a:xfrm rot="20003215">
          <a:off x="19309080" y="80172208"/>
          <a:ext cx="685451" cy="4365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77" name="Flèche : droite 1">
          <a:extLst>
            <a:ext uri="{FF2B5EF4-FFF2-40B4-BE49-F238E27FC236}">
              <a16:creationId xmlns:a16="http://schemas.microsoft.com/office/drawing/2014/main" id="{203D50FF-EB85-45BC-9A0B-DC1D9EF6D9CB}"/>
            </a:ext>
          </a:extLst>
        </xdr:cNvPr>
        <xdr:cNvSpPr/>
      </xdr:nvSpPr>
      <xdr:spPr>
        <a:xfrm rot="20003215">
          <a:off x="20139660" y="3732454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78" name="Flèche : droite 2">
          <a:extLst>
            <a:ext uri="{FF2B5EF4-FFF2-40B4-BE49-F238E27FC236}">
              <a16:creationId xmlns:a16="http://schemas.microsoft.com/office/drawing/2014/main" id="{09C80642-B66A-4205-B9DA-4174954879C2}"/>
            </a:ext>
          </a:extLst>
        </xdr:cNvPr>
        <xdr:cNvSpPr/>
      </xdr:nvSpPr>
      <xdr:spPr>
        <a:xfrm rot="20003215">
          <a:off x="20139660" y="757651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79" name="Flèche : droite 3">
          <a:extLst>
            <a:ext uri="{FF2B5EF4-FFF2-40B4-BE49-F238E27FC236}">
              <a16:creationId xmlns:a16="http://schemas.microsoft.com/office/drawing/2014/main" id="{6CCAB735-DC1D-44F8-AE1C-6D61FDE0C036}"/>
            </a:ext>
          </a:extLst>
        </xdr:cNvPr>
        <xdr:cNvSpPr/>
      </xdr:nvSpPr>
      <xdr:spPr>
        <a:xfrm rot="20003215">
          <a:off x="20139660" y="10715066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80" name="Flèche : droite 4">
          <a:extLst>
            <a:ext uri="{FF2B5EF4-FFF2-40B4-BE49-F238E27FC236}">
              <a16:creationId xmlns:a16="http://schemas.microsoft.com/office/drawing/2014/main" id="{47F7B30A-3347-46CF-BB6D-817CDCE03853}"/>
            </a:ext>
          </a:extLst>
        </xdr:cNvPr>
        <xdr:cNvSpPr/>
      </xdr:nvSpPr>
      <xdr:spPr>
        <a:xfrm rot="20003215">
          <a:off x="20139660" y="1529826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81" name="Flèche : droite 5">
          <a:extLst>
            <a:ext uri="{FF2B5EF4-FFF2-40B4-BE49-F238E27FC236}">
              <a16:creationId xmlns:a16="http://schemas.microsoft.com/office/drawing/2014/main" id="{ECA0E2E0-3B06-4316-8621-65F5394AFFC7}"/>
            </a:ext>
          </a:extLst>
        </xdr:cNvPr>
        <xdr:cNvSpPr/>
      </xdr:nvSpPr>
      <xdr:spPr>
        <a:xfrm rot="20003215">
          <a:off x="20139660" y="1912754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82" name="Flèche : droite 9">
          <a:extLst>
            <a:ext uri="{FF2B5EF4-FFF2-40B4-BE49-F238E27FC236}">
              <a16:creationId xmlns:a16="http://schemas.microsoft.com/office/drawing/2014/main" id="{8939F3D5-B712-458F-90E9-EC3606DD2B60}"/>
            </a:ext>
          </a:extLst>
        </xdr:cNvPr>
        <xdr:cNvSpPr/>
      </xdr:nvSpPr>
      <xdr:spPr>
        <a:xfrm rot="20003215">
          <a:off x="20150865" y="3514030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83" name="Flèche : droite 10">
          <a:extLst>
            <a:ext uri="{FF2B5EF4-FFF2-40B4-BE49-F238E27FC236}">
              <a16:creationId xmlns:a16="http://schemas.microsoft.com/office/drawing/2014/main" id="{2CD40292-7A09-480E-B1C1-89432BB36AB7}"/>
            </a:ext>
          </a:extLst>
        </xdr:cNvPr>
        <xdr:cNvSpPr/>
      </xdr:nvSpPr>
      <xdr:spPr>
        <a:xfrm rot="20003215">
          <a:off x="20139660" y="37976737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84" name="Flèche : droite 11">
          <a:extLst>
            <a:ext uri="{FF2B5EF4-FFF2-40B4-BE49-F238E27FC236}">
              <a16:creationId xmlns:a16="http://schemas.microsoft.com/office/drawing/2014/main" id="{B785CBB3-277F-4BE9-BDAB-7C93AEE2016D}"/>
            </a:ext>
          </a:extLst>
        </xdr:cNvPr>
        <xdr:cNvSpPr/>
      </xdr:nvSpPr>
      <xdr:spPr>
        <a:xfrm rot="20003215">
          <a:off x="20139660" y="4059442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85" name="Flèche : droite 12">
          <a:extLst>
            <a:ext uri="{FF2B5EF4-FFF2-40B4-BE49-F238E27FC236}">
              <a16:creationId xmlns:a16="http://schemas.microsoft.com/office/drawing/2014/main" id="{CC1EA374-2A0C-4EA1-B6AF-2415ADC652D5}"/>
            </a:ext>
          </a:extLst>
        </xdr:cNvPr>
        <xdr:cNvSpPr/>
      </xdr:nvSpPr>
      <xdr:spPr>
        <a:xfrm rot="20003215">
          <a:off x="20150866" y="433425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86" name="Flèche : droite 14">
          <a:extLst>
            <a:ext uri="{FF2B5EF4-FFF2-40B4-BE49-F238E27FC236}">
              <a16:creationId xmlns:a16="http://schemas.microsoft.com/office/drawing/2014/main" id="{1D77F7FF-0303-43DC-BAB1-06FDE1D89095}"/>
            </a:ext>
          </a:extLst>
        </xdr:cNvPr>
        <xdr:cNvSpPr/>
      </xdr:nvSpPr>
      <xdr:spPr>
        <a:xfrm rot="20003215">
          <a:off x="20139660" y="48973740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87" name="Flèche : droite 17">
          <a:extLst>
            <a:ext uri="{FF2B5EF4-FFF2-40B4-BE49-F238E27FC236}">
              <a16:creationId xmlns:a16="http://schemas.microsoft.com/office/drawing/2014/main" id="{7D85D056-5430-409D-920A-16E6F2E2441C}"/>
            </a:ext>
          </a:extLst>
        </xdr:cNvPr>
        <xdr:cNvSpPr/>
      </xdr:nvSpPr>
      <xdr:spPr>
        <a:xfrm rot="20003215">
          <a:off x="20139660" y="6155704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88" name="Flèche : droite 18">
          <a:extLst>
            <a:ext uri="{FF2B5EF4-FFF2-40B4-BE49-F238E27FC236}">
              <a16:creationId xmlns:a16="http://schemas.microsoft.com/office/drawing/2014/main" id="{9BC488B5-53A5-409E-984B-95BFED5BDCC8}"/>
            </a:ext>
          </a:extLst>
        </xdr:cNvPr>
        <xdr:cNvSpPr/>
      </xdr:nvSpPr>
      <xdr:spPr>
        <a:xfrm rot="20003215">
          <a:off x="20139660" y="65428007"/>
          <a:ext cx="685451" cy="22189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89" name="Flèche : droite 20">
          <a:extLst>
            <a:ext uri="{FF2B5EF4-FFF2-40B4-BE49-F238E27FC236}">
              <a16:creationId xmlns:a16="http://schemas.microsoft.com/office/drawing/2014/main" id="{ABF481C7-6855-42EE-BED7-5B75C9AB0DA0}"/>
            </a:ext>
          </a:extLst>
        </xdr:cNvPr>
        <xdr:cNvSpPr/>
      </xdr:nvSpPr>
      <xdr:spPr>
        <a:xfrm rot="20003215">
          <a:off x="20139660" y="68797392"/>
          <a:ext cx="685451" cy="22189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90" name="Flèche : droite 21">
          <a:extLst>
            <a:ext uri="{FF2B5EF4-FFF2-40B4-BE49-F238E27FC236}">
              <a16:creationId xmlns:a16="http://schemas.microsoft.com/office/drawing/2014/main" id="{5AB899A3-22ED-42C7-A9F4-C9E31ACA34B3}"/>
            </a:ext>
          </a:extLst>
        </xdr:cNvPr>
        <xdr:cNvSpPr/>
      </xdr:nvSpPr>
      <xdr:spPr>
        <a:xfrm rot="20003215">
          <a:off x="20139660" y="7156160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RVLABRECHE\Dossier%20semaine%20commun\COMMANDES%20FERMES\COMMANDES%20FERMES%202023.xlsx" TargetMode="External"/><Relationship Id="rId1" Type="http://schemas.openxmlformats.org/officeDocument/2006/relationships/externalLinkPath" Target="file:///Z:\COMMANDES%20FERMES\COMMANDES%20FERMES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1"/>
      <sheetName val="S2"/>
      <sheetName val="S3"/>
      <sheetName val="S4"/>
      <sheetName val="S5 "/>
      <sheetName val="S6"/>
      <sheetName val="S7"/>
      <sheetName val="S8"/>
      <sheetName val="s09"/>
      <sheetName val="s10"/>
      <sheetName val="s11"/>
      <sheetName val="s12"/>
      <sheetName val="s13"/>
      <sheetName val="s14"/>
      <sheetName val="s15"/>
      <sheetName val="s16"/>
      <sheetName val="s17"/>
      <sheetName val="s18"/>
      <sheetName val="s19"/>
      <sheetName val="s20"/>
      <sheetName val="S21"/>
      <sheetName val="S22"/>
      <sheetName val="S23"/>
      <sheetName val="S24"/>
      <sheetName val="S25"/>
      <sheetName val="S26"/>
      <sheetName val="S27"/>
      <sheetName val="S28"/>
      <sheetName val="S29"/>
      <sheetName val="S30"/>
      <sheetName val="S31"/>
      <sheetName val="S32"/>
      <sheetName val="S33"/>
      <sheetName val="S34"/>
      <sheetName val="S35"/>
      <sheetName val="S36"/>
      <sheetName val="S37"/>
      <sheetName val="S38"/>
      <sheetName val="S39"/>
      <sheetName val="S40"/>
      <sheetName val="S41"/>
      <sheetName val="S42"/>
      <sheetName val="S43"/>
      <sheetName val="S44"/>
      <sheetName val="S45"/>
      <sheetName val="S46"/>
      <sheetName val="S47"/>
      <sheetName val="S48"/>
      <sheetName val="S49"/>
      <sheetName val="S50"/>
      <sheetName val="S51"/>
      <sheetName val="S52"/>
    </sheetNames>
    <sheetDataSet>
      <sheetData sheetId="0"/>
      <sheetData sheetId="1"/>
      <sheetData sheetId="2"/>
      <sheetData sheetId="3"/>
      <sheetData sheetId="4"/>
      <sheetData sheetId="5">
        <row r="15">
          <cell r="L15"/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jolaine" id="{1D7ED661-0EF8-48BC-BD42-0525380512B9}" userId="S-1-5-21-1703757308-2719513484-238072719-1614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81" dT="2019-11-25T12:21:53.42" personId="{1D7ED661-0EF8-48BC-BD42-0525380512B9}" id="{DC63ABF8-9125-4595-A219-E453CC175B90}">
    <text>1 mêlée = 95 kgs sec
2 mêlées = 195 kgs sec
3 mêlées = 295 kgs sec
--------------
1 mêlée = +/- 230 pièces</text>
  </threadedComment>
  <threadedComment ref="F87" dT="2019-11-25T12:21:53.42" personId="{1D7ED661-0EF8-48BC-BD42-0525380512B9}" id="{98441BD9-1684-4E96-8C51-FE5229F2B6CB}">
    <text>1 mêlée = 95 kgs sec
2 mêlées = 195 kgs sec
3 mêlées = 295 kgs sec
--------------
1 mêlée = +/- 230 pièces</text>
  </threadedComment>
  <threadedComment ref="F93" dT="2019-11-25T12:21:53.42" personId="{1D7ED661-0EF8-48BC-BD42-0525380512B9}" id="{24B40A94-13C3-4660-805C-133923DE9744}">
    <text>1 mêlée = 95 kgs sec
2 mêlées = 195 kgs sec
3 mêlées = 295 kgs sec
--------------
1 mêlée = +/- 230 pièces</text>
  </threadedComment>
  <threadedComment ref="F99" dT="2019-11-25T12:21:53.42" personId="{1D7ED661-0EF8-48BC-BD42-0525380512B9}" id="{3DCE5869-7FD7-4584-9DA3-FE543085EF5F}">
    <text>1 mêlée = 95 kgs sec
2 mêlées = 195 kgs sec
3 mêlées = 295 kgs sec
--------------
1 mêlée = +/- 230 pièces</text>
  </threadedComment>
  <threadedComment ref="F105" dT="2019-11-25T12:21:53.42" personId="{1D7ED661-0EF8-48BC-BD42-0525380512B9}" id="{C18F6CE3-B894-4719-BE3B-2E753F4137DC}">
    <text>1 mêlée = 95 kgs sec
2 mêlées = 195 kgs sec
3 mêlées = 295 kgs sec
--------------
1 mêlée = +/- 230 pièces</text>
  </threadedComment>
  <threadedComment ref="F110" dT="2019-11-25T12:21:53.42" personId="{1D7ED661-0EF8-48BC-BD42-0525380512B9}" id="{C18F6CE3-B894-4718-BE3B-2E753F4137DC}">
    <text>1 mêlée = 95 kgs sec
2 mêlées = 195 kgs sec
3 mêlées = 295 kgs sec
--------------
1 mêlée = +/- 230 pièces</text>
  </threadedComment>
  <threadedComment ref="F114" dT="2019-11-25T12:21:53.42" personId="{1D7ED661-0EF8-48BC-BD42-0525380512B9}" id="{06786C18-C642-4B3E-B341-2F413BCADEAE}">
    <text>1 mêlée = 95 kgs sec
2 mêlées = 195 kgs sec
3 mêlées = 295 kgs sec
--------------
1 mêlée = +/- 230 pièces</text>
  </threadedComment>
  <threadedComment ref="F118" dT="2019-11-25T12:21:53.42" personId="{1D7ED661-0EF8-48BC-BD42-0525380512B9}" id="{46D5B7EC-65DE-4CAF-8CE7-5117FC7EEBB5}">
    <text>1 mêlée = 95 kgs sec
2 mêlées = 195 kgs sec
3 mêlées = 295 kgs sec
--------------
1 mêlée = +/- 230 pièces</text>
  </threadedComment>
  <threadedComment ref="F122" dT="2019-11-25T12:21:53.42" personId="{1D7ED661-0EF8-48BC-BD42-0525380512B9}" id="{7F805418-9FFF-4A47-9E88-E74617C9088A}">
    <text>1 mêlée = 95 kgs sec
2 mêlées = 195 kgs sec
3 mêlées = 295 kgs sec
--------------
1 mêlée = +/- 230 pièces</text>
  </threadedComment>
  <threadedComment ref="F126" dT="2019-11-25T12:21:53.42" personId="{1D7ED661-0EF8-48BC-BD42-0525380512B9}" id="{55ABC9FD-7771-4837-BF31-C4BE2756A3EC}">
    <text>1 mêlée = 95 kgs sec
2 mêlées = 195 kgs sec
3 mêlées = 295 kgs sec
--------------
1 mêlée = +/- 230 pièces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DA078-D22B-4F05-A7B5-94AC866F8990}">
  <sheetPr codeName="Feuil8"/>
  <dimension ref="A1:G24"/>
  <sheetViews>
    <sheetView showGridLines="0" workbookViewId="0">
      <selection activeCell="A23" sqref="A23"/>
    </sheetView>
  </sheetViews>
  <sheetFormatPr defaultColWidth="11.44140625" defaultRowHeight="14.4"/>
  <cols>
    <col min="1" max="1" width="182.88671875" style="3" bestFit="1" customWidth="1"/>
    <col min="2" max="2" width="45" style="3" bestFit="1" customWidth="1"/>
    <col min="3" max="16384" width="11.44140625" style="3"/>
  </cols>
  <sheetData>
    <row r="1" spans="1:2">
      <c r="A1" s="1141" t="s">
        <v>815</v>
      </c>
      <c r="B1" s="1141" t="s">
        <v>824</v>
      </c>
    </row>
    <row r="3" spans="1:2">
      <c r="A3" s="1142" t="s">
        <v>333</v>
      </c>
    </row>
    <row r="4" spans="1:2">
      <c r="A4" s="3" t="s">
        <v>822</v>
      </c>
    </row>
    <row r="5" spans="1:2">
      <c r="A5" s="3" t="s">
        <v>823</v>
      </c>
      <c r="B5" s="3" t="s">
        <v>825</v>
      </c>
    </row>
    <row r="6" spans="1:2">
      <c r="A6" s="3" t="s">
        <v>819</v>
      </c>
    </row>
    <row r="7" spans="1:2">
      <c r="A7" s="3" t="s">
        <v>827</v>
      </c>
    </row>
    <row r="8" spans="1:2">
      <c r="A8" s="1142" t="s">
        <v>334</v>
      </c>
    </row>
    <row r="9" spans="1:2">
      <c r="A9" s="3" t="s">
        <v>819</v>
      </c>
    </row>
    <row r="10" spans="1:2">
      <c r="A10" s="3" t="s">
        <v>830</v>
      </c>
    </row>
    <row r="11" spans="1:2">
      <c r="A11" s="3" t="s">
        <v>831</v>
      </c>
    </row>
    <row r="12" spans="1:2">
      <c r="A12" s="3" t="s">
        <v>821</v>
      </c>
      <c r="B12" s="3" t="s">
        <v>826</v>
      </c>
    </row>
    <row r="13" spans="1:2">
      <c r="A13" s="1142" t="s">
        <v>816</v>
      </c>
    </row>
    <row r="14" spans="1:2">
      <c r="A14" s="3" t="s">
        <v>819</v>
      </c>
    </row>
    <row r="15" spans="1:2">
      <c r="A15" s="3" t="s">
        <v>832</v>
      </c>
    </row>
    <row r="16" spans="1:2">
      <c r="A16" s="1142" t="s">
        <v>817</v>
      </c>
    </row>
    <row r="17" spans="1:7">
      <c r="A17" s="3" t="s">
        <v>819</v>
      </c>
    </row>
    <row r="18" spans="1:7">
      <c r="A18" s="3" t="s">
        <v>833</v>
      </c>
    </row>
    <row r="19" spans="1:7">
      <c r="A19" s="1142" t="s">
        <v>818</v>
      </c>
    </row>
    <row r="20" spans="1:7" ht="15.6">
      <c r="A20" s="3" t="s">
        <v>820</v>
      </c>
      <c r="C20" s="64"/>
      <c r="D20" s="64"/>
      <c r="E20" s="64"/>
      <c r="F20" s="64"/>
      <c r="G20" s="64"/>
    </row>
    <row r="21" spans="1:7" ht="15.6">
      <c r="A21" s="3" t="s">
        <v>829</v>
      </c>
      <c r="C21" s="64"/>
      <c r="D21" s="64"/>
      <c r="E21" s="64"/>
      <c r="F21" s="64"/>
      <c r="G21" s="64"/>
    </row>
    <row r="22" spans="1:7" ht="15.6">
      <c r="A22" s="3" t="s">
        <v>828</v>
      </c>
      <c r="C22" s="64"/>
      <c r="D22" s="64"/>
      <c r="E22" s="64"/>
      <c r="F22" s="64"/>
      <c r="G22" s="64"/>
    </row>
    <row r="23" spans="1:7" ht="15.6">
      <c r="C23" s="64"/>
      <c r="D23" s="64"/>
      <c r="E23" s="64"/>
      <c r="F23" s="64"/>
      <c r="G23" s="64"/>
    </row>
    <row r="24" spans="1:7" ht="15.6">
      <c r="C24" s="64"/>
      <c r="D24" s="64"/>
      <c r="E24" s="64"/>
      <c r="F24" s="64"/>
      <c r="G24" s="6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84E2-F761-4DE0-9020-8E39AD86B347}">
  <sheetPr codeName="Feuil1">
    <pageSetUpPr fitToPage="1"/>
  </sheetPr>
  <dimension ref="A1:AP140"/>
  <sheetViews>
    <sheetView showGridLines="0" topLeftCell="Q1" zoomScale="70" zoomScaleNormal="70" workbookViewId="0">
      <pane ySplit="3" topLeftCell="A115" activePane="bottomLeft" state="frozen"/>
      <selection pane="bottomLeft" activeCell="AK128" sqref="AK128"/>
    </sheetView>
  </sheetViews>
  <sheetFormatPr defaultColWidth="11.44140625" defaultRowHeight="21"/>
  <cols>
    <col min="1" max="1" width="13.6640625" style="8" customWidth="1"/>
    <col min="2" max="2" width="41.88671875" style="8" customWidth="1"/>
    <col min="3" max="3" width="17.33203125" style="471" customWidth="1"/>
    <col min="4" max="4" width="23.109375" style="472" customWidth="1"/>
    <col min="5" max="5" width="22.6640625" style="473" customWidth="1"/>
    <col min="6" max="6" width="12.109375" style="469" customWidth="1"/>
    <col min="7" max="7" width="18.5546875" style="560" customWidth="1"/>
    <col min="8" max="8" width="14.5546875" style="471" customWidth="1"/>
    <col min="9" max="9" width="1.109375" style="17" customWidth="1"/>
    <col min="10" max="11" width="11.44140625" style="17"/>
    <col min="12" max="12" width="16.33203125" style="17" customWidth="1"/>
    <col min="13" max="13" width="41.88671875" style="150" customWidth="1"/>
    <col min="14" max="14" width="15.109375" style="150" bestFit="1" customWidth="1"/>
    <col min="15" max="15" width="15.88671875" style="871" customWidth="1"/>
    <col min="16" max="18" width="15.88671875" style="8" customWidth="1"/>
    <col min="19" max="21" width="11.44140625" style="8"/>
    <col min="22" max="22" width="15.6640625" style="8" customWidth="1"/>
    <col min="23" max="25" width="11.44140625" style="8"/>
    <col min="26" max="26" width="13.5546875" style="8" customWidth="1"/>
    <col min="27" max="27" width="13.33203125" style="8" customWidth="1"/>
    <col min="28" max="36" width="11.44140625" style="8"/>
    <col min="37" max="37" width="16.6640625" style="8" bestFit="1" customWidth="1"/>
    <col min="38" max="16384" width="11.44140625" style="8"/>
  </cols>
  <sheetData>
    <row r="1" spans="1:19" s="1" customFormat="1" ht="22.5" customHeight="1">
      <c r="A1" s="1209" t="s">
        <v>0</v>
      </c>
      <c r="B1" s="1208" t="s">
        <v>37</v>
      </c>
      <c r="C1" s="1206" t="s">
        <v>8</v>
      </c>
      <c r="D1" s="1203" t="s">
        <v>11</v>
      </c>
      <c r="E1" s="1201" t="s">
        <v>1</v>
      </c>
      <c r="F1" s="1184" t="s">
        <v>9</v>
      </c>
      <c r="G1" s="1184" t="s">
        <v>10</v>
      </c>
      <c r="H1" s="1184" t="s">
        <v>224</v>
      </c>
      <c r="I1" s="196"/>
      <c r="J1" s="1186" t="s">
        <v>222</v>
      </c>
      <c r="K1" s="1186"/>
      <c r="L1" s="1186"/>
      <c r="M1" s="1193" t="s">
        <v>14</v>
      </c>
      <c r="N1" s="1199" t="s">
        <v>535</v>
      </c>
    </row>
    <row r="2" spans="1:19" s="1" customFormat="1" ht="87.75" customHeight="1" thickBot="1">
      <c r="A2" s="1209"/>
      <c r="B2" s="1208"/>
      <c r="C2" s="1207"/>
      <c r="D2" s="1204"/>
      <c r="E2" s="1202"/>
      <c r="F2" s="1185"/>
      <c r="G2" s="1185"/>
      <c r="H2" s="1185"/>
      <c r="I2" s="196"/>
      <c r="J2" s="234" t="s">
        <v>12</v>
      </c>
      <c r="K2" s="234" t="s">
        <v>13</v>
      </c>
      <c r="L2" s="234" t="s">
        <v>17</v>
      </c>
      <c r="M2" s="1194"/>
      <c r="N2" s="1200"/>
      <c r="P2" s="386"/>
      <c r="Q2" s="387"/>
      <c r="R2" s="387"/>
      <c r="S2" s="101"/>
    </row>
    <row r="3" spans="1:19" ht="23.25" customHeight="1" thickBot="1">
      <c r="A3" s="235"/>
      <c r="B3" s="42" t="s">
        <v>536</v>
      </c>
      <c r="C3" s="456"/>
      <c r="D3" s="516"/>
      <c r="E3" s="516" t="s">
        <v>885</v>
      </c>
      <c r="F3" s="455"/>
      <c r="G3" s="555" t="s">
        <v>35</v>
      </c>
      <c r="H3" s="489"/>
      <c r="I3" s="228"/>
      <c r="J3" s="50"/>
      <c r="K3" s="203">
        <v>20</v>
      </c>
      <c r="L3" s="227" t="s">
        <v>38</v>
      </c>
      <c r="M3" s="236"/>
      <c r="N3" s="388" t="s">
        <v>537</v>
      </c>
      <c r="P3" s="328"/>
      <c r="Q3" s="326"/>
      <c r="R3" s="326"/>
    </row>
    <row r="4" spans="1:19">
      <c r="A4" s="48">
        <v>197</v>
      </c>
      <c r="B4" s="14" t="s">
        <v>550</v>
      </c>
      <c r="C4" s="479" t="s">
        <v>586</v>
      </c>
      <c r="D4" s="480" t="s">
        <v>588</v>
      </c>
      <c r="E4" s="462" t="s">
        <v>589</v>
      </c>
      <c r="F4" s="463"/>
      <c r="G4" s="468">
        <f>H4*0.2</f>
        <v>91.4</v>
      </c>
      <c r="H4" s="556">
        <v>457</v>
      </c>
      <c r="I4" s="171"/>
      <c r="J4" s="27">
        <v>1187</v>
      </c>
      <c r="K4" s="137">
        <v>59</v>
      </c>
      <c r="L4" s="24">
        <v>7</v>
      </c>
      <c r="M4" s="46"/>
      <c r="O4" s="1070"/>
      <c r="P4" s="328"/>
      <c r="Q4" s="277"/>
    </row>
    <row r="5" spans="1:19">
      <c r="A5" s="11" t="s">
        <v>3</v>
      </c>
      <c r="B5" s="13"/>
      <c r="C5" s="479" t="s">
        <v>598</v>
      </c>
      <c r="D5" s="480" t="s">
        <v>488</v>
      </c>
      <c r="E5" s="462" t="s">
        <v>599</v>
      </c>
      <c r="F5" s="463">
        <v>600</v>
      </c>
      <c r="G5" s="468">
        <v>435.8</v>
      </c>
      <c r="H5" s="556">
        <f>G5/0.2</f>
        <v>2179</v>
      </c>
      <c r="I5" s="171"/>
      <c r="J5" s="27">
        <v>2179</v>
      </c>
      <c r="K5" s="137">
        <v>108</v>
      </c>
      <c r="L5" s="24">
        <v>19</v>
      </c>
      <c r="M5" s="46"/>
      <c r="P5" s="328"/>
      <c r="Q5" s="277"/>
      <c r="R5" s="277"/>
    </row>
    <row r="6" spans="1:19" ht="23.25" customHeight="1">
      <c r="A6" s="48" t="s">
        <v>4</v>
      </c>
      <c r="B6" s="13"/>
      <c r="C6" s="479" t="s">
        <v>682</v>
      </c>
      <c r="D6" s="480" t="s">
        <v>683</v>
      </c>
      <c r="E6" s="462" t="s">
        <v>684</v>
      </c>
      <c r="F6" s="463">
        <v>300</v>
      </c>
      <c r="G6" s="468">
        <v>320</v>
      </c>
      <c r="H6" s="556">
        <f>G6/0.2</f>
        <v>1600</v>
      </c>
      <c r="I6" s="171"/>
      <c r="J6" s="27">
        <v>1600</v>
      </c>
      <c r="K6" s="137">
        <v>80</v>
      </c>
      <c r="L6" s="24"/>
      <c r="M6" s="46"/>
      <c r="O6" s="1071"/>
      <c r="P6" s="327"/>
      <c r="Q6" s="277"/>
      <c r="R6" s="277"/>
    </row>
    <row r="7" spans="1:19">
      <c r="A7" s="11" t="s">
        <v>5</v>
      </c>
      <c r="B7" s="13"/>
      <c r="C7" s="479" t="s">
        <v>682</v>
      </c>
      <c r="D7" s="480" t="s">
        <v>685</v>
      </c>
      <c r="E7" s="462" t="s">
        <v>686</v>
      </c>
      <c r="F7" s="463"/>
      <c r="G7" s="468">
        <v>112</v>
      </c>
      <c r="H7" s="556">
        <f>G7/0.2</f>
        <v>560</v>
      </c>
      <c r="I7" s="171"/>
      <c r="J7" s="27">
        <v>560</v>
      </c>
      <c r="K7" s="137">
        <v>28</v>
      </c>
      <c r="L7" s="24"/>
      <c r="M7" s="46"/>
      <c r="O7" s="1071"/>
    </row>
    <row r="8" spans="1:19">
      <c r="A8" s="11" t="s">
        <v>6</v>
      </c>
      <c r="B8" s="13"/>
      <c r="C8" s="479" t="s">
        <v>687</v>
      </c>
      <c r="D8" s="480" t="s">
        <v>520</v>
      </c>
      <c r="E8" s="462" t="s">
        <v>688</v>
      </c>
      <c r="F8" s="463">
        <v>900</v>
      </c>
      <c r="G8" s="468">
        <v>657.2</v>
      </c>
      <c r="H8" s="556">
        <f>G8/0.2</f>
        <v>3286</v>
      </c>
      <c r="I8" s="171"/>
      <c r="J8" s="27">
        <v>3286</v>
      </c>
      <c r="K8" s="137">
        <v>164</v>
      </c>
      <c r="L8" s="24">
        <v>6</v>
      </c>
      <c r="M8" s="46"/>
      <c r="O8" s="1071"/>
    </row>
    <row r="9" spans="1:19">
      <c r="A9" s="11" t="s">
        <v>7</v>
      </c>
      <c r="B9" s="13"/>
      <c r="C9" s="479"/>
      <c r="D9" s="480"/>
      <c r="E9" s="462"/>
      <c r="F9" s="463"/>
      <c r="G9" s="468">
        <f t="shared" ref="G9:G17" si="0">J9*0.2</f>
        <v>0</v>
      </c>
      <c r="H9" s="556">
        <f t="shared" ref="H9:H17" si="1">G9/0.2</f>
        <v>0</v>
      </c>
      <c r="I9" s="171"/>
      <c r="J9" s="27">
        <f t="shared" ref="J9:J17" si="2">(K9*$K$3)+L9</f>
        <v>0</v>
      </c>
      <c r="K9" s="137"/>
      <c r="L9" s="24"/>
      <c r="M9" s="46"/>
    </row>
    <row r="10" spans="1:19" ht="24" customHeight="1">
      <c r="A10" s="11"/>
      <c r="B10" s="13"/>
      <c r="C10" s="479"/>
      <c r="D10" s="480"/>
      <c r="E10" s="462"/>
      <c r="F10" s="463"/>
      <c r="G10" s="468">
        <f t="shared" si="0"/>
        <v>0</v>
      </c>
      <c r="H10" s="556">
        <f t="shared" si="1"/>
        <v>0</v>
      </c>
      <c r="I10" s="171"/>
      <c r="J10" s="27">
        <f t="shared" si="2"/>
        <v>0</v>
      </c>
      <c r="K10" s="137"/>
      <c r="L10" s="24"/>
      <c r="M10" s="46"/>
      <c r="O10" s="1071"/>
    </row>
    <row r="11" spans="1:19">
      <c r="A11" s="11"/>
      <c r="B11" s="13"/>
      <c r="C11" s="479"/>
      <c r="D11" s="480"/>
      <c r="E11" s="462"/>
      <c r="F11" s="463"/>
      <c r="G11" s="468">
        <f t="shared" si="0"/>
        <v>0</v>
      </c>
      <c r="H11" s="556">
        <f t="shared" si="1"/>
        <v>0</v>
      </c>
      <c r="I11" s="171"/>
      <c r="J11" s="27">
        <f t="shared" si="2"/>
        <v>0</v>
      </c>
      <c r="K11" s="137"/>
      <c r="L11" s="24"/>
      <c r="M11" s="46"/>
    </row>
    <row r="12" spans="1:19" ht="24.75" customHeight="1">
      <c r="A12" s="11"/>
      <c r="B12" s="13"/>
      <c r="C12" s="479"/>
      <c r="D12" s="480"/>
      <c r="E12" s="462"/>
      <c r="F12" s="463"/>
      <c r="G12" s="468">
        <f t="shared" si="0"/>
        <v>0</v>
      </c>
      <c r="H12" s="556">
        <f t="shared" si="1"/>
        <v>0</v>
      </c>
      <c r="I12" s="171"/>
      <c r="J12" s="27">
        <f t="shared" si="2"/>
        <v>0</v>
      </c>
      <c r="K12" s="137"/>
      <c r="L12" s="24"/>
      <c r="M12" s="46"/>
    </row>
    <row r="13" spans="1:19">
      <c r="A13" s="11"/>
      <c r="B13" s="13"/>
      <c r="C13" s="479"/>
      <c r="D13" s="480"/>
      <c r="E13" s="462"/>
      <c r="F13" s="463"/>
      <c r="G13" s="468">
        <f t="shared" si="0"/>
        <v>0</v>
      </c>
      <c r="H13" s="556">
        <f t="shared" si="1"/>
        <v>0</v>
      </c>
      <c r="I13" s="171"/>
      <c r="J13" s="27">
        <f t="shared" si="2"/>
        <v>0</v>
      </c>
      <c r="K13" s="137"/>
      <c r="L13" s="24"/>
      <c r="M13" s="46"/>
      <c r="O13" s="1071"/>
    </row>
    <row r="14" spans="1:19">
      <c r="A14" s="11"/>
      <c r="B14" s="13"/>
      <c r="C14" s="479"/>
      <c r="D14" s="480"/>
      <c r="E14" s="462"/>
      <c r="F14" s="463"/>
      <c r="G14" s="468">
        <f t="shared" si="0"/>
        <v>0</v>
      </c>
      <c r="H14" s="556">
        <f t="shared" si="1"/>
        <v>0</v>
      </c>
      <c r="I14" s="171"/>
      <c r="J14" s="27">
        <f t="shared" si="2"/>
        <v>0</v>
      </c>
      <c r="K14" s="137"/>
      <c r="L14" s="24"/>
      <c r="M14" s="46"/>
    </row>
    <row r="15" spans="1:19">
      <c r="A15" s="11"/>
      <c r="B15" s="13"/>
      <c r="C15" s="479"/>
      <c r="D15" s="480"/>
      <c r="E15" s="462"/>
      <c r="F15" s="463"/>
      <c r="G15" s="468">
        <f t="shared" si="0"/>
        <v>0</v>
      </c>
      <c r="H15" s="556">
        <f t="shared" si="1"/>
        <v>0</v>
      </c>
      <c r="I15" s="171"/>
      <c r="J15" s="27">
        <f t="shared" si="2"/>
        <v>0</v>
      </c>
      <c r="K15" s="137"/>
      <c r="L15" s="24"/>
      <c r="M15" s="46"/>
    </row>
    <row r="16" spans="1:19">
      <c r="A16" s="11"/>
      <c r="B16" s="13"/>
      <c r="C16" s="479"/>
      <c r="D16" s="480"/>
      <c r="E16" s="462"/>
      <c r="F16" s="463"/>
      <c r="G16" s="468">
        <f t="shared" si="0"/>
        <v>0</v>
      </c>
      <c r="H16" s="556">
        <f t="shared" si="1"/>
        <v>0</v>
      </c>
      <c r="I16" s="171"/>
      <c r="J16" s="27">
        <f t="shared" si="2"/>
        <v>0</v>
      </c>
      <c r="K16" s="137"/>
      <c r="L16" s="24"/>
      <c r="M16" s="46"/>
    </row>
    <row r="17" spans="1:42">
      <c r="A17" s="11"/>
      <c r="B17" s="13"/>
      <c r="C17" s="479"/>
      <c r="D17" s="480"/>
      <c r="E17" s="462"/>
      <c r="F17" s="463"/>
      <c r="G17" s="468">
        <f t="shared" si="0"/>
        <v>0</v>
      </c>
      <c r="H17" s="556">
        <f t="shared" si="1"/>
        <v>0</v>
      </c>
      <c r="I17" s="171"/>
      <c r="J17" s="27">
        <f t="shared" si="2"/>
        <v>0</v>
      </c>
      <c r="K17" s="137"/>
      <c r="L17" s="24"/>
      <c r="M17" s="46"/>
    </row>
    <row r="18" spans="1:42" ht="22.5" customHeight="1">
      <c r="A18" s="11"/>
      <c r="B18" s="13"/>
      <c r="C18" s="479"/>
      <c r="D18" s="480"/>
      <c r="E18" s="462"/>
      <c r="F18" s="463"/>
      <c r="G18" s="468">
        <f t="shared" ref="G18:G19" si="3">J18*0.2</f>
        <v>0</v>
      </c>
      <c r="H18" s="556">
        <f t="shared" ref="H18:H19" si="4">G18/0.2</f>
        <v>0</v>
      </c>
      <c r="I18" s="171"/>
      <c r="J18" s="27">
        <f t="shared" ref="J18:J19" si="5">(K18*$K$3)+L18</f>
        <v>0</v>
      </c>
      <c r="K18" s="137"/>
      <c r="L18" s="24"/>
      <c r="M18" s="46"/>
    </row>
    <row r="19" spans="1:42">
      <c r="A19" s="11"/>
      <c r="B19" s="13"/>
      <c r="C19" s="479"/>
      <c r="D19" s="480"/>
      <c r="E19" s="462"/>
      <c r="F19" s="463"/>
      <c r="G19" s="468">
        <f t="shared" si="3"/>
        <v>0</v>
      </c>
      <c r="H19" s="556">
        <f t="shared" si="4"/>
        <v>0</v>
      </c>
      <c r="I19" s="171"/>
      <c r="J19" s="27">
        <f t="shared" si="5"/>
        <v>0</v>
      </c>
      <c r="K19" s="137"/>
      <c r="L19" s="24"/>
      <c r="M19" s="46"/>
    </row>
    <row r="20" spans="1:42">
      <c r="A20" s="11"/>
      <c r="B20" s="13"/>
      <c r="C20" s="479"/>
      <c r="D20" s="480"/>
      <c r="E20" s="462"/>
      <c r="F20" s="463"/>
      <c r="G20" s="468">
        <f t="shared" ref="G20:G21" si="6">J20*0.2</f>
        <v>0</v>
      </c>
      <c r="H20" s="556">
        <f t="shared" ref="H20:H21" si="7">G20/0.2</f>
        <v>0</v>
      </c>
      <c r="I20" s="171"/>
      <c r="J20" s="27">
        <f t="shared" ref="J20:J21" si="8">(K20*$K$3)+L20</f>
        <v>0</v>
      </c>
      <c r="K20" s="137"/>
      <c r="L20" s="24"/>
      <c r="M20" s="46"/>
    </row>
    <row r="21" spans="1:42" ht="21.6" thickBot="1">
      <c r="A21" s="11"/>
      <c r="B21" s="13"/>
      <c r="C21" s="479"/>
      <c r="D21" s="480"/>
      <c r="E21" s="462"/>
      <c r="F21" s="463"/>
      <c r="G21" s="468">
        <f t="shared" si="6"/>
        <v>0</v>
      </c>
      <c r="H21" s="556">
        <f t="shared" si="7"/>
        <v>0</v>
      </c>
      <c r="I21" s="171"/>
      <c r="J21" s="27">
        <f t="shared" si="8"/>
        <v>0</v>
      </c>
      <c r="K21" s="137"/>
      <c r="L21" s="24"/>
      <c r="M21" s="46"/>
    </row>
    <row r="22" spans="1:42" ht="39" customHeight="1" thickBot="1">
      <c r="A22" s="11"/>
      <c r="B22" s="13"/>
      <c r="C22" s="479"/>
      <c r="D22" s="480"/>
      <c r="E22" s="462"/>
      <c r="F22" s="463"/>
      <c r="G22" s="468">
        <f t="shared" ref="G22:G25" si="9">J22*0.2</f>
        <v>0</v>
      </c>
      <c r="H22" s="556">
        <f t="shared" ref="H22:H25" si="10">G22/0.2</f>
        <v>0</v>
      </c>
      <c r="I22" s="171"/>
      <c r="J22" s="27">
        <f t="shared" ref="J22:J25" si="11">(K22*$K$3)+L22</f>
        <v>0</v>
      </c>
      <c r="K22" s="137"/>
      <c r="L22" s="24"/>
      <c r="M22" s="46"/>
      <c r="AF22" s="961"/>
      <c r="AG22" s="1224" t="s">
        <v>366</v>
      </c>
      <c r="AH22" s="1225"/>
      <c r="AI22" s="1225"/>
      <c r="AJ22" s="1226"/>
    </row>
    <row r="23" spans="1:42" ht="24" customHeight="1" thickBot="1">
      <c r="A23" s="11"/>
      <c r="B23" s="13"/>
      <c r="C23" s="479"/>
      <c r="D23" s="480"/>
      <c r="E23" s="462"/>
      <c r="F23" s="463"/>
      <c r="G23" s="468">
        <f t="shared" si="9"/>
        <v>0</v>
      </c>
      <c r="H23" s="556">
        <f t="shared" si="10"/>
        <v>0</v>
      </c>
      <c r="I23" s="171"/>
      <c r="J23" s="27">
        <f t="shared" si="11"/>
        <v>0</v>
      </c>
      <c r="K23" s="137"/>
      <c r="L23" s="24"/>
      <c r="M23" s="46"/>
      <c r="Y23" s="1234" t="s">
        <v>270</v>
      </c>
      <c r="Z23" s="1235"/>
      <c r="AA23" s="1238" t="s">
        <v>271</v>
      </c>
      <c r="AB23" s="319"/>
      <c r="AC23" s="321"/>
      <c r="AD23" s="321"/>
      <c r="AG23" s="1227"/>
      <c r="AH23" s="1228"/>
      <c r="AI23" s="1228"/>
      <c r="AJ23" s="1229"/>
    </row>
    <row r="24" spans="1:42" ht="40.5" customHeight="1" thickTop="1" thickBot="1">
      <c r="A24" s="11"/>
      <c r="B24" s="13"/>
      <c r="C24" s="479"/>
      <c r="D24" s="480"/>
      <c r="E24" s="462"/>
      <c r="F24" s="463"/>
      <c r="G24" s="468">
        <f t="shared" si="9"/>
        <v>0</v>
      </c>
      <c r="H24" s="556">
        <f t="shared" si="10"/>
        <v>0</v>
      </c>
      <c r="I24" s="171"/>
      <c r="J24" s="27">
        <f t="shared" si="11"/>
        <v>0</v>
      </c>
      <c r="K24" s="137"/>
      <c r="L24" s="24"/>
      <c r="M24" s="46"/>
      <c r="O24" s="1197" t="s">
        <v>2</v>
      </c>
      <c r="P24" s="1197"/>
      <c r="Q24" s="1198"/>
      <c r="R24" s="56" t="s">
        <v>262</v>
      </c>
      <c r="T24" s="1168" t="s">
        <v>268</v>
      </c>
      <c r="U24" s="1169"/>
      <c r="V24" s="1169"/>
      <c r="W24" s="1170"/>
      <c r="Y24" s="1236"/>
      <c r="Z24" s="1237"/>
      <c r="AA24" s="1239"/>
      <c r="AB24" s="319"/>
      <c r="AC24" s="1240" t="s">
        <v>272</v>
      </c>
      <c r="AD24" s="1241"/>
      <c r="AE24" s="320"/>
      <c r="AF24" s="961"/>
      <c r="AG24" s="960" t="s">
        <v>679</v>
      </c>
      <c r="AH24" s="960" t="s">
        <v>680</v>
      </c>
      <c r="AI24" s="1003" t="s">
        <v>268</v>
      </c>
      <c r="AJ24" s="959" t="s">
        <v>681</v>
      </c>
      <c r="AK24" s="8" t="s">
        <v>609</v>
      </c>
    </row>
    <row r="25" spans="1:42" ht="22.2" thickTop="1" thickBot="1">
      <c r="A25" s="11"/>
      <c r="B25" s="13"/>
      <c r="C25" s="479"/>
      <c r="D25" s="480"/>
      <c r="E25" s="462"/>
      <c r="F25" s="463"/>
      <c r="G25" s="468">
        <f t="shared" si="9"/>
        <v>0</v>
      </c>
      <c r="H25" s="556">
        <f t="shared" si="10"/>
        <v>0</v>
      </c>
      <c r="I25" s="171"/>
      <c r="J25" s="27">
        <f t="shared" si="11"/>
        <v>0</v>
      </c>
      <c r="K25" s="137"/>
      <c r="L25" s="24"/>
      <c r="M25" s="46"/>
      <c r="O25" s="1190" t="s">
        <v>298</v>
      </c>
      <c r="P25" s="1191"/>
      <c r="Q25" s="1192"/>
      <c r="R25" s="1112">
        <v>320</v>
      </c>
      <c r="S25" s="150"/>
      <c r="T25" s="1165" t="s">
        <v>299</v>
      </c>
      <c r="U25" s="1166"/>
      <c r="V25" s="1167"/>
      <c r="W25" s="309">
        <v>232</v>
      </c>
      <c r="Y25" s="1182">
        <f>R25+W25</f>
        <v>552</v>
      </c>
      <c r="Z25" s="1183"/>
      <c r="AA25" s="318">
        <v>98</v>
      </c>
      <c r="AC25" s="1230">
        <f>Y25/AA25</f>
        <v>5.6326530612244898</v>
      </c>
      <c r="AD25" s="1231"/>
      <c r="AG25" s="1004">
        <v>4.0816326530612246</v>
      </c>
      <c r="AH25" s="1005">
        <v>2.2857142857142856</v>
      </c>
      <c r="AI25" s="1005">
        <v>0.12244897959183673</v>
      </c>
      <c r="AJ25" s="1001">
        <v>5.6326530612244898</v>
      </c>
      <c r="AK25" s="1097">
        <f>AVERAGE(AG25:AJ25)</f>
        <v>3.0306122448979593</v>
      </c>
      <c r="AL25" s="229"/>
    </row>
    <row r="26" spans="1:42">
      <c r="A26" s="11"/>
      <c r="B26" s="13"/>
      <c r="C26" s="479"/>
      <c r="D26" s="480"/>
      <c r="E26" s="462"/>
      <c r="F26" s="463"/>
      <c r="G26" s="468">
        <f t="shared" ref="G26:G27" si="12">J26*0.2</f>
        <v>0</v>
      </c>
      <c r="H26" s="556">
        <f t="shared" ref="H26:H27" si="13">G26/0.2</f>
        <v>0</v>
      </c>
      <c r="I26" s="171"/>
      <c r="J26" s="27">
        <f t="shared" ref="J26:J27" si="14">(K26*$K$3)+L26</f>
        <v>0</v>
      </c>
      <c r="K26" s="137"/>
      <c r="L26" s="24"/>
      <c r="M26" s="46"/>
      <c r="O26" s="1165" t="s">
        <v>299</v>
      </c>
      <c r="P26" s="1166"/>
      <c r="Q26" s="1167"/>
      <c r="R26" s="1114"/>
      <c r="Y26" s="1242"/>
      <c r="Z26" s="1243"/>
      <c r="AA26" s="332">
        <v>98.53</v>
      </c>
    </row>
    <row r="27" spans="1:42" ht="21.6" thickBot="1">
      <c r="A27" s="11"/>
      <c r="B27" s="13"/>
      <c r="C27" s="479"/>
      <c r="D27" s="480"/>
      <c r="E27" s="462"/>
      <c r="F27" s="463"/>
      <c r="G27" s="468">
        <f t="shared" si="12"/>
        <v>0</v>
      </c>
      <c r="H27" s="556">
        <f t="shared" si="13"/>
        <v>0</v>
      </c>
      <c r="I27" s="171"/>
      <c r="J27" s="27">
        <f t="shared" si="14"/>
        <v>0</v>
      </c>
      <c r="K27" s="137"/>
      <c r="L27" s="24"/>
      <c r="M27" s="46"/>
      <c r="O27" s="1187" t="s">
        <v>242</v>
      </c>
      <c r="P27" s="1188"/>
      <c r="Q27" s="1189"/>
      <c r="R27" s="221">
        <f>SUM(R25:R26)</f>
        <v>320</v>
      </c>
    </row>
    <row r="28" spans="1:42" s="117" customFormat="1" ht="32.25" customHeight="1" thickBot="1">
      <c r="A28" s="1205"/>
      <c r="B28" s="1205"/>
      <c r="C28" s="1205"/>
      <c r="D28" s="1205"/>
      <c r="E28" s="1205"/>
      <c r="F28" s="557">
        <f>SUM(F4:F27)</f>
        <v>1800</v>
      </c>
      <c r="G28" s="558">
        <f>SUM(G4:G27)</f>
        <v>1616.4</v>
      </c>
      <c r="H28" s="559">
        <f>SUM(H4:H27)</f>
        <v>8082</v>
      </c>
      <c r="I28" s="197"/>
      <c r="J28" s="262">
        <f>SUM(J4:J27)</f>
        <v>8812</v>
      </c>
      <c r="K28" s="64"/>
      <c r="L28" s="64"/>
      <c r="M28" s="879"/>
      <c r="N28" s="115"/>
      <c r="O28" s="1175" t="s">
        <v>243</v>
      </c>
      <c r="P28" s="1176"/>
      <c r="Q28" s="1177"/>
      <c r="R28" s="222">
        <f>$G$28-R27</f>
        <v>1296.4000000000001</v>
      </c>
      <c r="S28" s="299"/>
      <c r="T28" s="380"/>
      <c r="U28" s="8"/>
      <c r="V28" s="8"/>
      <c r="W28" s="1" t="s">
        <v>301</v>
      </c>
      <c r="Y28" s="396">
        <f>R28/Y25</f>
        <v>2.3485507246376813</v>
      </c>
      <c r="Z28" s="392" t="s">
        <v>302</v>
      </c>
      <c r="AA28" s="8"/>
      <c r="AB28" s="8"/>
      <c r="AC28" s="8" t="s">
        <v>287</v>
      </c>
      <c r="AD28" s="299"/>
      <c r="AE28" s="8"/>
      <c r="AF28" s="8"/>
      <c r="AG28" s="8"/>
      <c r="AH28" s="8"/>
      <c r="AI28" s="8"/>
      <c r="AJ28" s="8"/>
      <c r="AK28" s="1135">
        <f>(R28-(AK25*AA25))/(AK25*AA25)</f>
        <v>3.3649831649831654</v>
      </c>
      <c r="AL28" s="8"/>
      <c r="AM28" s="8"/>
      <c r="AN28" s="8"/>
      <c r="AO28" s="8"/>
      <c r="AP28" s="8"/>
    </row>
    <row r="29" spans="1:42" ht="12" customHeight="1" thickBot="1">
      <c r="A29" s="17"/>
      <c r="B29" s="17"/>
      <c r="H29" s="469"/>
      <c r="I29" s="8"/>
      <c r="J29" s="8"/>
      <c r="K29" s="8"/>
      <c r="L29" s="8"/>
      <c r="M29" s="8"/>
      <c r="N29" s="8"/>
    </row>
    <row r="30" spans="1:42" ht="27" customHeight="1" thickBot="1">
      <c r="A30" s="240"/>
      <c r="B30" s="49" t="s">
        <v>368</v>
      </c>
      <c r="C30" s="1160"/>
      <c r="D30" s="1159"/>
      <c r="E30" s="1161" t="s">
        <v>885</v>
      </c>
      <c r="F30" s="563"/>
      <c r="G30" s="564" t="s">
        <v>35</v>
      </c>
      <c r="H30" s="565"/>
      <c r="I30" s="243"/>
      <c r="J30" s="20"/>
      <c r="K30" s="241">
        <v>20</v>
      </c>
      <c r="L30" s="242" t="s">
        <v>38</v>
      </c>
      <c r="M30" s="151"/>
      <c r="N30" s="388" t="s">
        <v>537</v>
      </c>
      <c r="P30" s="8" t="s">
        <v>304</v>
      </c>
      <c r="T30" s="299"/>
      <c r="U30" s="299"/>
      <c r="W30" s="8" t="s">
        <v>303</v>
      </c>
      <c r="Y30" s="395">
        <f>(R28-Y25)/Y25</f>
        <v>1.3485507246376813</v>
      </c>
      <c r="Z30" s="392" t="s">
        <v>302</v>
      </c>
    </row>
    <row r="31" spans="1:42" s="17" customFormat="1">
      <c r="A31" s="11">
        <v>198</v>
      </c>
      <c r="B31" s="14"/>
      <c r="C31" s="460" t="s">
        <v>598</v>
      </c>
      <c r="D31" s="461" t="s">
        <v>497</v>
      </c>
      <c r="E31" s="462" t="s">
        <v>600</v>
      </c>
      <c r="F31" s="463"/>
      <c r="G31" s="468">
        <f>H31*0.2</f>
        <v>201.20000000000002</v>
      </c>
      <c r="H31" s="465">
        <v>1006</v>
      </c>
      <c r="I31" s="167"/>
      <c r="J31" s="27">
        <v>1206</v>
      </c>
      <c r="K31" s="137">
        <v>60</v>
      </c>
      <c r="L31" s="24">
        <v>6</v>
      </c>
      <c r="M31" s="46"/>
      <c r="N31" s="150"/>
      <c r="O31" s="871"/>
      <c r="P31" s="150" t="s">
        <v>305</v>
      </c>
      <c r="Q31" s="150"/>
      <c r="R31" s="150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1:42" s="17" customFormat="1">
      <c r="A32" s="11" t="s">
        <v>18</v>
      </c>
      <c r="B32" s="14"/>
      <c r="C32" s="460" t="s">
        <v>682</v>
      </c>
      <c r="D32" s="461" t="s">
        <v>216</v>
      </c>
      <c r="E32" s="462" t="s">
        <v>689</v>
      </c>
      <c r="F32" s="463"/>
      <c r="G32" s="468">
        <v>195.60000000000002</v>
      </c>
      <c r="H32" s="465">
        <f>G32/0.2</f>
        <v>978.00000000000011</v>
      </c>
      <c r="I32" s="167"/>
      <c r="J32" s="27">
        <v>978</v>
      </c>
      <c r="K32" s="137">
        <v>48</v>
      </c>
      <c r="L32" s="24">
        <v>18</v>
      </c>
      <c r="M32" s="46"/>
      <c r="N32" s="150"/>
      <c r="O32" s="871"/>
      <c r="P32" s="17" t="s">
        <v>333</v>
      </c>
      <c r="Q32" s="322" t="s">
        <v>334</v>
      </c>
      <c r="R32" s="322">
        <v>108</v>
      </c>
      <c r="V32" s="299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 t="s">
        <v>359</v>
      </c>
      <c r="AI32" s="8"/>
      <c r="AJ32" s="8"/>
      <c r="AK32" s="8"/>
      <c r="AL32" s="8"/>
      <c r="AM32" s="8"/>
      <c r="AN32" s="8"/>
      <c r="AO32" s="8"/>
      <c r="AP32" s="8"/>
    </row>
    <row r="33" spans="1:42" s="17" customFormat="1">
      <c r="A33" s="48" t="s">
        <v>19</v>
      </c>
      <c r="B33" s="14"/>
      <c r="C33" s="460" t="s">
        <v>687</v>
      </c>
      <c r="D33" s="461" t="s">
        <v>690</v>
      </c>
      <c r="E33" s="462" t="s">
        <v>691</v>
      </c>
      <c r="F33" s="463">
        <v>600</v>
      </c>
      <c r="G33" s="468">
        <v>248</v>
      </c>
      <c r="H33" s="465">
        <f>G33/0.2</f>
        <v>1240</v>
      </c>
      <c r="I33" s="167"/>
      <c r="J33" s="27">
        <v>1240</v>
      </c>
      <c r="K33" s="137">
        <v>62</v>
      </c>
      <c r="L33" s="24"/>
      <c r="M33" s="46"/>
      <c r="N33" s="150"/>
      <c r="O33" s="871"/>
      <c r="Q33" s="322"/>
      <c r="R33" s="877"/>
      <c r="T33" s="878"/>
      <c r="V33" s="299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1:42" s="17" customFormat="1" ht="27" customHeight="1">
      <c r="A34" s="48" t="s">
        <v>20</v>
      </c>
      <c r="B34" s="14"/>
      <c r="C34" s="460" t="s">
        <v>687</v>
      </c>
      <c r="D34" s="461" t="s">
        <v>692</v>
      </c>
      <c r="E34" s="462" t="s">
        <v>693</v>
      </c>
      <c r="F34" s="463"/>
      <c r="G34" s="468">
        <v>120</v>
      </c>
      <c r="H34" s="465">
        <f>G34/0.2</f>
        <v>600</v>
      </c>
      <c r="I34" s="167"/>
      <c r="J34" s="27">
        <v>600</v>
      </c>
      <c r="K34" s="137">
        <v>30</v>
      </c>
      <c r="L34" s="24"/>
      <c r="M34" s="46"/>
      <c r="N34" s="150"/>
      <c r="O34" s="1071"/>
      <c r="Q34" s="322"/>
      <c r="R34" s="322"/>
      <c r="V34" s="299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</row>
    <row r="35" spans="1:42" s="17" customFormat="1">
      <c r="A35" s="48" t="s">
        <v>21</v>
      </c>
      <c r="B35" s="14"/>
      <c r="C35" s="460" t="s">
        <v>687</v>
      </c>
      <c r="D35" s="461" t="s">
        <v>685</v>
      </c>
      <c r="E35" s="462" t="s">
        <v>694</v>
      </c>
      <c r="F35" s="463"/>
      <c r="G35" s="468">
        <v>115.80000000000001</v>
      </c>
      <c r="H35" s="465">
        <f>G35/0.2</f>
        <v>579</v>
      </c>
      <c r="I35" s="167"/>
      <c r="J35" s="27">
        <v>579</v>
      </c>
      <c r="K35" s="137">
        <v>28</v>
      </c>
      <c r="L35" s="24">
        <v>19</v>
      </c>
      <c r="M35" s="46"/>
      <c r="N35" s="150"/>
      <c r="O35" s="1071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1:42" s="17" customFormat="1" ht="25.5" customHeight="1">
      <c r="A36" s="48" t="s">
        <v>7</v>
      </c>
      <c r="B36" s="14"/>
      <c r="C36" s="460"/>
      <c r="D36" s="461"/>
      <c r="E36" s="462"/>
      <c r="F36" s="463"/>
      <c r="G36" s="468">
        <f t="shared" ref="G36:G43" si="15">J36*0.2</f>
        <v>0</v>
      </c>
      <c r="H36" s="465">
        <f t="shared" ref="H36:H43" si="16">G36/0.2</f>
        <v>0</v>
      </c>
      <c r="I36" s="167"/>
      <c r="J36" s="27">
        <f t="shared" ref="J36:J43" si="17">(K36*$K$30)+L36</f>
        <v>0</v>
      </c>
      <c r="K36" s="137"/>
      <c r="L36" s="24"/>
      <c r="M36" s="46"/>
      <c r="N36" s="150"/>
      <c r="O36" s="871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</row>
    <row r="37" spans="1:42" s="17" customFormat="1" ht="27" customHeight="1">
      <c r="A37" s="11"/>
      <c r="B37" s="14"/>
      <c r="C37" s="460"/>
      <c r="D37" s="461"/>
      <c r="E37" s="462"/>
      <c r="F37" s="463"/>
      <c r="G37" s="468">
        <f t="shared" si="15"/>
        <v>0</v>
      </c>
      <c r="H37" s="465">
        <f t="shared" si="16"/>
        <v>0</v>
      </c>
      <c r="I37" s="167"/>
      <c r="J37" s="27">
        <f t="shared" si="17"/>
        <v>0</v>
      </c>
      <c r="K37" s="137"/>
      <c r="L37" s="24"/>
      <c r="M37" s="46"/>
      <c r="N37" s="150"/>
      <c r="O37" s="871"/>
    </row>
    <row r="38" spans="1:42" s="17" customFormat="1">
      <c r="B38" s="14"/>
      <c r="C38" s="460"/>
      <c r="D38" s="461"/>
      <c r="E38" s="462"/>
      <c r="F38" s="463"/>
      <c r="G38" s="468">
        <f t="shared" si="15"/>
        <v>0</v>
      </c>
      <c r="H38" s="465">
        <f t="shared" si="16"/>
        <v>0</v>
      </c>
      <c r="I38" s="167"/>
      <c r="J38" s="27">
        <f t="shared" si="17"/>
        <v>0</v>
      </c>
      <c r="K38" s="137"/>
      <c r="L38" s="24"/>
      <c r="M38" s="46"/>
      <c r="N38" s="150"/>
      <c r="O38" s="871"/>
    </row>
    <row r="39" spans="1:42" s="17" customFormat="1">
      <c r="B39" s="14"/>
      <c r="C39" s="460"/>
      <c r="D39" s="461"/>
      <c r="E39" s="462"/>
      <c r="F39" s="463"/>
      <c r="G39" s="468">
        <f t="shared" si="15"/>
        <v>0</v>
      </c>
      <c r="H39" s="465">
        <f t="shared" si="16"/>
        <v>0</v>
      </c>
      <c r="I39" s="167"/>
      <c r="J39" s="27">
        <f t="shared" si="17"/>
        <v>0</v>
      </c>
      <c r="K39" s="137"/>
      <c r="L39" s="24"/>
      <c r="M39" s="46"/>
      <c r="N39" s="150"/>
      <c r="O39" s="871"/>
    </row>
    <row r="40" spans="1:42" s="17" customFormat="1">
      <c r="B40" s="14"/>
      <c r="C40" s="460"/>
      <c r="D40" s="461"/>
      <c r="E40" s="462"/>
      <c r="F40" s="463"/>
      <c r="G40" s="468">
        <f t="shared" si="15"/>
        <v>0</v>
      </c>
      <c r="H40" s="465">
        <f t="shared" si="16"/>
        <v>0</v>
      </c>
      <c r="I40" s="167"/>
      <c r="J40" s="27">
        <f t="shared" si="17"/>
        <v>0</v>
      </c>
      <c r="K40" s="137"/>
      <c r="L40" s="24"/>
      <c r="M40" s="46"/>
      <c r="N40" s="150"/>
      <c r="O40" s="871"/>
    </row>
    <row r="41" spans="1:42" s="17" customFormat="1">
      <c r="B41" s="14"/>
      <c r="C41" s="460"/>
      <c r="D41" s="461"/>
      <c r="E41" s="462"/>
      <c r="F41" s="463"/>
      <c r="G41" s="468">
        <f t="shared" si="15"/>
        <v>0</v>
      </c>
      <c r="H41" s="465">
        <f t="shared" si="16"/>
        <v>0</v>
      </c>
      <c r="I41" s="167"/>
      <c r="J41" s="27">
        <f t="shared" si="17"/>
        <v>0</v>
      </c>
      <c r="K41" s="137"/>
      <c r="L41" s="24"/>
      <c r="M41" s="46"/>
      <c r="N41" s="150"/>
      <c r="O41" s="871"/>
    </row>
    <row r="42" spans="1:42" s="17" customFormat="1">
      <c r="B42" s="14"/>
      <c r="C42" s="460"/>
      <c r="D42" s="461"/>
      <c r="E42" s="462"/>
      <c r="F42" s="463"/>
      <c r="G42" s="468">
        <f t="shared" si="15"/>
        <v>0</v>
      </c>
      <c r="H42" s="465">
        <f t="shared" si="16"/>
        <v>0</v>
      </c>
      <c r="I42" s="167"/>
      <c r="J42" s="27">
        <f t="shared" si="17"/>
        <v>0</v>
      </c>
      <c r="K42" s="137"/>
      <c r="L42" s="24"/>
      <c r="M42" s="46"/>
      <c r="N42" s="150"/>
      <c r="O42" s="871"/>
    </row>
    <row r="43" spans="1:42" s="17" customFormat="1">
      <c r="B43" s="14"/>
      <c r="C43" s="460"/>
      <c r="D43" s="461"/>
      <c r="E43" s="462"/>
      <c r="F43" s="463"/>
      <c r="G43" s="468">
        <f t="shared" si="15"/>
        <v>0</v>
      </c>
      <c r="H43" s="465">
        <f t="shared" si="16"/>
        <v>0</v>
      </c>
      <c r="I43" s="167"/>
      <c r="J43" s="27">
        <f t="shared" si="17"/>
        <v>0</v>
      </c>
      <c r="K43" s="137"/>
      <c r="L43" s="24"/>
      <c r="M43" s="46"/>
      <c r="N43" s="150"/>
      <c r="O43" s="871"/>
    </row>
    <row r="44" spans="1:42" s="17" customFormat="1" ht="21.6" thickBot="1">
      <c r="B44" s="14"/>
      <c r="C44" s="460"/>
      <c r="D44" s="461"/>
      <c r="E44" s="462"/>
      <c r="F44" s="463"/>
      <c r="G44" s="468">
        <f t="shared" ref="G44" si="18">J44*0.2</f>
        <v>0</v>
      </c>
      <c r="H44" s="465">
        <f t="shared" ref="H44" si="19">G44/0.2</f>
        <v>0</v>
      </c>
      <c r="I44" s="167"/>
      <c r="J44" s="27">
        <f t="shared" ref="J44" si="20">(K44*$K$30)+L44</f>
        <v>0</v>
      </c>
      <c r="K44" s="137"/>
      <c r="L44" s="24"/>
      <c r="M44" s="46"/>
      <c r="N44" s="150"/>
      <c r="O44" s="871"/>
    </row>
    <row r="45" spans="1:42" s="17" customFormat="1" ht="21.6" thickBot="1">
      <c r="B45" s="14"/>
      <c r="C45" s="460"/>
      <c r="D45" s="461"/>
      <c r="E45" s="462"/>
      <c r="F45" s="463"/>
      <c r="G45" s="468">
        <f t="shared" ref="G45" si="21">J45*0.2</f>
        <v>0</v>
      </c>
      <c r="H45" s="465">
        <f t="shared" ref="H45" si="22">G45/0.2</f>
        <v>0</v>
      </c>
      <c r="I45" s="167"/>
      <c r="J45" s="27">
        <f t="shared" ref="J45" si="23">(K45*$K$30)+L45</f>
        <v>0</v>
      </c>
      <c r="K45" s="137"/>
      <c r="L45" s="24"/>
      <c r="M45" s="46"/>
      <c r="N45" s="150"/>
      <c r="O45" s="871"/>
      <c r="Y45" s="1232" t="s">
        <v>269</v>
      </c>
      <c r="Z45" s="1233"/>
      <c r="AA45" s="8"/>
      <c r="AB45" s="8"/>
      <c r="AC45" s="8"/>
      <c r="AD45" s="8"/>
      <c r="AG45" s="1224" t="s">
        <v>366</v>
      </c>
      <c r="AH45" s="1225"/>
      <c r="AI45" s="1225"/>
      <c r="AJ45" s="1226"/>
    </row>
    <row r="46" spans="1:42" s="17" customFormat="1" ht="30.75" customHeight="1" thickBot="1">
      <c r="B46" s="14"/>
      <c r="C46" s="460"/>
      <c r="D46" s="461"/>
      <c r="E46" s="462"/>
      <c r="F46" s="463"/>
      <c r="G46" s="468">
        <f t="shared" ref="G46" si="24">J46*0.2</f>
        <v>0</v>
      </c>
      <c r="H46" s="465">
        <f t="shared" ref="H46" si="25">G46/0.2</f>
        <v>0</v>
      </c>
      <c r="I46" s="167"/>
      <c r="J46" s="27">
        <f t="shared" ref="J46" si="26">(K46*$K$30)+L46</f>
        <v>0</v>
      </c>
      <c r="K46" s="137"/>
      <c r="L46" s="24"/>
      <c r="M46" s="46"/>
      <c r="N46" s="150"/>
      <c r="O46" s="871"/>
      <c r="Y46" s="1234" t="s">
        <v>270</v>
      </c>
      <c r="Z46" s="1235"/>
      <c r="AA46" s="1238" t="s">
        <v>271</v>
      </c>
      <c r="AB46" s="319"/>
      <c r="AC46" s="321"/>
      <c r="AD46" s="321"/>
      <c r="AG46" s="1227"/>
      <c r="AH46" s="1228"/>
      <c r="AI46" s="1228"/>
      <c r="AJ46" s="1229"/>
    </row>
    <row r="47" spans="1:42" s="17" customFormat="1" ht="22.2" thickTop="1" thickBot="1">
      <c r="B47" s="14"/>
      <c r="C47" s="460"/>
      <c r="D47" s="461"/>
      <c r="E47" s="462"/>
      <c r="F47" s="463"/>
      <c r="G47" s="468">
        <f t="shared" ref="G47" si="27">J47*0.2</f>
        <v>0</v>
      </c>
      <c r="H47" s="465">
        <f t="shared" ref="H47" si="28">G47/0.2</f>
        <v>0</v>
      </c>
      <c r="I47" s="167"/>
      <c r="J47" s="27">
        <f t="shared" ref="J47" si="29">(K47*$K$30)+L47</f>
        <v>0</v>
      </c>
      <c r="K47" s="137"/>
      <c r="L47" s="24"/>
      <c r="M47" s="46"/>
      <c r="N47" s="150"/>
      <c r="O47" s="1195" t="s">
        <v>15</v>
      </c>
      <c r="P47" s="1195"/>
      <c r="Q47" s="1196"/>
      <c r="R47" s="56" t="s">
        <v>262</v>
      </c>
      <c r="T47" s="1168" t="s">
        <v>268</v>
      </c>
      <c r="U47" s="1169"/>
      <c r="V47" s="1169"/>
      <c r="W47" s="1170"/>
      <c r="Y47" s="1236"/>
      <c r="Z47" s="1237"/>
      <c r="AA47" s="1239"/>
      <c r="AB47" s="319"/>
      <c r="AC47" s="1240" t="s">
        <v>272</v>
      </c>
      <c r="AD47" s="1241"/>
      <c r="AG47" s="999" t="s">
        <v>679</v>
      </c>
      <c r="AH47" s="960" t="s">
        <v>680</v>
      </c>
      <c r="AI47" s="1003" t="s">
        <v>268</v>
      </c>
      <c r="AJ47" s="959" t="s">
        <v>681</v>
      </c>
      <c r="AK47" s="8" t="s">
        <v>609</v>
      </c>
    </row>
    <row r="48" spans="1:42" s="17" customFormat="1" ht="22.2" thickTop="1" thickBot="1">
      <c r="B48" s="14"/>
      <c r="C48" s="460"/>
      <c r="D48" s="461"/>
      <c r="E48" s="462"/>
      <c r="F48" s="463"/>
      <c r="G48" s="468">
        <f t="shared" ref="G48" si="30">J48*0.2</f>
        <v>0</v>
      </c>
      <c r="H48" s="465">
        <f t="shared" ref="H48" si="31">G48/0.2</f>
        <v>0</v>
      </c>
      <c r="I48" s="167"/>
      <c r="J48" s="27">
        <f t="shared" ref="J48" si="32">(K48*$K$30)+L48</f>
        <v>0</v>
      </c>
      <c r="K48" s="137"/>
      <c r="L48" s="24"/>
      <c r="M48" s="46"/>
      <c r="N48" s="150"/>
      <c r="O48" s="1190" t="s">
        <v>298</v>
      </c>
      <c r="P48" s="1191"/>
      <c r="Q48" s="1192"/>
      <c r="R48" s="1112">
        <v>217.2</v>
      </c>
      <c r="T48" s="1165" t="s">
        <v>299</v>
      </c>
      <c r="U48" s="1166"/>
      <c r="V48" s="1167"/>
      <c r="W48" s="309">
        <v>128</v>
      </c>
      <c r="Y48" s="1182">
        <f>R48+W48</f>
        <v>345.2</v>
      </c>
      <c r="Z48" s="1183"/>
      <c r="AA48" s="318">
        <v>90</v>
      </c>
      <c r="AB48" s="8"/>
      <c r="AC48" s="1230">
        <f>Y48/AA48</f>
        <v>3.8355555555555556</v>
      </c>
      <c r="AD48" s="1231"/>
      <c r="AG48" s="1004">
        <v>2.2222222222222223</v>
      </c>
      <c r="AH48" s="1005">
        <v>1.2</v>
      </c>
      <c r="AI48" s="1005">
        <v>0</v>
      </c>
      <c r="AJ48" s="1001">
        <v>3.8355555555555556</v>
      </c>
      <c r="AK48" s="162">
        <f>AVERAGE(AG48:AJ48)</f>
        <v>1.8144444444444445</v>
      </c>
    </row>
    <row r="49" spans="1:37" s="17" customFormat="1">
      <c r="B49" s="14"/>
      <c r="C49" s="460"/>
      <c r="D49" s="461"/>
      <c r="E49" s="462"/>
      <c r="F49" s="463"/>
      <c r="G49" s="468">
        <f t="shared" ref="G49" si="33">J49*0.2</f>
        <v>0</v>
      </c>
      <c r="H49" s="465">
        <f t="shared" ref="H49" si="34">G49/0.2</f>
        <v>0</v>
      </c>
      <c r="I49" s="167"/>
      <c r="J49" s="27">
        <f t="shared" ref="J49:J50" si="35">(K49*$K$30)+L49</f>
        <v>0</v>
      </c>
      <c r="K49" s="137"/>
      <c r="L49" s="24"/>
      <c r="M49" s="46"/>
      <c r="N49" s="150"/>
      <c r="O49" s="1165" t="s">
        <v>299</v>
      </c>
      <c r="P49" s="1166"/>
      <c r="Q49" s="1167"/>
      <c r="R49" s="1114"/>
      <c r="Y49" s="1243"/>
      <c r="Z49" s="1243"/>
      <c r="AA49" s="181"/>
    </row>
    <row r="50" spans="1:37" s="17" customFormat="1" ht="21.6" thickBot="1">
      <c r="B50" s="14"/>
      <c r="C50" s="466"/>
      <c r="D50" s="467"/>
      <c r="E50" s="462"/>
      <c r="F50" s="463"/>
      <c r="G50" s="468">
        <f t="shared" ref="G50" si="36">J50*0.2</f>
        <v>0</v>
      </c>
      <c r="H50" s="465">
        <f t="shared" ref="H50" si="37">G50/0.2</f>
        <v>0</v>
      </c>
      <c r="I50" s="167"/>
      <c r="J50" s="27">
        <f t="shared" si="35"/>
        <v>0</v>
      </c>
      <c r="K50" s="137"/>
      <c r="L50" s="24"/>
      <c r="M50" s="46"/>
      <c r="N50" s="150"/>
      <c r="O50" s="1187" t="s">
        <v>242</v>
      </c>
      <c r="P50" s="1188"/>
      <c r="Q50" s="1189"/>
      <c r="R50" s="221">
        <f>SUM(R48:R49)</f>
        <v>217.2</v>
      </c>
      <c r="T50" s="878"/>
    </row>
    <row r="51" spans="1:37" s="64" customFormat="1" ht="37.5" customHeight="1" thickBot="1">
      <c r="C51" s="453"/>
      <c r="D51" s="566"/>
      <c r="E51" s="567"/>
      <c r="F51" s="557">
        <f>SUM(F31:F50)</f>
        <v>600</v>
      </c>
      <c r="G51" s="558">
        <f>SUM(G31:G50)</f>
        <v>880.60000000000014</v>
      </c>
      <c r="H51" s="559">
        <f>SUM(H31:H50)</f>
        <v>4403</v>
      </c>
      <c r="I51" s="197"/>
      <c r="J51" s="60">
        <f>SUM(J31:J50)</f>
        <v>4603</v>
      </c>
      <c r="M51" s="115"/>
      <c r="N51" s="115"/>
      <c r="O51" s="1175" t="s">
        <v>243</v>
      </c>
      <c r="P51" s="1176"/>
      <c r="Q51" s="1177"/>
      <c r="R51" s="222">
        <f>$G$51-R50</f>
        <v>663.40000000000009</v>
      </c>
      <c r="S51" s="879"/>
      <c r="T51" s="298"/>
      <c r="W51" s="1" t="s">
        <v>301</v>
      </c>
      <c r="X51" s="117"/>
      <c r="Y51" s="396">
        <f>R51/Y48</f>
        <v>1.9217844727694093</v>
      </c>
      <c r="Z51" s="392" t="s">
        <v>302</v>
      </c>
      <c r="AK51" s="1135">
        <f>(R51-(AK48*AA48))/(AK48*AA48)</f>
        <v>3.0624617268830376</v>
      </c>
    </row>
    <row r="52" spans="1:37" ht="9.75" customHeight="1" thickBot="1">
      <c r="A52" s="17"/>
      <c r="B52" s="17"/>
      <c r="D52" s="502"/>
      <c r="E52" s="527"/>
      <c r="G52" s="469"/>
      <c r="H52" s="469"/>
      <c r="I52" s="8"/>
      <c r="J52" s="8"/>
      <c r="K52" s="8"/>
      <c r="L52" s="8"/>
      <c r="M52" s="8"/>
      <c r="N52" s="8"/>
    </row>
    <row r="53" spans="1:37" ht="24" customHeight="1" thickBot="1">
      <c r="A53" s="235"/>
      <c r="B53" s="42" t="s">
        <v>367</v>
      </c>
      <c r="C53" s="456"/>
      <c r="D53" s="457"/>
      <c r="E53" s="516" t="s">
        <v>885</v>
      </c>
      <c r="F53" s="455"/>
      <c r="G53" s="568" t="s">
        <v>36</v>
      </c>
      <c r="H53" s="494"/>
      <c r="I53" s="244"/>
      <c r="J53" s="50"/>
      <c r="K53" s="203">
        <v>6</v>
      </c>
      <c r="L53" s="227" t="s">
        <v>38</v>
      </c>
      <c r="M53" s="152"/>
      <c r="N53" s="150" t="s">
        <v>538</v>
      </c>
      <c r="O53" s="1210" t="s">
        <v>226</v>
      </c>
      <c r="P53" s="1211"/>
      <c r="Q53" s="1211"/>
      <c r="R53" s="1211"/>
      <c r="W53" s="8" t="s">
        <v>303</v>
      </c>
      <c r="Y53" s="395">
        <f>(R51-Y48)/Y48</f>
        <v>0.92178447276940934</v>
      </c>
      <c r="Z53" s="392" t="s">
        <v>302</v>
      </c>
    </row>
    <row r="54" spans="1:37" ht="20.399999999999999">
      <c r="A54" s="51">
        <v>306</v>
      </c>
      <c r="B54" s="13"/>
      <c r="C54" s="895" t="s">
        <v>529</v>
      </c>
      <c r="D54" s="896" t="s">
        <v>520</v>
      </c>
      <c r="E54" s="483" t="s">
        <v>530</v>
      </c>
      <c r="F54" s="897">
        <v>900</v>
      </c>
      <c r="G54" s="468">
        <f>H54*2.8</f>
        <v>607.59999999999991</v>
      </c>
      <c r="H54" s="898">
        <v>217</v>
      </c>
      <c r="J54" s="23">
        <v>247</v>
      </c>
      <c r="K54" s="901">
        <v>41</v>
      </c>
      <c r="L54" s="374">
        <v>1</v>
      </c>
      <c r="M54" s="364"/>
      <c r="N54" s="1074"/>
      <c r="O54" s="871" t="s">
        <v>332</v>
      </c>
      <c r="P54" s="17" t="s">
        <v>333</v>
      </c>
      <c r="Q54" s="322" t="s">
        <v>334</v>
      </c>
      <c r="R54" s="8">
        <v>52</v>
      </c>
    </row>
    <row r="55" spans="1:37" ht="20.399999999999999">
      <c r="A55" s="48" t="s">
        <v>29</v>
      </c>
      <c r="B55" s="13"/>
      <c r="C55" s="895" t="s">
        <v>560</v>
      </c>
      <c r="D55" s="896" t="s">
        <v>561</v>
      </c>
      <c r="E55" s="483" t="s">
        <v>564</v>
      </c>
      <c r="F55" s="897">
        <v>1200</v>
      </c>
      <c r="G55" s="468">
        <v>352.79999999999995</v>
      </c>
      <c r="H55" s="898">
        <f>G55/2.8</f>
        <v>125.99999999999999</v>
      </c>
      <c r="J55" s="23">
        <v>126</v>
      </c>
      <c r="K55" s="901">
        <v>21</v>
      </c>
      <c r="L55" s="374"/>
      <c r="M55" s="364"/>
      <c r="N55" s="1074"/>
      <c r="P55" s="431"/>
      <c r="R55" s="299"/>
    </row>
    <row r="56" spans="1:37" ht="20.399999999999999">
      <c r="A56" s="48" t="s">
        <v>30</v>
      </c>
      <c r="B56" s="13"/>
      <c r="C56" s="895" t="s">
        <v>560</v>
      </c>
      <c r="D56" s="896" t="s">
        <v>562</v>
      </c>
      <c r="E56" s="483" t="s">
        <v>565</v>
      </c>
      <c r="F56" s="897"/>
      <c r="G56" s="468">
        <v>117.6</v>
      </c>
      <c r="H56" s="898">
        <f>G56/2.8</f>
        <v>42</v>
      </c>
      <c r="J56" s="23">
        <v>42</v>
      </c>
      <c r="K56" s="901">
        <v>7</v>
      </c>
      <c r="L56" s="374"/>
      <c r="M56" s="364"/>
      <c r="N56" s="1074"/>
    </row>
    <row r="57" spans="1:37" ht="20.399999999999999">
      <c r="A57" s="53" t="s">
        <v>31</v>
      </c>
      <c r="B57" s="13"/>
      <c r="C57" s="895" t="s">
        <v>560</v>
      </c>
      <c r="D57" s="896" t="s">
        <v>563</v>
      </c>
      <c r="E57" s="483" t="s">
        <v>566</v>
      </c>
      <c r="F57" s="897"/>
      <c r="G57" s="468">
        <v>461.99999999999994</v>
      </c>
      <c r="H57" s="898">
        <f>G57/2.8</f>
        <v>165</v>
      </c>
      <c r="J57" s="23">
        <v>165</v>
      </c>
      <c r="K57" s="901">
        <v>27</v>
      </c>
      <c r="L57" s="374">
        <v>3</v>
      </c>
      <c r="M57" s="364"/>
      <c r="N57" s="1074"/>
      <c r="P57" s="328"/>
    </row>
    <row r="58" spans="1:37" ht="20.399999999999999">
      <c r="A58" s="53"/>
      <c r="B58" s="13"/>
      <c r="C58" s="895" t="s">
        <v>578</v>
      </c>
      <c r="D58" s="896" t="s">
        <v>579</v>
      </c>
      <c r="E58" s="483" t="s">
        <v>580</v>
      </c>
      <c r="F58" s="897">
        <v>300</v>
      </c>
      <c r="G58" s="468">
        <v>235.2</v>
      </c>
      <c r="H58" s="898">
        <f>G58/2.8</f>
        <v>84</v>
      </c>
      <c r="J58" s="23">
        <v>84</v>
      </c>
      <c r="K58" s="901">
        <v>14</v>
      </c>
      <c r="L58" s="374"/>
      <c r="M58" s="364"/>
      <c r="N58" s="1074"/>
      <c r="P58" s="328"/>
    </row>
    <row r="59" spans="1:37" ht="20.399999999999999">
      <c r="A59" s="11"/>
      <c r="B59" s="13"/>
      <c r="C59" s="895" t="s">
        <v>586</v>
      </c>
      <c r="D59" s="896" t="s">
        <v>592</v>
      </c>
      <c r="E59" s="483" t="s">
        <v>593</v>
      </c>
      <c r="F59" s="897">
        <v>1050</v>
      </c>
      <c r="G59" s="468">
        <v>826</v>
      </c>
      <c r="H59" s="898">
        <f>G59/2.8</f>
        <v>295</v>
      </c>
      <c r="I59" s="167"/>
      <c r="J59" s="27">
        <v>295</v>
      </c>
      <c r="K59" s="137">
        <v>49</v>
      </c>
      <c r="L59" s="24">
        <v>1</v>
      </c>
      <c r="M59" s="364"/>
      <c r="N59" s="1074"/>
    </row>
    <row r="60" spans="1:37" ht="33.75" customHeight="1">
      <c r="A60" s="11"/>
      <c r="B60" s="13"/>
      <c r="C60" s="895"/>
      <c r="D60" s="896"/>
      <c r="E60" s="483"/>
      <c r="F60" s="897"/>
      <c r="G60" s="468">
        <f t="shared" ref="G60:G61" si="38">J60*2.8</f>
        <v>0</v>
      </c>
      <c r="H60" s="898">
        <f t="shared" ref="H60:H61" si="39">G60/2.8</f>
        <v>0</v>
      </c>
      <c r="J60" s="23">
        <f t="shared" ref="J60:J61" si="40">(K60*$K$53)+L60</f>
        <v>0</v>
      </c>
      <c r="K60" s="901"/>
      <c r="L60" s="374"/>
      <c r="N60" s="1074"/>
    </row>
    <row r="61" spans="1:37" ht="27" customHeight="1">
      <c r="A61" s="11"/>
      <c r="B61" s="13"/>
      <c r="C61" s="895"/>
      <c r="D61" s="896"/>
      <c r="E61" s="483"/>
      <c r="F61" s="897"/>
      <c r="G61" s="468">
        <f t="shared" si="38"/>
        <v>0</v>
      </c>
      <c r="H61" s="898">
        <f t="shared" si="39"/>
        <v>0</v>
      </c>
      <c r="J61" s="23">
        <f t="shared" si="40"/>
        <v>0</v>
      </c>
      <c r="K61" s="901"/>
      <c r="L61" s="374"/>
      <c r="N61" s="1074"/>
    </row>
    <row r="62" spans="1:37" ht="25.5" customHeight="1">
      <c r="A62" s="11"/>
      <c r="B62" s="13"/>
      <c r="C62" s="895"/>
      <c r="D62" s="896"/>
      <c r="E62" s="483"/>
      <c r="F62" s="897"/>
      <c r="G62" s="468">
        <f t="shared" ref="G62:G67" si="41">J62*2.8</f>
        <v>0</v>
      </c>
      <c r="H62" s="898">
        <f t="shared" ref="H62:H67" si="42">G62/2.8</f>
        <v>0</v>
      </c>
      <c r="J62" s="23">
        <f t="shared" ref="J62:J67" si="43">(K62*$K$53)+L62</f>
        <v>0</v>
      </c>
      <c r="K62" s="901"/>
      <c r="L62" s="374"/>
      <c r="M62" s="364"/>
      <c r="N62" s="1074"/>
    </row>
    <row r="63" spans="1:37" ht="20.399999999999999">
      <c r="A63" s="11"/>
      <c r="B63" s="13"/>
      <c r="C63" s="895"/>
      <c r="D63" s="896"/>
      <c r="E63" s="483"/>
      <c r="F63" s="897"/>
      <c r="G63" s="468">
        <f t="shared" si="41"/>
        <v>0</v>
      </c>
      <c r="H63" s="898">
        <f t="shared" si="42"/>
        <v>0</v>
      </c>
      <c r="J63" s="23">
        <f t="shared" si="43"/>
        <v>0</v>
      </c>
      <c r="K63" s="901"/>
      <c r="L63" s="374"/>
      <c r="M63" s="364"/>
      <c r="N63" s="1074"/>
    </row>
    <row r="64" spans="1:37" ht="20.399999999999999">
      <c r="A64" s="11"/>
      <c r="B64" s="13"/>
      <c r="C64" s="895"/>
      <c r="D64" s="896"/>
      <c r="E64" s="483"/>
      <c r="F64" s="897"/>
      <c r="G64" s="468">
        <f t="shared" si="41"/>
        <v>0</v>
      </c>
      <c r="H64" s="898">
        <f t="shared" si="42"/>
        <v>0</v>
      </c>
      <c r="J64" s="23">
        <f t="shared" si="43"/>
        <v>0</v>
      </c>
      <c r="K64" s="901"/>
      <c r="L64" s="374"/>
      <c r="M64" s="364"/>
      <c r="N64" s="1074"/>
    </row>
    <row r="65" spans="1:36" ht="20.399999999999999">
      <c r="A65" s="11"/>
      <c r="B65" s="13"/>
      <c r="C65" s="895"/>
      <c r="D65" s="896"/>
      <c r="E65" s="483"/>
      <c r="F65" s="897"/>
      <c r="G65" s="468">
        <f t="shared" si="41"/>
        <v>0</v>
      </c>
      <c r="H65" s="898">
        <f t="shared" si="42"/>
        <v>0</v>
      </c>
      <c r="J65" s="23">
        <f t="shared" si="43"/>
        <v>0</v>
      </c>
      <c r="K65" s="901"/>
      <c r="L65" s="374"/>
      <c r="M65" s="364"/>
      <c r="N65" s="1074"/>
    </row>
    <row r="66" spans="1:36" ht="20.399999999999999">
      <c r="A66" s="11"/>
      <c r="B66" s="13"/>
      <c r="C66" s="895"/>
      <c r="D66" s="896"/>
      <c r="E66" s="483"/>
      <c r="F66" s="897"/>
      <c r="G66" s="468">
        <f t="shared" si="41"/>
        <v>0</v>
      </c>
      <c r="H66" s="898">
        <f t="shared" si="42"/>
        <v>0</v>
      </c>
      <c r="J66" s="23">
        <f t="shared" si="43"/>
        <v>0</v>
      </c>
      <c r="K66" s="901"/>
      <c r="L66" s="374"/>
      <c r="M66" s="364"/>
      <c r="N66" s="1074"/>
    </row>
    <row r="67" spans="1:36" ht="20.399999999999999">
      <c r="A67" s="11"/>
      <c r="B67" s="13"/>
      <c r="C67" s="895"/>
      <c r="D67" s="896"/>
      <c r="E67" s="483"/>
      <c r="F67" s="897"/>
      <c r="G67" s="468">
        <f t="shared" si="41"/>
        <v>0</v>
      </c>
      <c r="H67" s="898">
        <f t="shared" si="42"/>
        <v>0</v>
      </c>
      <c r="J67" s="23">
        <f t="shared" si="43"/>
        <v>0</v>
      </c>
      <c r="K67" s="901"/>
      <c r="L67" s="374"/>
      <c r="M67" s="364"/>
      <c r="N67" s="1074"/>
    </row>
    <row r="68" spans="1:36" ht="20.399999999999999">
      <c r="A68" s="11"/>
      <c r="B68" s="13"/>
      <c r="C68" s="895"/>
      <c r="D68" s="896"/>
      <c r="E68" s="483"/>
      <c r="F68" s="897"/>
      <c r="G68" s="468">
        <f t="shared" ref="G68:G69" si="44">J68*2.8</f>
        <v>0</v>
      </c>
      <c r="H68" s="898">
        <f t="shared" ref="H68:H69" si="45">G68/2.8</f>
        <v>0</v>
      </c>
      <c r="J68" s="23">
        <f t="shared" ref="J68:J69" si="46">(K68*$K$53)+L68</f>
        <v>0</v>
      </c>
      <c r="K68" s="901"/>
      <c r="L68" s="374"/>
      <c r="M68" s="364"/>
      <c r="N68" s="1074"/>
    </row>
    <row r="69" spans="1:36" ht="20.399999999999999">
      <c r="A69" s="11"/>
      <c r="B69" s="13"/>
      <c r="C69" s="895"/>
      <c r="D69" s="896"/>
      <c r="E69" s="483"/>
      <c r="F69" s="897"/>
      <c r="G69" s="468">
        <f t="shared" si="44"/>
        <v>0</v>
      </c>
      <c r="H69" s="898">
        <f t="shared" si="45"/>
        <v>0</v>
      </c>
      <c r="J69" s="23">
        <f t="shared" si="46"/>
        <v>0</v>
      </c>
      <c r="K69" s="901"/>
      <c r="L69" s="374"/>
      <c r="M69" s="364"/>
      <c r="N69" s="1074"/>
    </row>
    <row r="70" spans="1:36" ht="20.399999999999999">
      <c r="A70" s="11"/>
      <c r="B70" s="13"/>
      <c r="C70" s="895"/>
      <c r="D70" s="896"/>
      <c r="E70" s="483"/>
      <c r="F70" s="897"/>
      <c r="G70" s="468">
        <f t="shared" ref="G70:G72" si="47">J70*2.8</f>
        <v>0</v>
      </c>
      <c r="H70" s="898">
        <f t="shared" ref="H70:H72" si="48">G70/2.8</f>
        <v>0</v>
      </c>
      <c r="J70" s="23">
        <f t="shared" ref="J70:J72" si="49">(K70*$K$53)+L70</f>
        <v>0</v>
      </c>
      <c r="K70" s="901"/>
      <c r="L70" s="374"/>
      <c r="M70" s="364"/>
      <c r="N70" s="1074"/>
    </row>
    <row r="71" spans="1:36" ht="20.399999999999999">
      <c r="A71" s="11"/>
      <c r="B71" s="13"/>
      <c r="C71" s="895"/>
      <c r="D71" s="896"/>
      <c r="E71" s="483"/>
      <c r="F71" s="897"/>
      <c r="G71" s="468">
        <f t="shared" si="47"/>
        <v>0</v>
      </c>
      <c r="H71" s="898">
        <f t="shared" si="48"/>
        <v>0</v>
      </c>
      <c r="J71" s="23">
        <f t="shared" si="49"/>
        <v>0</v>
      </c>
      <c r="K71" s="901"/>
      <c r="L71" s="374"/>
      <c r="M71" s="364"/>
      <c r="N71" s="1074"/>
    </row>
    <row r="72" spans="1:36" ht="20.399999999999999">
      <c r="A72" s="11"/>
      <c r="B72" s="13"/>
      <c r="C72" s="895"/>
      <c r="D72" s="896"/>
      <c r="E72" s="483"/>
      <c r="F72" s="897"/>
      <c r="G72" s="468">
        <f t="shared" si="47"/>
        <v>0</v>
      </c>
      <c r="H72" s="898">
        <f t="shared" si="48"/>
        <v>0</v>
      </c>
      <c r="J72" s="23">
        <f t="shared" si="49"/>
        <v>0</v>
      </c>
      <c r="K72" s="901"/>
      <c r="L72" s="374"/>
      <c r="M72" s="364"/>
      <c r="N72" s="1074"/>
    </row>
    <row r="73" spans="1:36" ht="30" customHeight="1">
      <c r="A73" s="11"/>
      <c r="B73" s="13"/>
      <c r="C73" s="895"/>
      <c r="D73" s="896"/>
      <c r="E73" s="483"/>
      <c r="F73" s="897"/>
      <c r="G73" s="468">
        <f t="shared" ref="G73:G77" si="50">J73*2.8</f>
        <v>0</v>
      </c>
      <c r="H73" s="898">
        <f t="shared" ref="H73:H77" si="51">G73/2.8</f>
        <v>0</v>
      </c>
      <c r="J73" s="23">
        <f t="shared" ref="J73:J77" si="52">(K73*$K$53)+L73</f>
        <v>0</v>
      </c>
      <c r="K73" s="901"/>
      <c r="L73" s="374"/>
      <c r="M73" s="364"/>
      <c r="N73" s="1074"/>
    </row>
    <row r="74" spans="1:36" ht="20.399999999999999">
      <c r="A74" s="11"/>
      <c r="B74" s="13"/>
      <c r="C74" s="895"/>
      <c r="D74" s="896"/>
      <c r="E74" s="483"/>
      <c r="F74" s="897"/>
      <c r="G74" s="468">
        <f t="shared" si="50"/>
        <v>0</v>
      </c>
      <c r="H74" s="898">
        <f t="shared" si="51"/>
        <v>0</v>
      </c>
      <c r="J74" s="23">
        <f t="shared" si="52"/>
        <v>0</v>
      </c>
      <c r="K74" s="901"/>
      <c r="L74" s="374"/>
      <c r="M74" s="364"/>
      <c r="N74" s="1074"/>
    </row>
    <row r="75" spans="1:36" ht="20.399999999999999">
      <c r="A75" s="11"/>
      <c r="B75" s="13"/>
      <c r="C75" s="895"/>
      <c r="D75" s="896"/>
      <c r="E75" s="483"/>
      <c r="F75" s="897"/>
      <c r="G75" s="468">
        <f t="shared" si="50"/>
        <v>0</v>
      </c>
      <c r="H75" s="898">
        <f t="shared" si="51"/>
        <v>0</v>
      </c>
      <c r="J75" s="23">
        <f t="shared" si="52"/>
        <v>0</v>
      </c>
      <c r="K75" s="901"/>
      <c r="L75" s="374"/>
      <c r="M75" s="364"/>
      <c r="N75" s="1074"/>
    </row>
    <row r="76" spans="1:36" ht="20.399999999999999">
      <c r="A76" s="11"/>
      <c r="B76" s="13"/>
      <c r="C76" s="895"/>
      <c r="D76" s="896"/>
      <c r="E76" s="483"/>
      <c r="F76" s="897"/>
      <c r="G76" s="468">
        <f t="shared" si="50"/>
        <v>0</v>
      </c>
      <c r="H76" s="898">
        <f t="shared" si="51"/>
        <v>0</v>
      </c>
      <c r="J76" s="23">
        <f t="shared" si="52"/>
        <v>0</v>
      </c>
      <c r="K76" s="901"/>
      <c r="L76" s="374"/>
      <c r="M76" s="364"/>
      <c r="N76" s="1074"/>
    </row>
    <row r="77" spans="1:36" ht="20.399999999999999">
      <c r="A77" s="11"/>
      <c r="B77" s="13"/>
      <c r="C77" s="895"/>
      <c r="D77" s="896"/>
      <c r="E77" s="483"/>
      <c r="F77" s="897"/>
      <c r="G77" s="468">
        <f t="shared" si="50"/>
        <v>0</v>
      </c>
      <c r="H77" s="898">
        <f t="shared" si="51"/>
        <v>0</v>
      </c>
      <c r="J77" s="23">
        <f t="shared" si="52"/>
        <v>0</v>
      </c>
      <c r="K77" s="901"/>
      <c r="L77" s="374"/>
      <c r="M77" s="364"/>
      <c r="N77" s="1074"/>
    </row>
    <row r="78" spans="1:36" thickBot="1">
      <c r="A78" s="11"/>
      <c r="B78" s="13"/>
      <c r="C78" s="895"/>
      <c r="D78" s="896"/>
      <c r="E78" s="483"/>
      <c r="F78" s="897"/>
      <c r="G78" s="468">
        <f t="shared" ref="G78:G79" si="53">J78*2.8</f>
        <v>0</v>
      </c>
      <c r="H78" s="898">
        <f t="shared" ref="H78:H79" si="54">G78/2.8</f>
        <v>0</v>
      </c>
      <c r="J78" s="23">
        <f t="shared" ref="J78:J79" si="55">(K78*$K$53)+L78</f>
        <v>0</v>
      </c>
      <c r="K78" s="901"/>
      <c r="L78" s="374"/>
      <c r="M78" s="364"/>
      <c r="N78" s="1074"/>
    </row>
    <row r="79" spans="1:36" ht="36" customHeight="1" thickBot="1">
      <c r="A79" s="11"/>
      <c r="B79" s="13"/>
      <c r="C79" s="895"/>
      <c r="D79" s="896"/>
      <c r="E79" s="483"/>
      <c r="F79" s="897"/>
      <c r="G79" s="468">
        <f t="shared" si="53"/>
        <v>0</v>
      </c>
      <c r="H79" s="898">
        <f t="shared" si="54"/>
        <v>0</v>
      </c>
      <c r="J79" s="23">
        <f t="shared" si="55"/>
        <v>0</v>
      </c>
      <c r="K79" s="901"/>
      <c r="L79" s="374"/>
      <c r="M79" s="364"/>
      <c r="N79" s="1074"/>
      <c r="Y79" s="1232" t="s">
        <v>269</v>
      </c>
      <c r="Z79" s="1233"/>
      <c r="AG79" s="1224" t="s">
        <v>366</v>
      </c>
      <c r="AH79" s="1225"/>
      <c r="AI79" s="1225"/>
      <c r="AJ79" s="1226"/>
    </row>
    <row r="80" spans="1:36" ht="21" customHeight="1" thickBot="1">
      <c r="A80" s="11"/>
      <c r="B80" s="13"/>
      <c r="C80" s="895"/>
      <c r="D80" s="896"/>
      <c r="E80" s="483"/>
      <c r="F80" s="897"/>
      <c r="G80" s="468">
        <f t="shared" ref="G80:G82" si="56">J80*2.8</f>
        <v>0</v>
      </c>
      <c r="H80" s="898">
        <f t="shared" ref="H80:H82" si="57">G80/2.8</f>
        <v>0</v>
      </c>
      <c r="J80" s="23">
        <f t="shared" ref="J80:J82" si="58">(K80*$K$53)+L80</f>
        <v>0</v>
      </c>
      <c r="K80" s="901"/>
      <c r="L80" s="374"/>
      <c r="M80" s="364"/>
      <c r="N80" s="1074"/>
      <c r="Y80" s="1234" t="s">
        <v>270</v>
      </c>
      <c r="Z80" s="1235"/>
      <c r="AA80" s="1238" t="s">
        <v>271</v>
      </c>
      <c r="AB80" s="319"/>
      <c r="AC80" s="321"/>
      <c r="AD80" s="321"/>
      <c r="AG80" s="1227"/>
      <c r="AH80" s="1228"/>
      <c r="AI80" s="1228"/>
      <c r="AJ80" s="1229"/>
    </row>
    <row r="81" spans="1:37" ht="27" customHeight="1" thickTop="1" thickBot="1">
      <c r="A81" s="11"/>
      <c r="B81" s="13"/>
      <c r="C81" s="895"/>
      <c r="D81" s="896"/>
      <c r="E81" s="483"/>
      <c r="F81" s="897"/>
      <c r="G81" s="468">
        <f t="shared" si="56"/>
        <v>0</v>
      </c>
      <c r="H81" s="898">
        <f t="shared" si="57"/>
        <v>0</v>
      </c>
      <c r="J81" s="23">
        <f t="shared" si="58"/>
        <v>0</v>
      </c>
      <c r="K81" s="901"/>
      <c r="L81" s="374"/>
      <c r="M81" s="364"/>
      <c r="N81" s="1074"/>
      <c r="O81" s="1212" t="s">
        <v>266</v>
      </c>
      <c r="P81" s="1212"/>
      <c r="Q81" s="1213"/>
      <c r="R81" s="56" t="s">
        <v>262</v>
      </c>
      <c r="T81" s="1168" t="s">
        <v>268</v>
      </c>
      <c r="U81" s="1169"/>
      <c r="V81" s="1169"/>
      <c r="W81" s="1170"/>
      <c r="Y81" s="1236"/>
      <c r="Z81" s="1237"/>
      <c r="AA81" s="1239"/>
      <c r="AB81" s="319"/>
      <c r="AC81" s="1240" t="s">
        <v>272</v>
      </c>
      <c r="AD81" s="1241"/>
      <c r="AG81" s="999" t="s">
        <v>679</v>
      </c>
      <c r="AH81" s="998" t="s">
        <v>680</v>
      </c>
      <c r="AI81" s="1003" t="s">
        <v>268</v>
      </c>
      <c r="AJ81" s="1002" t="s">
        <v>681</v>
      </c>
      <c r="AK81" s="8" t="s">
        <v>609</v>
      </c>
    </row>
    <row r="82" spans="1:37" ht="22.2" thickTop="1" thickBot="1">
      <c r="A82" s="11"/>
      <c r="B82" s="13"/>
      <c r="C82" s="895"/>
      <c r="D82" s="896"/>
      <c r="E82" s="483"/>
      <c r="F82" s="897"/>
      <c r="G82" s="468">
        <f t="shared" si="56"/>
        <v>0</v>
      </c>
      <c r="H82" s="898">
        <f t="shared" si="57"/>
        <v>0</v>
      </c>
      <c r="J82" s="23">
        <f t="shared" si="58"/>
        <v>0</v>
      </c>
      <c r="K82" s="901"/>
      <c r="L82" s="374"/>
      <c r="M82" s="364"/>
      <c r="N82" s="1074"/>
      <c r="O82" s="1190" t="s">
        <v>298</v>
      </c>
      <c r="P82" s="1191"/>
      <c r="Q82" s="1192"/>
      <c r="R82" s="1112">
        <v>362.54199999999997</v>
      </c>
      <c r="T82" s="1165" t="s">
        <v>299</v>
      </c>
      <c r="U82" s="1166"/>
      <c r="V82" s="1167"/>
      <c r="W82" s="309">
        <v>330.63600000000002</v>
      </c>
      <c r="Y82" s="1182">
        <f>R82+W82</f>
        <v>693.178</v>
      </c>
      <c r="Z82" s="1183"/>
      <c r="AA82" s="318">
        <v>117</v>
      </c>
      <c r="AC82" s="1230">
        <f>Y82/AA82</f>
        <v>5.9245982905982908</v>
      </c>
      <c r="AD82" s="1231"/>
      <c r="AG82" s="1004">
        <v>3.8728205128205127</v>
      </c>
      <c r="AH82" s="1005">
        <v>2.3249743589743588</v>
      </c>
      <c r="AI82" s="1005">
        <v>0.35717948717948717</v>
      </c>
      <c r="AJ82" s="1001">
        <v>5.9245982905982908</v>
      </c>
      <c r="AK82" s="229">
        <f>AVERAGE(AG82:AJ82)</f>
        <v>3.1198931623931623</v>
      </c>
    </row>
    <row r="83" spans="1:37" thickBot="1">
      <c r="A83" s="11"/>
      <c r="B83" s="13"/>
      <c r="C83" s="895"/>
      <c r="D83" s="896"/>
      <c r="E83" s="483"/>
      <c r="F83" s="897"/>
      <c r="G83" s="468">
        <f t="shared" ref="G83" si="59">J83*2.8</f>
        <v>0</v>
      </c>
      <c r="H83" s="898">
        <f t="shared" ref="H83" si="60">G83/2.8</f>
        <v>0</v>
      </c>
      <c r="J83" s="23">
        <f t="shared" ref="J83" si="61">(K83*$K$53)+L83</f>
        <v>0</v>
      </c>
      <c r="K83" s="901"/>
      <c r="L83" s="374"/>
      <c r="M83" s="364"/>
      <c r="N83" s="1074"/>
      <c r="O83" s="1165" t="s">
        <v>299</v>
      </c>
      <c r="P83" s="1166"/>
      <c r="Q83" s="1167"/>
      <c r="R83" s="1114"/>
      <c r="AA83" s="207"/>
    </row>
    <row r="84" spans="1:37" thickBot="1">
      <c r="A84" s="11"/>
      <c r="B84" s="894"/>
      <c r="C84" s="895"/>
      <c r="D84" s="896"/>
      <c r="E84" s="569"/>
      <c r="F84" s="897"/>
      <c r="G84" s="468"/>
      <c r="H84" s="898"/>
      <c r="I84" s="183"/>
      <c r="J84" s="23">
        <f t="shared" ref="J84" si="62">(K84*$K$53)+L84</f>
        <v>0</v>
      </c>
      <c r="K84" s="899"/>
      <c r="L84" s="374"/>
      <c r="M84" s="364"/>
      <c r="N84" s="1074"/>
      <c r="O84" s="1187" t="s">
        <v>242</v>
      </c>
      <c r="P84" s="1188"/>
      <c r="Q84" s="1189"/>
      <c r="R84" s="221">
        <f>SUM(R82:R83)</f>
        <v>362.54199999999997</v>
      </c>
      <c r="W84" s="1" t="s">
        <v>301</v>
      </c>
      <c r="X84" s="117"/>
      <c r="Y84" s="396">
        <f>R85/Y82</f>
        <v>3.2295571988724396</v>
      </c>
      <c r="Z84" s="392" t="s">
        <v>302</v>
      </c>
      <c r="AK84" s="1135">
        <f>(R85-(AK82*AA82))/(AK82*AA82)</f>
        <v>5.1328475251864587</v>
      </c>
    </row>
    <row r="85" spans="1:37" s="117" customFormat="1" ht="33" customHeight="1" thickBot="1">
      <c r="A85" s="1205"/>
      <c r="B85" s="1205"/>
      <c r="C85" s="1205"/>
      <c r="D85" s="1205"/>
      <c r="E85" s="1205"/>
      <c r="F85" s="557">
        <f>SUM(F54:F76)</f>
        <v>3450</v>
      </c>
      <c r="G85" s="570">
        <f>SUM(G54:G84)</f>
        <v>2601.1999999999998</v>
      </c>
      <c r="H85" s="559">
        <f>SUM(H54:H76)</f>
        <v>929</v>
      </c>
      <c r="I85" s="198"/>
      <c r="J85" s="60">
        <f>SUM(J54:J76)</f>
        <v>959</v>
      </c>
      <c r="K85" s="263"/>
      <c r="L85" s="264"/>
      <c r="M85" s="1158">
        <f>2931-2601</f>
        <v>330</v>
      </c>
      <c r="N85" s="115"/>
      <c r="O85" s="1175" t="s">
        <v>243</v>
      </c>
      <c r="P85" s="1176"/>
      <c r="Q85" s="1177"/>
      <c r="R85" s="222">
        <f>$G$85-R84</f>
        <v>2238.6579999999999</v>
      </c>
      <c r="S85" s="390"/>
      <c r="T85" s="390"/>
      <c r="U85" s="390"/>
      <c r="W85" s="8" t="s">
        <v>303</v>
      </c>
      <c r="X85" s="8"/>
      <c r="Y85" s="396">
        <f>(R85-Y82)/Y82</f>
        <v>2.2295571988724396</v>
      </c>
      <c r="Z85" s="392" t="s">
        <v>302</v>
      </c>
    </row>
    <row r="86" spans="1:37" ht="9.75" customHeight="1" thickBot="1">
      <c r="A86" s="17"/>
      <c r="B86" s="17"/>
      <c r="H86" s="469"/>
      <c r="I86" s="8"/>
      <c r="J86" s="8"/>
      <c r="K86" s="8"/>
      <c r="L86" s="8"/>
      <c r="M86" s="8"/>
      <c r="N86" s="8"/>
    </row>
    <row r="87" spans="1:37" ht="27" customHeight="1" thickBot="1">
      <c r="A87" s="240"/>
      <c r="B87" s="49" t="s">
        <v>369</v>
      </c>
      <c r="C87" s="561"/>
      <c r="D87" s="562"/>
      <c r="E87" s="1161" t="s">
        <v>885</v>
      </c>
      <c r="F87" s="563"/>
      <c r="G87" s="571" t="s">
        <v>36</v>
      </c>
      <c r="H87" s="565"/>
      <c r="I87" s="243"/>
      <c r="J87" s="20"/>
      <c r="K87" s="241">
        <v>6</v>
      </c>
      <c r="L87" s="242" t="s">
        <v>38</v>
      </c>
      <c r="M87" s="151"/>
      <c r="N87" s="150" t="s">
        <v>538</v>
      </c>
      <c r="O87" s="1214" t="s">
        <v>28</v>
      </c>
      <c r="P87" s="1215"/>
      <c r="Q87" s="1215"/>
      <c r="R87" s="1215"/>
      <c r="U87" s="299"/>
    </row>
    <row r="88" spans="1:37" s="17" customFormat="1">
      <c r="A88" s="54">
        <v>302</v>
      </c>
      <c r="B88" s="14"/>
      <c r="C88" s="460" t="s">
        <v>509</v>
      </c>
      <c r="D88" s="461" t="s">
        <v>506</v>
      </c>
      <c r="E88" s="483" t="s">
        <v>510</v>
      </c>
      <c r="F88" s="463"/>
      <c r="G88" s="468">
        <f>H88*2.8</f>
        <v>98</v>
      </c>
      <c r="H88" s="465">
        <v>35</v>
      </c>
      <c r="I88" s="167"/>
      <c r="J88" s="27">
        <v>189</v>
      </c>
      <c r="K88" s="137">
        <v>31</v>
      </c>
      <c r="L88" s="24">
        <v>3</v>
      </c>
      <c r="M88" s="1134" t="s">
        <v>781</v>
      </c>
      <c r="N88" s="150"/>
      <c r="O88" s="871" t="s">
        <v>332</v>
      </c>
      <c r="P88" s="17" t="s">
        <v>333</v>
      </c>
      <c r="Q88" s="322" t="s">
        <v>334</v>
      </c>
      <c r="R88" s="17">
        <v>457.964</v>
      </c>
    </row>
    <row r="89" spans="1:37" s="17" customFormat="1">
      <c r="A89" s="54"/>
      <c r="B89" s="14"/>
      <c r="C89" s="460" t="s">
        <v>512</v>
      </c>
      <c r="D89" s="461" t="s">
        <v>218</v>
      </c>
      <c r="E89" s="483" t="s">
        <v>513</v>
      </c>
      <c r="F89" s="463">
        <v>300</v>
      </c>
      <c r="G89" s="468">
        <f>H89*2.8</f>
        <v>251.99999999999997</v>
      </c>
      <c r="H89" s="465">
        <v>90</v>
      </c>
      <c r="I89" s="167"/>
      <c r="J89" s="27">
        <v>90</v>
      </c>
      <c r="K89" s="137">
        <v>15</v>
      </c>
      <c r="L89" s="24"/>
      <c r="M89" s="1134" t="s">
        <v>876</v>
      </c>
      <c r="N89" s="150"/>
      <c r="O89" s="871"/>
      <c r="R89" s="878"/>
    </row>
    <row r="90" spans="1:37" s="17" customFormat="1" ht="21.6" thickBot="1">
      <c r="A90" s="48" t="s">
        <v>32</v>
      </c>
      <c r="B90" s="14"/>
      <c r="C90" s="460" t="s">
        <v>560</v>
      </c>
      <c r="D90" s="461" t="s">
        <v>218</v>
      </c>
      <c r="E90" s="483" t="s">
        <v>567</v>
      </c>
      <c r="F90" s="463">
        <v>300</v>
      </c>
      <c r="G90" s="468">
        <v>263.2</v>
      </c>
      <c r="H90" s="465">
        <f>G90/2.8</f>
        <v>94</v>
      </c>
      <c r="I90" s="167"/>
      <c r="J90" s="27">
        <v>94</v>
      </c>
      <c r="K90" s="137">
        <v>15</v>
      </c>
      <c r="L90" s="24">
        <v>4</v>
      </c>
      <c r="M90" s="46"/>
      <c r="N90" s="150"/>
      <c r="O90" s="871"/>
    </row>
    <row r="91" spans="1:37" s="17" customFormat="1" ht="22.8">
      <c r="A91" s="48" t="s">
        <v>33</v>
      </c>
      <c r="B91" s="954"/>
      <c r="C91" s="460" t="s">
        <v>578</v>
      </c>
      <c r="D91" s="461" t="s">
        <v>218</v>
      </c>
      <c r="E91" s="483" t="s">
        <v>580</v>
      </c>
      <c r="F91" s="463">
        <v>300</v>
      </c>
      <c r="G91" s="468">
        <f>H91*2.8</f>
        <v>221.2</v>
      </c>
      <c r="H91" s="465">
        <v>79</v>
      </c>
      <c r="I91" s="167"/>
      <c r="J91" s="27">
        <v>87</v>
      </c>
      <c r="K91" s="137">
        <v>14</v>
      </c>
      <c r="L91" s="24">
        <v>3</v>
      </c>
      <c r="M91" s="46"/>
      <c r="N91" s="399"/>
      <c r="O91" s="1181" t="s">
        <v>282</v>
      </c>
      <c r="P91" s="1171"/>
      <c r="Q91" s="1171"/>
      <c r="R91" s="1171"/>
      <c r="S91" s="1171" t="s">
        <v>281</v>
      </c>
      <c r="T91" s="1171"/>
      <c r="U91" s="1172"/>
      <c r="V91" s="8"/>
    </row>
    <row r="92" spans="1:37" s="17" customFormat="1">
      <c r="A92" s="53" t="s">
        <v>34</v>
      </c>
      <c r="B92" s="14"/>
      <c r="C92" s="460" t="s">
        <v>586</v>
      </c>
      <c r="D92" s="461" t="s">
        <v>592</v>
      </c>
      <c r="E92" s="483" t="s">
        <v>593</v>
      </c>
      <c r="F92" s="463">
        <v>1050</v>
      </c>
      <c r="G92" s="468">
        <v>826</v>
      </c>
      <c r="H92" s="465">
        <f>G92/2.8</f>
        <v>295</v>
      </c>
      <c r="I92" s="167"/>
      <c r="J92" s="27">
        <v>295</v>
      </c>
      <c r="K92" s="137">
        <v>49</v>
      </c>
      <c r="L92" s="24">
        <v>1</v>
      </c>
      <c r="M92" s="46"/>
      <c r="N92" s="46"/>
      <c r="O92" s="1180" t="s">
        <v>227</v>
      </c>
      <c r="P92" s="1173"/>
      <c r="Q92" s="1173"/>
      <c r="R92" s="1173"/>
      <c r="S92" s="1173" t="s">
        <v>283</v>
      </c>
      <c r="T92" s="1173"/>
      <c r="U92" s="1174"/>
    </row>
    <row r="93" spans="1:37" s="17" customFormat="1" ht="22.8">
      <c r="A93" s="53"/>
      <c r="B93" s="954"/>
      <c r="C93" s="460" t="s">
        <v>586</v>
      </c>
      <c r="D93" s="461" t="s">
        <v>496</v>
      </c>
      <c r="E93" s="483" t="s">
        <v>590</v>
      </c>
      <c r="F93" s="463">
        <v>450</v>
      </c>
      <c r="G93" s="468">
        <v>117.6</v>
      </c>
      <c r="H93" s="465">
        <f>G93/2.8</f>
        <v>42</v>
      </c>
      <c r="J93" s="23">
        <v>42</v>
      </c>
      <c r="K93" s="137">
        <v>7</v>
      </c>
      <c r="L93" s="24"/>
      <c r="M93" s="46"/>
      <c r="N93" s="46"/>
      <c r="O93" s="1180" t="s">
        <v>284</v>
      </c>
      <c r="P93" s="1173"/>
      <c r="Q93" s="1173"/>
      <c r="R93" s="1173"/>
      <c r="S93" s="1173" t="s">
        <v>281</v>
      </c>
      <c r="T93" s="1173"/>
      <c r="U93" s="1174"/>
    </row>
    <row r="94" spans="1:37" s="17" customFormat="1">
      <c r="A94" s="48"/>
      <c r="B94" s="14"/>
      <c r="C94" s="460" t="s">
        <v>586</v>
      </c>
      <c r="D94" s="461" t="s">
        <v>497</v>
      </c>
      <c r="E94" s="483" t="s">
        <v>591</v>
      </c>
      <c r="F94" s="463"/>
      <c r="G94" s="468">
        <v>271.59999999999997</v>
      </c>
      <c r="H94" s="465">
        <f>G94/2.8</f>
        <v>97</v>
      </c>
      <c r="J94" s="23">
        <v>97</v>
      </c>
      <c r="K94" s="137">
        <v>16</v>
      </c>
      <c r="L94" s="24">
        <v>1</v>
      </c>
      <c r="M94" s="46"/>
      <c r="N94" s="46"/>
      <c r="O94" s="1180" t="s">
        <v>285</v>
      </c>
      <c r="P94" s="1173"/>
      <c r="Q94" s="1173"/>
      <c r="R94" s="1173"/>
      <c r="S94" s="153"/>
      <c r="T94" s="153"/>
      <c r="U94" s="367"/>
    </row>
    <row r="95" spans="1:37" s="17" customFormat="1" ht="27.75" customHeight="1">
      <c r="A95" s="11"/>
      <c r="B95" s="14"/>
      <c r="C95" s="460"/>
      <c r="D95" s="461"/>
      <c r="E95" s="483" t="s">
        <v>782</v>
      </c>
      <c r="F95" s="463"/>
      <c r="G95" s="468">
        <f>H95*2.8</f>
        <v>72.8</v>
      </c>
      <c r="H95" s="465">
        <v>26</v>
      </c>
      <c r="J95" s="23">
        <f t="shared" ref="J95" si="63">(K95*$K$53)+L95</f>
        <v>0</v>
      </c>
      <c r="K95" s="901"/>
      <c r="L95" s="374"/>
      <c r="M95" s="1134" t="s">
        <v>875</v>
      </c>
      <c r="N95" s="46"/>
      <c r="O95" s="1180" t="s">
        <v>288</v>
      </c>
      <c r="P95" s="1173"/>
      <c r="Q95" s="1173"/>
      <c r="R95" s="1173"/>
      <c r="S95" s="153"/>
      <c r="T95" s="153"/>
      <c r="U95" s="367"/>
    </row>
    <row r="96" spans="1:37" s="17" customFormat="1">
      <c r="B96" s="14"/>
      <c r="C96" s="460"/>
      <c r="D96" s="461"/>
      <c r="E96" s="483"/>
      <c r="F96" s="463"/>
      <c r="G96" s="468">
        <f t="shared" ref="G96:G102" si="64">J96*2.8</f>
        <v>0</v>
      </c>
      <c r="H96" s="465">
        <f t="shared" ref="H96:H102" si="65">G96/2.8</f>
        <v>0</v>
      </c>
      <c r="I96" s="167"/>
      <c r="J96" s="27">
        <f t="shared" ref="J96:J102" si="66">(K96*$K$87)+L96</f>
        <v>0</v>
      </c>
      <c r="K96" s="137"/>
      <c r="L96" s="24"/>
      <c r="M96" s="46"/>
      <c r="N96" s="46"/>
      <c r="O96" s="1218" t="s">
        <v>289</v>
      </c>
      <c r="P96" s="1219"/>
      <c r="Q96" s="1219"/>
      <c r="R96" s="1219"/>
      <c r="S96" s="153"/>
      <c r="T96" s="153"/>
      <c r="U96" s="367"/>
    </row>
    <row r="97" spans="2:36" s="17" customFormat="1" ht="30.75" customHeight="1">
      <c r="B97" s="14"/>
      <c r="C97" s="460"/>
      <c r="D97" s="461"/>
      <c r="E97" s="483"/>
      <c r="F97" s="463"/>
      <c r="G97" s="468">
        <f t="shared" si="64"/>
        <v>0</v>
      </c>
      <c r="H97" s="465">
        <f t="shared" si="65"/>
        <v>0</v>
      </c>
      <c r="I97" s="167"/>
      <c r="J97" s="27">
        <f t="shared" si="66"/>
        <v>0</v>
      </c>
      <c r="K97" s="137"/>
      <c r="L97" s="24"/>
      <c r="M97" s="46"/>
      <c r="N97" s="46"/>
      <c r="O97" s="1220" t="s">
        <v>254</v>
      </c>
      <c r="P97" s="1221"/>
      <c r="Q97" s="1221"/>
      <c r="R97" s="1221"/>
      <c r="S97" s="368"/>
      <c r="T97" s="368"/>
      <c r="U97" s="369"/>
    </row>
    <row r="98" spans="2:36" s="17" customFormat="1" ht="25.5" customHeight="1">
      <c r="B98" s="14"/>
      <c r="C98" s="460"/>
      <c r="D98" s="461"/>
      <c r="E98" s="483"/>
      <c r="F98" s="463"/>
      <c r="G98" s="468">
        <f t="shared" si="64"/>
        <v>0</v>
      </c>
      <c r="H98" s="465">
        <f t="shared" si="65"/>
        <v>0</v>
      </c>
      <c r="I98" s="167"/>
      <c r="J98" s="27">
        <f t="shared" si="66"/>
        <v>0</v>
      </c>
      <c r="K98" s="137"/>
      <c r="L98" s="24"/>
      <c r="M98" s="46"/>
      <c r="N98" s="46"/>
      <c r="O98" s="1220" t="s">
        <v>290</v>
      </c>
      <c r="P98" s="1221"/>
      <c r="Q98" s="1221"/>
      <c r="R98" s="1221"/>
      <c r="S98" s="368"/>
      <c r="T98" s="368"/>
      <c r="U98" s="369"/>
    </row>
    <row r="99" spans="2:36" s="17" customFormat="1" ht="25.5" customHeight="1">
      <c r="B99" s="14"/>
      <c r="C99" s="460"/>
      <c r="D99" s="461"/>
      <c r="E99" s="483"/>
      <c r="F99" s="463"/>
      <c r="G99" s="468">
        <f t="shared" si="64"/>
        <v>0</v>
      </c>
      <c r="H99" s="465">
        <f t="shared" si="65"/>
        <v>0</v>
      </c>
      <c r="I99" s="167"/>
      <c r="J99" s="27">
        <f t="shared" si="66"/>
        <v>0</v>
      </c>
      <c r="K99" s="137"/>
      <c r="L99" s="24"/>
      <c r="M99" s="46"/>
      <c r="N99" s="46"/>
      <c r="O99" s="1220" t="s">
        <v>291</v>
      </c>
      <c r="P99" s="1221"/>
      <c r="Q99" s="1221"/>
      <c r="R99" s="1221"/>
      <c r="S99" s="368"/>
      <c r="T99" s="368"/>
      <c r="U99" s="369"/>
    </row>
    <row r="100" spans="2:36" s="17" customFormat="1" ht="25.5" customHeight="1">
      <c r="B100" s="14"/>
      <c r="C100" s="460"/>
      <c r="D100" s="461"/>
      <c r="E100" s="483"/>
      <c r="F100" s="463"/>
      <c r="G100" s="468">
        <f t="shared" si="64"/>
        <v>0</v>
      </c>
      <c r="H100" s="465">
        <f t="shared" si="65"/>
        <v>0</v>
      </c>
      <c r="I100" s="167"/>
      <c r="J100" s="27">
        <f t="shared" si="66"/>
        <v>0</v>
      </c>
      <c r="K100" s="137"/>
      <c r="L100" s="24"/>
      <c r="M100" s="46"/>
      <c r="N100" s="46"/>
      <c r="O100" s="1222"/>
      <c r="P100" s="1223"/>
      <c r="Q100" s="1223"/>
      <c r="R100" s="1223"/>
      <c r="S100" s="368"/>
      <c r="T100" s="368"/>
      <c r="U100" s="369"/>
    </row>
    <row r="101" spans="2:36" s="17" customFormat="1" ht="28.5" customHeight="1">
      <c r="B101" s="14"/>
      <c r="C101" s="460"/>
      <c r="D101" s="461"/>
      <c r="E101" s="483"/>
      <c r="F101" s="463"/>
      <c r="G101" s="468">
        <f t="shared" si="64"/>
        <v>0</v>
      </c>
      <c r="H101" s="465">
        <f t="shared" si="65"/>
        <v>0</v>
      </c>
      <c r="I101" s="167"/>
      <c r="J101" s="27">
        <f t="shared" si="66"/>
        <v>0</v>
      </c>
      <c r="K101" s="137"/>
      <c r="L101" s="24"/>
      <c r="M101" s="46"/>
      <c r="N101" s="46"/>
      <c r="O101" s="1222"/>
      <c r="P101" s="1223"/>
      <c r="Q101" s="1223"/>
      <c r="R101" s="1223"/>
      <c r="S101" s="368"/>
      <c r="T101" s="368"/>
      <c r="U101" s="369"/>
    </row>
    <row r="102" spans="2:36" s="17" customFormat="1" ht="28.5" customHeight="1">
      <c r="B102" s="14"/>
      <c r="C102" s="460"/>
      <c r="D102" s="461"/>
      <c r="E102" s="483"/>
      <c r="F102" s="463"/>
      <c r="G102" s="468">
        <f t="shared" si="64"/>
        <v>0</v>
      </c>
      <c r="H102" s="465">
        <f t="shared" si="65"/>
        <v>0</v>
      </c>
      <c r="I102" s="167"/>
      <c r="J102" s="27">
        <f t="shared" si="66"/>
        <v>0</v>
      </c>
      <c r="K102" s="137"/>
      <c r="L102" s="24"/>
      <c r="M102" s="46"/>
      <c r="N102" s="46"/>
      <c r="O102" s="1072"/>
      <c r="P102" s="368"/>
      <c r="Q102" s="368"/>
      <c r="R102" s="368"/>
      <c r="S102" s="368"/>
      <c r="T102" s="368"/>
      <c r="U102" s="369"/>
    </row>
    <row r="103" spans="2:36" s="17" customFormat="1" ht="28.5" customHeight="1">
      <c r="B103" s="14"/>
      <c r="C103" s="460"/>
      <c r="D103" s="461"/>
      <c r="E103" s="483"/>
      <c r="F103" s="463"/>
      <c r="G103" s="468">
        <f t="shared" ref="G103:G107" si="67">J103*2.8</f>
        <v>0</v>
      </c>
      <c r="H103" s="465">
        <f t="shared" ref="H103:H107" si="68">G103/2.8</f>
        <v>0</v>
      </c>
      <c r="I103" s="167"/>
      <c r="J103" s="27">
        <f t="shared" ref="J103:J107" si="69">(K103*$K$87)+L103</f>
        <v>0</v>
      </c>
      <c r="K103" s="137"/>
      <c r="L103" s="24"/>
      <c r="M103" s="46"/>
      <c r="N103" s="46"/>
      <c r="O103" s="1072"/>
      <c r="P103" s="368"/>
      <c r="Q103" s="368"/>
      <c r="R103" s="368"/>
      <c r="S103" s="368"/>
      <c r="T103" s="368"/>
      <c r="U103" s="369"/>
    </row>
    <row r="104" spans="2:36" s="17" customFormat="1" ht="28.5" customHeight="1">
      <c r="B104" s="14"/>
      <c r="C104" s="460"/>
      <c r="D104" s="461"/>
      <c r="E104" s="483"/>
      <c r="F104" s="463"/>
      <c r="G104" s="468">
        <f t="shared" si="67"/>
        <v>0</v>
      </c>
      <c r="H104" s="465">
        <f t="shared" si="68"/>
        <v>0</v>
      </c>
      <c r="I104" s="167"/>
      <c r="J104" s="27">
        <f t="shared" si="69"/>
        <v>0</v>
      </c>
      <c r="K104" s="137"/>
      <c r="L104" s="24"/>
      <c r="M104" s="46"/>
      <c r="N104" s="46"/>
      <c r="O104" s="1072"/>
      <c r="P104" s="368"/>
      <c r="Q104" s="368"/>
      <c r="R104" s="368"/>
      <c r="S104" s="368"/>
      <c r="T104" s="368"/>
      <c r="U104" s="369"/>
    </row>
    <row r="105" spans="2:36" s="17" customFormat="1" ht="28.5" customHeight="1" thickBot="1">
      <c r="B105" s="14"/>
      <c r="C105" s="460"/>
      <c r="D105" s="461"/>
      <c r="E105" s="483"/>
      <c r="F105" s="463"/>
      <c r="G105" s="468">
        <f t="shared" si="67"/>
        <v>0</v>
      </c>
      <c r="H105" s="465">
        <f t="shared" si="68"/>
        <v>0</v>
      </c>
      <c r="I105" s="167"/>
      <c r="J105" s="27">
        <f t="shared" si="69"/>
        <v>0</v>
      </c>
      <c r="K105" s="137"/>
      <c r="L105" s="24"/>
      <c r="M105" s="46"/>
      <c r="N105" s="349"/>
      <c r="O105" s="1073"/>
      <c r="P105" s="370"/>
      <c r="Q105" s="370"/>
      <c r="R105" s="370"/>
      <c r="S105" s="370"/>
      <c r="T105" s="370"/>
      <c r="U105" s="371"/>
    </row>
    <row r="106" spans="2:36" s="17" customFormat="1">
      <c r="B106" s="14"/>
      <c r="C106" s="460"/>
      <c r="D106" s="461"/>
      <c r="E106" s="483"/>
      <c r="F106" s="463"/>
      <c r="G106" s="468">
        <f t="shared" si="67"/>
        <v>0</v>
      </c>
      <c r="H106" s="465">
        <f t="shared" si="68"/>
        <v>0</v>
      </c>
      <c r="I106" s="167"/>
      <c r="J106" s="27">
        <f t="shared" si="69"/>
        <v>0</v>
      </c>
      <c r="K106" s="137"/>
      <c r="L106" s="24"/>
      <c r="M106" s="46"/>
      <c r="N106" s="150"/>
      <c r="O106" s="871"/>
    </row>
    <row r="107" spans="2:36" s="17" customFormat="1" ht="21.75" customHeight="1">
      <c r="B107" s="14"/>
      <c r="C107" s="460"/>
      <c r="D107" s="461"/>
      <c r="E107" s="483"/>
      <c r="F107" s="463"/>
      <c r="G107" s="468">
        <f t="shared" si="67"/>
        <v>0</v>
      </c>
      <c r="H107" s="465">
        <f t="shared" si="68"/>
        <v>0</v>
      </c>
      <c r="I107" s="167"/>
      <c r="J107" s="27">
        <f t="shared" si="69"/>
        <v>0</v>
      </c>
      <c r="K107" s="137"/>
      <c r="L107" s="24"/>
      <c r="M107" s="46"/>
      <c r="N107" s="150"/>
      <c r="O107" s="871"/>
    </row>
    <row r="108" spans="2:36" s="17" customFormat="1">
      <c r="B108" s="14"/>
      <c r="C108" s="460"/>
      <c r="D108" s="461"/>
      <c r="E108" s="483"/>
      <c r="F108" s="463"/>
      <c r="G108" s="468">
        <f t="shared" ref="G108" si="70">J108*2.8</f>
        <v>0</v>
      </c>
      <c r="H108" s="465">
        <f t="shared" ref="H108" si="71">G108/2.8</f>
        <v>0</v>
      </c>
      <c r="I108" s="167"/>
      <c r="J108" s="27">
        <f t="shared" ref="J108" si="72">(K108*$K$87)+L108</f>
        <v>0</v>
      </c>
      <c r="K108" s="137"/>
      <c r="L108" s="24"/>
      <c r="M108" s="46"/>
      <c r="N108" s="150"/>
      <c r="O108" s="871"/>
    </row>
    <row r="109" spans="2:36" s="17" customFormat="1">
      <c r="B109" s="14"/>
      <c r="C109" s="460"/>
      <c r="D109" s="461"/>
      <c r="E109" s="483"/>
      <c r="F109" s="463"/>
      <c r="G109" s="468">
        <f t="shared" ref="G109" si="73">J109*2.8</f>
        <v>0</v>
      </c>
      <c r="H109" s="465">
        <f t="shared" ref="H109" si="74">G109/2.8</f>
        <v>0</v>
      </c>
      <c r="I109" s="167"/>
      <c r="J109" s="27">
        <f t="shared" ref="J109" si="75">(K109*$K$87)+L109</f>
        <v>0</v>
      </c>
      <c r="K109" s="137"/>
      <c r="L109" s="24"/>
      <c r="M109" s="46"/>
      <c r="N109" s="150"/>
      <c r="O109" s="871"/>
    </row>
    <row r="110" spans="2:36" s="17" customFormat="1" ht="21.6" thickBot="1">
      <c r="B110" s="14"/>
      <c r="C110" s="460"/>
      <c r="D110" s="461"/>
      <c r="E110" s="483"/>
      <c r="F110" s="463"/>
      <c r="G110" s="468">
        <f t="shared" ref="G110:G111" si="76">J110*2.8</f>
        <v>0</v>
      </c>
      <c r="H110" s="465">
        <f t="shared" ref="H110:H111" si="77">G110/2.8</f>
        <v>0</v>
      </c>
      <c r="I110" s="167"/>
      <c r="J110" s="27">
        <f t="shared" ref="J110:J111" si="78">(K110*$K$87)+L110</f>
        <v>0</v>
      </c>
      <c r="K110" s="137"/>
      <c r="L110" s="24"/>
      <c r="M110" s="46"/>
      <c r="N110" s="150"/>
      <c r="O110" s="871"/>
      <c r="Y110" s="1244" t="s">
        <v>317</v>
      </c>
      <c r="Z110" s="1244"/>
    </row>
    <row r="111" spans="2:36" s="17" customFormat="1" ht="28.5" customHeight="1" thickBot="1">
      <c r="B111" s="14"/>
      <c r="C111" s="460"/>
      <c r="D111" s="461"/>
      <c r="E111" s="483"/>
      <c r="F111" s="463"/>
      <c r="G111" s="468">
        <f t="shared" si="76"/>
        <v>0</v>
      </c>
      <c r="H111" s="465">
        <f t="shared" si="77"/>
        <v>0</v>
      </c>
      <c r="I111" s="167"/>
      <c r="J111" s="27">
        <f t="shared" si="78"/>
        <v>0</v>
      </c>
      <c r="K111" s="137"/>
      <c r="L111" s="24"/>
      <c r="M111" s="46"/>
      <c r="N111" s="150"/>
      <c r="O111" s="871"/>
      <c r="Y111" s="1232" t="s">
        <v>269</v>
      </c>
      <c r="Z111" s="1233"/>
      <c r="AA111" s="8"/>
      <c r="AB111" s="8"/>
      <c r="AC111" s="8"/>
      <c r="AD111" s="8"/>
      <c r="AG111" s="1224" t="s">
        <v>366</v>
      </c>
      <c r="AH111" s="1225"/>
      <c r="AI111" s="1225"/>
      <c r="AJ111" s="1226"/>
    </row>
    <row r="112" spans="2:36" s="17" customFormat="1" ht="28.5" customHeight="1" thickBot="1">
      <c r="B112" s="14"/>
      <c r="C112" s="460"/>
      <c r="D112" s="461"/>
      <c r="E112" s="483"/>
      <c r="F112" s="463"/>
      <c r="G112" s="468">
        <f t="shared" ref="G112:G114" si="79">J112*2.8</f>
        <v>0</v>
      </c>
      <c r="H112" s="465">
        <f t="shared" ref="H112:H114" si="80">G112/2.8</f>
        <v>0</v>
      </c>
      <c r="I112" s="167"/>
      <c r="J112" s="27">
        <f t="shared" ref="J112:J114" si="81">(K112*$K$87)+L112</f>
        <v>0</v>
      </c>
      <c r="K112" s="137"/>
      <c r="L112" s="24"/>
      <c r="M112" s="46"/>
      <c r="N112" s="150"/>
      <c r="O112" s="871"/>
      <c r="Y112" s="1234" t="s">
        <v>300</v>
      </c>
      <c r="Z112" s="1235"/>
      <c r="AA112" s="1238" t="s">
        <v>271</v>
      </c>
      <c r="AB112" s="319"/>
      <c r="AC112" s="321"/>
      <c r="AD112" s="321"/>
      <c r="AG112" s="1227"/>
      <c r="AH112" s="1228"/>
      <c r="AI112" s="1228"/>
      <c r="AJ112" s="1229"/>
    </row>
    <row r="113" spans="1:37" s="17" customFormat="1" ht="24" customHeight="1" thickTop="1" thickBot="1">
      <c r="B113" s="14"/>
      <c r="C113" s="460"/>
      <c r="D113" s="461"/>
      <c r="E113" s="483"/>
      <c r="F113" s="463"/>
      <c r="G113" s="468">
        <f t="shared" si="79"/>
        <v>0</v>
      </c>
      <c r="H113" s="465">
        <f t="shared" si="80"/>
        <v>0</v>
      </c>
      <c r="I113" s="167"/>
      <c r="J113" s="27">
        <f t="shared" si="81"/>
        <v>0</v>
      </c>
      <c r="K113" s="137"/>
      <c r="L113" s="24"/>
      <c r="M113" s="46"/>
      <c r="N113" s="150"/>
      <c r="O113" s="1178" t="s">
        <v>267</v>
      </c>
      <c r="P113" s="1178"/>
      <c r="Q113" s="1179"/>
      <c r="R113" s="56" t="s">
        <v>262</v>
      </c>
      <c r="T113" s="1168" t="s">
        <v>268</v>
      </c>
      <c r="U113" s="1169"/>
      <c r="V113" s="1169"/>
      <c r="W113" s="1170"/>
      <c r="Y113" s="1236"/>
      <c r="Z113" s="1237"/>
      <c r="AA113" s="1239"/>
      <c r="AB113" s="319"/>
      <c r="AC113" s="1240" t="s">
        <v>272</v>
      </c>
      <c r="AD113" s="1241"/>
      <c r="AG113" s="999" t="s">
        <v>679</v>
      </c>
      <c r="AH113" s="960" t="s">
        <v>680</v>
      </c>
      <c r="AI113" s="1003" t="s">
        <v>268</v>
      </c>
      <c r="AJ113" s="959" t="s">
        <v>681</v>
      </c>
      <c r="AK113" s="8" t="s">
        <v>609</v>
      </c>
    </row>
    <row r="114" spans="1:37" s="17" customFormat="1" ht="22.2" thickTop="1" thickBot="1">
      <c r="B114" s="14"/>
      <c r="C114" s="460"/>
      <c r="D114" s="461"/>
      <c r="E114" s="483"/>
      <c r="F114" s="463"/>
      <c r="G114" s="468">
        <f t="shared" si="79"/>
        <v>0</v>
      </c>
      <c r="H114" s="465">
        <f t="shared" si="80"/>
        <v>0</v>
      </c>
      <c r="I114" s="167"/>
      <c r="J114" s="27">
        <f t="shared" si="81"/>
        <v>0</v>
      </c>
      <c r="K114" s="137"/>
      <c r="L114" s="24"/>
      <c r="M114" s="46"/>
      <c r="N114" s="150"/>
      <c r="O114" s="1190" t="s">
        <v>298</v>
      </c>
      <c r="P114" s="1191"/>
      <c r="Q114" s="1192"/>
      <c r="R114" s="1112">
        <v>177.79599999999999</v>
      </c>
      <c r="T114" s="1165" t="s">
        <v>299</v>
      </c>
      <c r="U114" s="1166"/>
      <c r="V114" s="1167"/>
      <c r="W114" s="309">
        <v>111.074</v>
      </c>
      <c r="Y114" s="1182">
        <f>R114+W114</f>
        <v>288.87</v>
      </c>
      <c r="Z114" s="1183"/>
      <c r="AA114" s="318">
        <v>117</v>
      </c>
      <c r="AB114" s="8"/>
      <c r="AC114" s="1230">
        <f>Y114/AA114</f>
        <v>2.4689743589743589</v>
      </c>
      <c r="AD114" s="1231"/>
      <c r="AG114" s="1004">
        <v>1.1329914529914531</v>
      </c>
      <c r="AH114" s="1005">
        <v>5.8670256410256414</v>
      </c>
      <c r="AI114" s="1005">
        <v>0.11905982905982906</v>
      </c>
      <c r="AJ114" s="1001">
        <v>2.4689743589743589</v>
      </c>
      <c r="AK114" s="162">
        <f>AVERAGE(AG114:AJ114)</f>
        <v>2.3970128205128205</v>
      </c>
    </row>
    <row r="115" spans="1:37" s="17" customFormat="1" ht="21.6" thickBot="1">
      <c r="B115" s="14"/>
      <c r="C115" s="460"/>
      <c r="D115" s="461"/>
      <c r="E115" s="483"/>
      <c r="F115" s="463"/>
      <c r="G115" s="468">
        <f t="shared" ref="G115" si="82">J115*2.8</f>
        <v>0</v>
      </c>
      <c r="H115" s="465">
        <f t="shared" ref="H115" si="83">G115/2.8</f>
        <v>0</v>
      </c>
      <c r="I115" s="167"/>
      <c r="J115" s="27">
        <f t="shared" ref="J115" si="84">(K115*$K$87)+L115</f>
        <v>0</v>
      </c>
      <c r="K115" s="137"/>
      <c r="L115" s="24"/>
      <c r="M115" s="46"/>
      <c r="N115" s="150"/>
      <c r="O115" s="1165" t="s">
        <v>299</v>
      </c>
      <c r="P115" s="1166"/>
      <c r="Q115" s="1167"/>
      <c r="R115" s="1114"/>
      <c r="S115" s="342"/>
      <c r="W115" s="878"/>
      <c r="AA115" s="181"/>
      <c r="AB115" s="181"/>
    </row>
    <row r="116" spans="1:37" s="17" customFormat="1" ht="21.6" thickBot="1">
      <c r="B116" s="1163"/>
      <c r="C116" s="1163"/>
      <c r="D116" s="1163"/>
      <c r="E116" s="1164"/>
      <c r="F116" s="572"/>
      <c r="G116" s="468">
        <f t="shared" ref="G116" si="85">J116*2.8</f>
        <v>0</v>
      </c>
      <c r="H116" s="465">
        <f t="shared" ref="H116" si="86">G116/2.8</f>
        <v>0</v>
      </c>
      <c r="I116" s="167"/>
      <c r="J116" s="27">
        <f t="shared" ref="J116" si="87">(K116*$K$87)+L116</f>
        <v>0</v>
      </c>
      <c r="K116" s="372"/>
      <c r="L116" s="373"/>
      <c r="M116" s="364"/>
      <c r="N116" s="1074"/>
      <c r="O116" s="1187" t="s">
        <v>242</v>
      </c>
      <c r="P116" s="1188"/>
      <c r="Q116" s="1189"/>
      <c r="R116" s="221">
        <f>SUM(R114:R115)</f>
        <v>177.79599999999999</v>
      </c>
      <c r="S116" s="879" t="s">
        <v>321</v>
      </c>
      <c r="T116" s="878"/>
      <c r="W116" s="1" t="s">
        <v>301</v>
      </c>
      <c r="X116" s="117"/>
      <c r="Y116" s="396">
        <f>R117/Y114</f>
        <v>6.7317616921106378</v>
      </c>
      <c r="Z116" s="392" t="s">
        <v>302</v>
      </c>
      <c r="AA116" s="181"/>
      <c r="AB116" s="181"/>
      <c r="AK116" s="1135">
        <f>(R117-(AK114*AA114))/(AK114*AA114)</f>
        <v>5.9338582031410185</v>
      </c>
    </row>
    <row r="117" spans="1:37" s="117" customFormat="1" ht="34.5" customHeight="1" thickBot="1">
      <c r="C117" s="453"/>
      <c r="D117" s="566"/>
      <c r="E117" s="567"/>
      <c r="F117" s="557">
        <f>SUM(F88:F110)</f>
        <v>2400</v>
      </c>
      <c r="G117" s="570">
        <f>SUM(G88:G110)</f>
        <v>2122.4</v>
      </c>
      <c r="H117" s="559">
        <f>SUM(H88:H110)</f>
        <v>758</v>
      </c>
      <c r="I117" s="198"/>
      <c r="J117" s="60">
        <f>SUM(J88:J110)</f>
        <v>894</v>
      </c>
      <c r="K117" s="64"/>
      <c r="L117" s="64"/>
      <c r="M117" s="1151">
        <f>8*2.8</f>
        <v>22.4</v>
      </c>
      <c r="N117" s="115"/>
      <c r="O117" s="1175" t="s">
        <v>243</v>
      </c>
      <c r="P117" s="1176"/>
      <c r="Q117" s="1177"/>
      <c r="R117" s="222">
        <f>$G$117-R116</f>
        <v>1944.604</v>
      </c>
      <c r="S117" s="390"/>
      <c r="T117" s="390"/>
      <c r="U117" s="390"/>
      <c r="W117" s="8" t="s">
        <v>303</v>
      </c>
      <c r="X117" s="8"/>
      <c r="Y117" s="395">
        <f>(R117-Y114)/Y114</f>
        <v>5.7317616921106378</v>
      </c>
      <c r="Z117" s="392" t="s">
        <v>302</v>
      </c>
    </row>
    <row r="118" spans="1:37" ht="12.75" customHeight="1" thickBot="1">
      <c r="A118" s="17"/>
      <c r="B118" s="17"/>
      <c r="D118" s="502"/>
      <c r="E118" s="527"/>
      <c r="G118" s="469"/>
      <c r="H118" s="469"/>
      <c r="I118" s="8"/>
      <c r="J118" s="8"/>
      <c r="K118" s="8"/>
      <c r="L118" s="8"/>
      <c r="M118" s="8"/>
      <c r="N118" s="8"/>
    </row>
    <row r="119" spans="1:37" ht="26.25" hidden="1" customHeight="1" thickBot="1">
      <c r="A119" s="42"/>
      <c r="B119" s="42" t="s">
        <v>22</v>
      </c>
      <c r="C119" s="456"/>
      <c r="D119" s="457"/>
      <c r="E119" s="458"/>
      <c r="F119" s="455"/>
      <c r="G119" s="573"/>
      <c r="H119" s="574"/>
      <c r="I119" s="199"/>
      <c r="J119" s="50"/>
      <c r="K119" s="50"/>
      <c r="L119" s="50"/>
      <c r="M119" s="152"/>
    </row>
    <row r="120" spans="1:37" ht="21.6" hidden="1" thickBot="1">
      <c r="A120" s="11">
        <v>222</v>
      </c>
      <c r="B120" s="142" t="s">
        <v>25</v>
      </c>
      <c r="C120" s="575"/>
      <c r="D120" s="576"/>
      <c r="E120" s="577"/>
      <c r="F120" s="578"/>
      <c r="G120" s="579"/>
      <c r="H120" s="580"/>
      <c r="I120" s="164"/>
      <c r="J120" s="30"/>
      <c r="K120" s="136"/>
      <c r="L120" s="22"/>
      <c r="M120" s="45"/>
    </row>
    <row r="121" spans="1:37" ht="21.6" hidden="1" thickBot="1">
      <c r="E121" s="581"/>
      <c r="F121" s="582"/>
      <c r="G121" s="583"/>
      <c r="H121" s="491"/>
      <c r="I121" s="164"/>
      <c r="J121" s="59"/>
      <c r="K121" s="137"/>
      <c r="L121" s="24"/>
      <c r="M121" s="46"/>
    </row>
    <row r="122" spans="1:37" ht="21.6" hidden="1" thickBot="1">
      <c r="F122" s="584">
        <f>SUM(F120:F121)</f>
        <v>0</v>
      </c>
      <c r="G122" s="585">
        <f>SUM(G120:G121)</f>
        <v>0</v>
      </c>
      <c r="H122" s="586"/>
      <c r="I122" s="200"/>
      <c r="J122" s="237">
        <f>SUM(J120:J121)</f>
        <v>0</v>
      </c>
    </row>
    <row r="123" spans="1:37" ht="21.6" thickBot="1">
      <c r="A123" s="238"/>
      <c r="B123" s="42" t="s">
        <v>370</v>
      </c>
      <c r="C123" s="538"/>
      <c r="D123" s="539"/>
      <c r="E123" s="540" t="s">
        <v>885</v>
      </c>
      <c r="F123" s="587"/>
      <c r="G123" s="588" t="s">
        <v>225</v>
      </c>
      <c r="H123" s="589"/>
      <c r="I123" s="239"/>
      <c r="J123" s="50"/>
      <c r="K123" s="203">
        <v>30</v>
      </c>
      <c r="L123" s="227" t="s">
        <v>38</v>
      </c>
      <c r="M123" s="152"/>
      <c r="N123" s="150" t="s">
        <v>539</v>
      </c>
      <c r="O123" s="1210" t="s">
        <v>23</v>
      </c>
      <c r="P123" s="1211"/>
      <c r="Q123" s="1211"/>
      <c r="R123" s="1211"/>
      <c r="S123" s="17" t="s">
        <v>332</v>
      </c>
      <c r="T123" s="17" t="s">
        <v>333</v>
      </c>
      <c r="U123" s="322" t="s">
        <v>334</v>
      </c>
      <c r="V123" s="8">
        <v>131.44</v>
      </c>
      <c r="Y123" s="1232" t="s">
        <v>269</v>
      </c>
      <c r="Z123" s="1233"/>
      <c r="AG123" s="1224" t="s">
        <v>366</v>
      </c>
      <c r="AH123" s="1225"/>
      <c r="AI123" s="1225"/>
      <c r="AJ123" s="1226"/>
    </row>
    <row r="124" spans="1:37" s="64" customFormat="1" ht="21.6" thickBot="1">
      <c r="A124" s="51">
        <v>203</v>
      </c>
      <c r="B124" s="63" t="s">
        <v>25</v>
      </c>
      <c r="C124" s="590" t="s">
        <v>502</v>
      </c>
      <c r="D124" s="591" t="s">
        <v>217</v>
      </c>
      <c r="E124" s="592" t="s">
        <v>503</v>
      </c>
      <c r="F124" s="593">
        <v>75</v>
      </c>
      <c r="G124" s="594">
        <v>42.349999999999994</v>
      </c>
      <c r="H124" s="556">
        <f t="shared" ref="H124:H126" si="88">G124/0.35</f>
        <v>120.99999999999999</v>
      </c>
      <c r="I124" s="171"/>
      <c r="J124" s="141">
        <v>172</v>
      </c>
      <c r="K124" s="138">
        <v>5</v>
      </c>
      <c r="L124" s="139">
        <v>22</v>
      </c>
      <c r="M124" s="153">
        <v>121</v>
      </c>
      <c r="N124" s="115"/>
      <c r="O124" s="871"/>
      <c r="Y124" s="1234" t="s">
        <v>270</v>
      </c>
      <c r="Z124" s="1235"/>
      <c r="AA124" s="1238" t="s">
        <v>271</v>
      </c>
      <c r="AB124" s="319"/>
      <c r="AC124" s="321"/>
      <c r="AD124" s="321"/>
      <c r="AG124" s="1227"/>
      <c r="AH124" s="1228"/>
      <c r="AI124" s="1228"/>
      <c r="AJ124" s="1229"/>
    </row>
    <row r="125" spans="1:37" s="64" customFormat="1" ht="22.2" thickTop="1" thickBot="1">
      <c r="A125" s="11" t="s">
        <v>24</v>
      </c>
      <c r="B125" s="14"/>
      <c r="C125" s="590" t="s">
        <v>515</v>
      </c>
      <c r="D125" s="591" t="s">
        <v>217</v>
      </c>
      <c r="E125" s="592" t="s">
        <v>516</v>
      </c>
      <c r="F125" s="593">
        <v>75</v>
      </c>
      <c r="G125" s="594">
        <v>61.949999999999996</v>
      </c>
      <c r="H125" s="556">
        <f t="shared" si="88"/>
        <v>177</v>
      </c>
      <c r="I125" s="171"/>
      <c r="J125" s="141">
        <v>177</v>
      </c>
      <c r="K125" s="138">
        <v>5</v>
      </c>
      <c r="L125" s="139">
        <v>27</v>
      </c>
      <c r="M125" s="153"/>
      <c r="N125" s="115"/>
      <c r="O125" s="871"/>
      <c r="R125" s="56" t="s">
        <v>262</v>
      </c>
      <c r="T125" s="1168" t="s">
        <v>268</v>
      </c>
      <c r="U125" s="1169"/>
      <c r="V125" s="1169"/>
      <c r="W125" s="1170"/>
      <c r="Y125" s="1236"/>
      <c r="Z125" s="1237"/>
      <c r="AA125" s="1239"/>
      <c r="AB125" s="319"/>
      <c r="AC125" s="1240" t="s">
        <v>272</v>
      </c>
      <c r="AD125" s="1241"/>
      <c r="AG125" s="999" t="s">
        <v>679</v>
      </c>
      <c r="AH125" s="960" t="s">
        <v>680</v>
      </c>
      <c r="AI125" s="1003" t="s">
        <v>268</v>
      </c>
      <c r="AJ125" s="959" t="s">
        <v>681</v>
      </c>
      <c r="AK125" s="8" t="s">
        <v>609</v>
      </c>
    </row>
    <row r="126" spans="1:37" s="64" customFormat="1" ht="22.2" thickTop="1" thickBot="1">
      <c r="A126" s="48"/>
      <c r="B126" s="590"/>
      <c r="C126" s="590"/>
      <c r="D126" s="591"/>
      <c r="E126" s="592"/>
      <c r="F126" s="593"/>
      <c r="G126" s="594">
        <f t="shared" ref="G126" si="89">J126*0.35</f>
        <v>0</v>
      </c>
      <c r="H126" s="556">
        <f t="shared" si="88"/>
        <v>0</v>
      </c>
      <c r="I126" s="171"/>
      <c r="J126" s="141">
        <f>(K126*$K$123)+L126</f>
        <v>0</v>
      </c>
      <c r="K126" s="138"/>
      <c r="L126" s="139"/>
      <c r="M126" s="153"/>
      <c r="N126" s="115"/>
      <c r="O126" s="1190" t="s">
        <v>298</v>
      </c>
      <c r="P126" s="1191"/>
      <c r="Q126" s="1192"/>
      <c r="R126" s="1112">
        <v>0</v>
      </c>
      <c r="T126" s="1165" t="s">
        <v>299</v>
      </c>
      <c r="U126" s="1166"/>
      <c r="V126" s="1167"/>
      <c r="W126" s="309">
        <v>0</v>
      </c>
      <c r="Y126" s="1182">
        <f>R126+W126</f>
        <v>0</v>
      </c>
      <c r="Z126" s="1183"/>
      <c r="AA126" s="318">
        <v>120</v>
      </c>
      <c r="AB126" s="8"/>
      <c r="AC126" s="1230">
        <f>Y126/AA126</f>
        <v>0</v>
      </c>
      <c r="AD126" s="1231"/>
      <c r="AG126" s="1004">
        <v>0</v>
      </c>
      <c r="AH126" s="1005">
        <v>0</v>
      </c>
      <c r="AI126" s="1005">
        <v>0</v>
      </c>
      <c r="AJ126" s="1001">
        <v>0</v>
      </c>
      <c r="AK126" s="1097">
        <f>AVERAGE(AG126:AJ126)</f>
        <v>0</v>
      </c>
    </row>
    <row r="127" spans="1:37" s="64" customFormat="1" ht="21.6" thickBot="1">
      <c r="A127" s="48"/>
      <c r="B127" s="140"/>
      <c r="C127" s="590"/>
      <c r="D127" s="591"/>
      <c r="E127" s="592"/>
      <c r="F127" s="593"/>
      <c r="G127" s="594">
        <f t="shared" ref="G127" si="90">J127*0.35</f>
        <v>0</v>
      </c>
      <c r="H127" s="556">
        <f t="shared" ref="H127" si="91">G127/0.35</f>
        <v>0</v>
      </c>
      <c r="I127" s="171"/>
      <c r="J127" s="141">
        <f>(K127*$K$123)+L127</f>
        <v>0</v>
      </c>
      <c r="K127" s="138"/>
      <c r="L127" s="139"/>
      <c r="M127" s="153"/>
      <c r="N127" s="115"/>
      <c r="O127" s="1165" t="s">
        <v>299</v>
      </c>
      <c r="P127" s="1166"/>
      <c r="Q127" s="1167"/>
      <c r="R127" s="158"/>
      <c r="Y127" s="1245">
        <v>0</v>
      </c>
      <c r="Z127" s="1245"/>
      <c r="AA127" s="938"/>
    </row>
    <row r="128" spans="1:37" s="64" customFormat="1" ht="21.6" thickBot="1">
      <c r="A128" s="48"/>
      <c r="B128" s="140"/>
      <c r="C128" s="590"/>
      <c r="D128" s="591"/>
      <c r="E128" s="592"/>
      <c r="F128" s="593"/>
      <c r="G128" s="594">
        <f t="shared" ref="G128" si="92">J128*0.35</f>
        <v>0</v>
      </c>
      <c r="H128" s="556">
        <f t="shared" ref="H128" si="93">G128/0.35</f>
        <v>0</v>
      </c>
      <c r="I128" s="171"/>
      <c r="J128" s="141">
        <f>(K128*$K$123)+L128</f>
        <v>0</v>
      </c>
      <c r="K128" s="138"/>
      <c r="L128" s="139"/>
      <c r="M128" s="153"/>
      <c r="N128" s="115"/>
      <c r="O128" s="1187" t="s">
        <v>242</v>
      </c>
      <c r="P128" s="1188"/>
      <c r="Q128" s="1189"/>
      <c r="R128" s="221">
        <f>SUM(R126:R127)</f>
        <v>0</v>
      </c>
      <c r="T128" s="298"/>
      <c r="W128" s="1" t="s">
        <v>301</v>
      </c>
      <c r="X128" s="117"/>
      <c r="Y128" s="393" t="e">
        <f>R129/Y126</f>
        <v>#DIV/0!</v>
      </c>
      <c r="Z128" s="392" t="s">
        <v>302</v>
      </c>
      <c r="AK128" s="1135">
        <v>9999999</v>
      </c>
    </row>
    <row r="129" spans="1:37" ht="34.5" customHeight="1" thickBot="1">
      <c r="F129" s="595">
        <f>SUM(F124:F128)</f>
        <v>150</v>
      </c>
      <c r="G129" s="570">
        <f>SUM(G124:G128)</f>
        <v>104.29999999999998</v>
      </c>
      <c r="H129" s="596"/>
      <c r="I129" s="201"/>
      <c r="J129" s="61">
        <f>SUM(J124:J128)</f>
        <v>349</v>
      </c>
      <c r="O129" s="1175" t="s">
        <v>243</v>
      </c>
      <c r="P129" s="1176"/>
      <c r="Q129" s="1177"/>
      <c r="R129" s="222">
        <f>$G$129-R128</f>
        <v>104.29999999999998</v>
      </c>
      <c r="S129" s="298"/>
      <c r="U129" s="299"/>
      <c r="W129" s="8" t="s">
        <v>303</v>
      </c>
      <c r="Y129" s="397" t="e">
        <f>(R129-Y126)/Y126</f>
        <v>#DIV/0!</v>
      </c>
      <c r="Z129" s="392" t="s">
        <v>302</v>
      </c>
    </row>
    <row r="130" spans="1:37" ht="26.25" customHeight="1" thickBot="1">
      <c r="A130" s="17"/>
      <c r="B130" s="17"/>
      <c r="D130" s="502"/>
      <c r="E130" s="527"/>
      <c r="G130" s="469"/>
      <c r="H130" s="469"/>
      <c r="I130" s="8"/>
      <c r="J130" s="8"/>
      <c r="K130" s="8"/>
      <c r="L130" s="8"/>
      <c r="M130" s="8"/>
      <c r="N130" s="8"/>
      <c r="O130" s="871" t="s">
        <v>332</v>
      </c>
      <c r="P130" s="17" t="s">
        <v>333</v>
      </c>
      <c r="Q130" s="322" t="s">
        <v>334</v>
      </c>
      <c r="R130" s="8">
        <v>0</v>
      </c>
      <c r="Y130" s="1232" t="s">
        <v>269</v>
      </c>
      <c r="Z130" s="1233"/>
      <c r="AG130" s="1224" t="s">
        <v>366</v>
      </c>
      <c r="AH130" s="1225"/>
      <c r="AI130" s="1225"/>
      <c r="AJ130" s="1226"/>
    </row>
    <row r="131" spans="1:37" ht="32.25" customHeight="1" thickBot="1">
      <c r="A131" s="240"/>
      <c r="B131" s="49" t="s">
        <v>371</v>
      </c>
      <c r="C131" s="561"/>
      <c r="D131" s="562"/>
      <c r="E131" s="1161" t="s">
        <v>885</v>
      </c>
      <c r="F131" s="597"/>
      <c r="G131" s="598" t="s">
        <v>225</v>
      </c>
      <c r="H131" s="599"/>
      <c r="I131" s="239"/>
      <c r="J131" s="20"/>
      <c r="K131" s="241">
        <v>30</v>
      </c>
      <c r="L131" s="242" t="s">
        <v>38</v>
      </c>
      <c r="M131" s="151"/>
      <c r="N131" s="150" t="s">
        <v>539</v>
      </c>
      <c r="O131" s="1216" t="s">
        <v>26</v>
      </c>
      <c r="P131" s="1217"/>
      <c r="Q131" s="1217"/>
      <c r="R131" s="1217"/>
      <c r="Y131" s="1234" t="s">
        <v>270</v>
      </c>
      <c r="Z131" s="1235"/>
      <c r="AA131" s="1238" t="s">
        <v>271</v>
      </c>
      <c r="AB131" s="319"/>
      <c r="AC131" s="321"/>
      <c r="AD131" s="321"/>
      <c r="AG131" s="1227"/>
      <c r="AH131" s="1228"/>
      <c r="AI131" s="1228"/>
      <c r="AJ131" s="1229"/>
    </row>
    <row r="132" spans="1:37" s="17" customFormat="1" ht="22.2" thickTop="1" thickBot="1">
      <c r="A132" s="51" t="s">
        <v>27</v>
      </c>
      <c r="B132" s="52" t="s">
        <v>25</v>
      </c>
      <c r="C132" s="466" t="s">
        <v>515</v>
      </c>
      <c r="D132" s="467" t="s">
        <v>217</v>
      </c>
      <c r="E132" s="462" t="s">
        <v>516</v>
      </c>
      <c r="F132" s="463">
        <v>75</v>
      </c>
      <c r="G132" s="468">
        <v>61.949999999999996</v>
      </c>
      <c r="H132" s="465">
        <f t="shared" ref="H132:H134" si="94">G132/0.35</f>
        <v>177</v>
      </c>
      <c r="I132" s="167"/>
      <c r="J132" s="27">
        <v>187</v>
      </c>
      <c r="K132" s="137">
        <v>6</v>
      </c>
      <c r="L132" s="24">
        <v>7</v>
      </c>
      <c r="M132" s="46">
        <v>177</v>
      </c>
      <c r="N132" s="150"/>
      <c r="O132" s="871"/>
      <c r="R132" s="56" t="s">
        <v>262</v>
      </c>
      <c r="T132" s="1168" t="s">
        <v>268</v>
      </c>
      <c r="U132" s="1169"/>
      <c r="V132" s="1169"/>
      <c r="W132" s="1170"/>
      <c r="Y132" s="1236"/>
      <c r="Z132" s="1237"/>
      <c r="AA132" s="1239"/>
      <c r="AB132" s="319"/>
      <c r="AC132" s="1240" t="s">
        <v>272</v>
      </c>
      <c r="AD132" s="1241"/>
      <c r="AG132" s="999" t="s">
        <v>679</v>
      </c>
      <c r="AH132" s="960" t="s">
        <v>680</v>
      </c>
      <c r="AI132" s="1003" t="s">
        <v>268</v>
      </c>
      <c r="AJ132" s="959" t="s">
        <v>681</v>
      </c>
      <c r="AK132" s="8" t="s">
        <v>609</v>
      </c>
    </row>
    <row r="133" spans="1:37" s="17" customFormat="1" ht="22.2" thickTop="1" thickBot="1">
      <c r="A133" s="11"/>
      <c r="B133" s="14"/>
      <c r="C133" s="466"/>
      <c r="D133" s="467"/>
      <c r="E133" s="462"/>
      <c r="F133" s="463"/>
      <c r="G133" s="468">
        <f t="shared" ref="G133" si="95">J133*0.35</f>
        <v>0</v>
      </c>
      <c r="H133" s="465">
        <f t="shared" si="94"/>
        <v>0</v>
      </c>
      <c r="I133" s="167"/>
      <c r="J133" s="27">
        <f>(K133*$K$131)+L133</f>
        <v>0</v>
      </c>
      <c r="K133" s="137"/>
      <c r="L133" s="24"/>
      <c r="M133" s="46"/>
      <c r="N133" s="150"/>
      <c r="O133" s="1190" t="s">
        <v>298</v>
      </c>
      <c r="P133" s="1191"/>
      <c r="Q133" s="1192"/>
      <c r="R133" s="1112">
        <v>0</v>
      </c>
      <c r="T133" s="1165" t="s">
        <v>299</v>
      </c>
      <c r="U133" s="1166"/>
      <c r="V133" s="1167"/>
      <c r="W133" s="309">
        <v>0</v>
      </c>
      <c r="Y133" s="1182">
        <f>R133+W133</f>
        <v>0</v>
      </c>
      <c r="Z133" s="1183"/>
      <c r="AA133" s="318">
        <v>120</v>
      </c>
      <c r="AB133" s="8"/>
      <c r="AC133" s="1230">
        <f>Y133/AA133</f>
        <v>0</v>
      </c>
      <c r="AD133" s="1231"/>
      <c r="AG133" s="1122">
        <v>2.7583333333333335E-2</v>
      </c>
      <c r="AH133" s="1123">
        <v>0</v>
      </c>
      <c r="AI133" s="1123">
        <v>0</v>
      </c>
      <c r="AJ133" s="1001">
        <v>0</v>
      </c>
      <c r="AK133" s="162">
        <f>AVERAGE(AG133:AJ133)</f>
        <v>6.8958333333333337E-3</v>
      </c>
    </row>
    <row r="134" spans="1:37" s="17" customFormat="1" ht="21.6" thickBot="1">
      <c r="A134" s="48"/>
      <c r="B134" s="14"/>
      <c r="C134" s="466"/>
      <c r="D134" s="467"/>
      <c r="E134" s="462"/>
      <c r="F134" s="463"/>
      <c r="G134" s="468">
        <f t="shared" ref="G134" si="96">J134*0.35</f>
        <v>0</v>
      </c>
      <c r="H134" s="465">
        <f t="shared" si="94"/>
        <v>0</v>
      </c>
      <c r="I134" s="167"/>
      <c r="J134" s="27">
        <f>(K134*$K$131)+L134</f>
        <v>0</v>
      </c>
      <c r="K134" s="137"/>
      <c r="L134" s="24"/>
      <c r="M134" s="46"/>
      <c r="N134" s="150"/>
      <c r="O134" s="1165" t="s">
        <v>299</v>
      </c>
      <c r="P134" s="1166"/>
      <c r="Q134" s="1167"/>
      <c r="R134" s="158"/>
      <c r="Y134" s="1162"/>
      <c r="Z134" s="1162"/>
      <c r="AA134" s="181"/>
    </row>
    <row r="135" spans="1:37" s="17" customFormat="1" ht="21.6" thickBot="1">
      <c r="A135" s="48"/>
      <c r="B135" s="14"/>
      <c r="C135" s="466"/>
      <c r="D135" s="467"/>
      <c r="E135" s="462"/>
      <c r="F135" s="463"/>
      <c r="G135" s="468">
        <f t="shared" ref="G135" si="97">J135*0.35</f>
        <v>0</v>
      </c>
      <c r="H135" s="465">
        <f t="shared" ref="H135" si="98">G135/0.35</f>
        <v>0</v>
      </c>
      <c r="I135" s="167"/>
      <c r="J135" s="27">
        <f>(K135*$K$131)+L135</f>
        <v>0</v>
      </c>
      <c r="K135" s="137"/>
      <c r="L135" s="24"/>
      <c r="M135" s="46"/>
      <c r="N135" s="150"/>
      <c r="O135" s="1187" t="s">
        <v>242</v>
      </c>
      <c r="P135" s="1188"/>
      <c r="Q135" s="1189"/>
      <c r="R135" s="221">
        <f>SUM(R133:R134)</f>
        <v>0</v>
      </c>
      <c r="S135" s="64"/>
      <c r="W135" s="1" t="s">
        <v>301</v>
      </c>
      <c r="X135" s="117"/>
      <c r="Y135" s="396" t="e">
        <f>R136/Y133</f>
        <v>#DIV/0!</v>
      </c>
      <c r="Z135" s="392" t="s">
        <v>302</v>
      </c>
      <c r="AA135" s="181"/>
      <c r="AK135" s="1135">
        <f>(R136-(AK133*AA133))/(AK133*AA133)</f>
        <v>73.864048338368576</v>
      </c>
    </row>
    <row r="136" spans="1:37" ht="33" customHeight="1" thickBot="1">
      <c r="F136" s="557">
        <f>SUM(F132:F135)</f>
        <v>75</v>
      </c>
      <c r="G136" s="570">
        <f>SUM(G132:G135)</f>
        <v>61.949999999999996</v>
      </c>
      <c r="H136" s="600"/>
      <c r="I136" s="200"/>
      <c r="J136" s="60">
        <f>SUM(J132:J135)</f>
        <v>187</v>
      </c>
      <c r="O136" s="1175" t="s">
        <v>243</v>
      </c>
      <c r="P136" s="1176"/>
      <c r="Q136" s="1177"/>
      <c r="R136" s="222">
        <f>$G$136-R135</f>
        <v>61.949999999999996</v>
      </c>
      <c r="S136" s="298"/>
      <c r="T136" s="299"/>
      <c r="W136" s="8" t="s">
        <v>303</v>
      </c>
      <c r="Y136" s="395" t="e">
        <f>(R136-Y133)/Y133</f>
        <v>#DIV/0!</v>
      </c>
      <c r="Z136" s="392" t="s">
        <v>302</v>
      </c>
      <c r="AK136" s="1135"/>
    </row>
    <row r="137" spans="1:37">
      <c r="A137" s="17"/>
      <c r="B137" s="17"/>
      <c r="D137" s="502"/>
      <c r="E137" s="527"/>
      <c r="G137" s="469"/>
      <c r="H137" s="469"/>
      <c r="I137" s="8"/>
      <c r="J137" s="8"/>
      <c r="K137" s="8"/>
      <c r="L137" s="8"/>
      <c r="M137" s="8"/>
      <c r="N137" s="8"/>
      <c r="O137" s="871" t="s">
        <v>332</v>
      </c>
      <c r="P137" s="17" t="s">
        <v>333</v>
      </c>
      <c r="Q137" s="322" t="s">
        <v>334</v>
      </c>
      <c r="R137" s="8">
        <v>0</v>
      </c>
    </row>
    <row r="138" spans="1:37">
      <c r="A138" s="17"/>
      <c r="B138" s="17"/>
      <c r="D138" s="502"/>
      <c r="E138" s="527"/>
      <c r="G138" s="469"/>
      <c r="H138" s="469"/>
      <c r="I138" s="8"/>
      <c r="J138" s="8"/>
      <c r="K138" s="8"/>
      <c r="M138" s="8"/>
      <c r="N138" s="8"/>
    </row>
    <row r="139" spans="1:37">
      <c r="A139" s="17"/>
      <c r="B139" s="17"/>
      <c r="D139" s="502"/>
      <c r="E139" s="527"/>
      <c r="G139" s="469"/>
      <c r="H139" s="469"/>
      <c r="I139" s="8"/>
      <c r="J139" s="8"/>
      <c r="K139" s="8"/>
      <c r="L139" s="8"/>
      <c r="M139" s="8"/>
      <c r="N139" s="8"/>
      <c r="W139" s="299"/>
    </row>
    <row r="140" spans="1:37">
      <c r="A140" s="17"/>
      <c r="B140" s="17"/>
      <c r="D140" s="502"/>
      <c r="E140" s="527"/>
      <c r="G140" s="469"/>
      <c r="H140" s="469"/>
      <c r="I140" s="8"/>
      <c r="J140" s="8"/>
      <c r="K140" s="8"/>
      <c r="L140" s="8"/>
      <c r="M140" s="8"/>
      <c r="N140" s="8"/>
    </row>
  </sheetData>
  <protectedRanges>
    <protectedRange sqref="A86:C86 A29:C29 A52:C52 A137:C140 A130:C130 A118:C118 O25 O27:O28 O48 S28 O82 O126 O133 O135:O136 O116:O117 O128:O129 O84:O85 O50:O51 T26 O114" name="Plage1_2_2"/>
    <protectedRange sqref="O134" name="Plage1_2_2_5"/>
    <protectedRange sqref="T133" name="Plage1_2_2_5_1"/>
    <protectedRange sqref="T126" name="Plage1_2_2_5_4"/>
    <protectedRange sqref="T114" name="Plage1_2_2_5_5"/>
    <protectedRange sqref="O115" name="Plage1_2_2_5_6"/>
    <protectedRange sqref="O127" name="Plage1_2_2_5_7"/>
    <protectedRange sqref="O83" name="Plage1_2_2_5_8"/>
    <protectedRange sqref="T82" name="Plage1_2_2_5_9"/>
    <protectedRange sqref="O49" name="Plage1_2_2_5_10"/>
    <protectedRange sqref="T48" name="Plage1_2_2_5_11"/>
    <protectedRange sqref="O26" name="Plage1_2_2_5_12"/>
    <protectedRange sqref="T25" name="Plage1_2_2_5_13"/>
  </protectedRanges>
  <mergeCells count="118">
    <mergeCell ref="AG79:AJ80"/>
    <mergeCell ref="AG111:AJ112"/>
    <mergeCell ref="AG123:AJ124"/>
    <mergeCell ref="AG130:AJ131"/>
    <mergeCell ref="Y45:Z45"/>
    <mergeCell ref="Y46:Z47"/>
    <mergeCell ref="AA46:AA47"/>
    <mergeCell ref="AC47:AD47"/>
    <mergeCell ref="Y110:Z110"/>
    <mergeCell ref="Y127:Z127"/>
    <mergeCell ref="AA23:AA24"/>
    <mergeCell ref="AC24:AD24"/>
    <mergeCell ref="Y25:Z25"/>
    <mergeCell ref="Y114:Z114"/>
    <mergeCell ref="AC114:AD114"/>
    <mergeCell ref="Y123:Z123"/>
    <mergeCell ref="Y124:Z125"/>
    <mergeCell ref="AA124:AA125"/>
    <mergeCell ref="AC125:AD125"/>
    <mergeCell ref="Y49:Z49"/>
    <mergeCell ref="AG22:AJ23"/>
    <mergeCell ref="AG45:AJ46"/>
    <mergeCell ref="Y48:Z48"/>
    <mergeCell ref="Y133:Z133"/>
    <mergeCell ref="AC133:AD133"/>
    <mergeCell ref="Y126:Z126"/>
    <mergeCell ref="AC126:AD126"/>
    <mergeCell ref="Y130:Z130"/>
    <mergeCell ref="Y131:Z132"/>
    <mergeCell ref="AA131:AA132"/>
    <mergeCell ref="AC132:AD132"/>
    <mergeCell ref="AC82:AD82"/>
    <mergeCell ref="Y111:Z111"/>
    <mergeCell ref="Y112:Z113"/>
    <mergeCell ref="AA112:AA113"/>
    <mergeCell ref="AC113:AD113"/>
    <mergeCell ref="AC25:AD25"/>
    <mergeCell ref="AC48:AD48"/>
    <mergeCell ref="Y79:Z79"/>
    <mergeCell ref="Y80:Z81"/>
    <mergeCell ref="AA80:AA81"/>
    <mergeCell ref="AC81:AD81"/>
    <mergeCell ref="Y26:Z26"/>
    <mergeCell ref="Y23:Z24"/>
    <mergeCell ref="O136:Q136"/>
    <mergeCell ref="O128:Q128"/>
    <mergeCell ref="O129:Q129"/>
    <mergeCell ref="O133:Q133"/>
    <mergeCell ref="O134:Q134"/>
    <mergeCell ref="O135:Q135"/>
    <mergeCell ref="O123:R123"/>
    <mergeCell ref="O53:R53"/>
    <mergeCell ref="O48:Q48"/>
    <mergeCell ref="O81:Q81"/>
    <mergeCell ref="O87:R87"/>
    <mergeCell ref="O126:Q126"/>
    <mergeCell ref="O131:R131"/>
    <mergeCell ref="O96:R96"/>
    <mergeCell ref="O97:R97"/>
    <mergeCell ref="O99:R99"/>
    <mergeCell ref="O98:R98"/>
    <mergeCell ref="O101:R101"/>
    <mergeCell ref="O100:R100"/>
    <mergeCell ref="O94:R94"/>
    <mergeCell ref="O95:R95"/>
    <mergeCell ref="O114:Q114"/>
    <mergeCell ref="O115:Q115"/>
    <mergeCell ref="O116:Q116"/>
    <mergeCell ref="G1:G2"/>
    <mergeCell ref="F1:F2"/>
    <mergeCell ref="E1:E2"/>
    <mergeCell ref="D1:D2"/>
    <mergeCell ref="A28:E28"/>
    <mergeCell ref="A85:E85"/>
    <mergeCell ref="C1:C2"/>
    <mergeCell ref="B1:B2"/>
    <mergeCell ref="A1:A2"/>
    <mergeCell ref="H1:H2"/>
    <mergeCell ref="J1:L1"/>
    <mergeCell ref="O84:Q84"/>
    <mergeCell ref="O85:Q85"/>
    <mergeCell ref="O82:Q82"/>
    <mergeCell ref="O83:Q83"/>
    <mergeCell ref="M1:M2"/>
    <mergeCell ref="O51:Q51"/>
    <mergeCell ref="O49:Q49"/>
    <mergeCell ref="O50:Q50"/>
    <mergeCell ref="O25:Q25"/>
    <mergeCell ref="O26:Q26"/>
    <mergeCell ref="O27:Q27"/>
    <mergeCell ref="O28:Q28"/>
    <mergeCell ref="O47:Q47"/>
    <mergeCell ref="O24:Q24"/>
    <mergeCell ref="N1:N2"/>
    <mergeCell ref="Y134:Z134"/>
    <mergeCell ref="B116:E116"/>
    <mergeCell ref="T25:V25"/>
    <mergeCell ref="T24:W24"/>
    <mergeCell ref="T126:V126"/>
    <mergeCell ref="S91:U91"/>
    <mergeCell ref="S92:U92"/>
    <mergeCell ref="S93:U93"/>
    <mergeCell ref="T132:W132"/>
    <mergeCell ref="O117:Q117"/>
    <mergeCell ref="O113:Q113"/>
    <mergeCell ref="O127:Q127"/>
    <mergeCell ref="T133:V133"/>
    <mergeCell ref="T82:V82"/>
    <mergeCell ref="T113:W113"/>
    <mergeCell ref="T114:V114"/>
    <mergeCell ref="O93:R93"/>
    <mergeCell ref="O92:R92"/>
    <mergeCell ref="O91:R91"/>
    <mergeCell ref="T125:W125"/>
    <mergeCell ref="T81:W81"/>
    <mergeCell ref="T47:W47"/>
    <mergeCell ref="T48:V48"/>
    <mergeCell ref="Y82:Z82"/>
  </mergeCells>
  <phoneticPr fontId="46" type="noConversion"/>
  <pageMargins left="0.7" right="0.7" top="0.75" bottom="0.75" header="0.3" footer="0.3"/>
  <pageSetup paperSize="9" scale="54" fitToHeight="0" orientation="landscape" r:id="rId1"/>
  <headerFooter>
    <oddHeader>&amp;C&amp;F&amp;R&amp;A</oddHeader>
    <oddFooter>&amp;R&amp;D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E9DD5-1409-4D06-B06F-6A880FB0F098}">
  <sheetPr codeName="Feuil2">
    <pageSetUpPr fitToPage="1"/>
  </sheetPr>
  <dimension ref="A1:AL243"/>
  <sheetViews>
    <sheetView showGridLines="0" tabSelected="1" topLeftCell="R1" zoomScale="70" zoomScaleNormal="70" workbookViewId="0">
      <pane ySplit="2" topLeftCell="A90" activePane="bottomLeft" state="frozen"/>
      <selection activeCell="H4" sqref="H4"/>
      <selection pane="bottomLeft" activeCell="AI108" sqref="AI108"/>
    </sheetView>
  </sheetViews>
  <sheetFormatPr defaultColWidth="11.44140625" defaultRowHeight="21"/>
  <cols>
    <col min="1" max="1" width="13" style="17" customWidth="1"/>
    <col min="2" max="2" width="29.6640625" style="8" customWidth="1"/>
    <col min="3" max="3" width="13.109375" style="471" customWidth="1"/>
    <col min="4" max="4" width="23.5546875" style="472" customWidth="1"/>
    <col min="5" max="5" width="21.88671875" style="521" customWidth="1"/>
    <col min="6" max="6" width="11.44140625" style="471"/>
    <col min="7" max="7" width="14.33203125" style="471" customWidth="1"/>
    <col min="8" max="8" width="11.44140625" style="471"/>
    <col min="9" max="9" width="1.5546875" style="17" customWidth="1"/>
    <col min="10" max="11" width="11.44140625" style="17"/>
    <col min="12" max="12" width="13.33203125" style="17" customWidth="1"/>
    <col min="13" max="13" width="47.88671875" style="150" customWidth="1"/>
    <col min="14" max="14" width="16.6640625" style="150" customWidth="1"/>
    <col min="15" max="15" width="12.109375" style="17" customWidth="1"/>
    <col min="16" max="17" width="11.44140625" style="8"/>
    <col min="18" max="18" width="12.109375" style="8" customWidth="1"/>
    <col min="19" max="19" width="11" style="150" customWidth="1"/>
    <col min="20" max="25" width="11.44140625" style="8"/>
    <col min="26" max="26" width="16.33203125" style="8" customWidth="1"/>
    <col min="27" max="27" width="16.109375" style="8" customWidth="1"/>
    <col min="28" max="16384" width="11.44140625" style="8"/>
  </cols>
  <sheetData>
    <row r="1" spans="1:36" ht="30.75" customHeight="1">
      <c r="A1" s="1266" t="s">
        <v>0</v>
      </c>
      <c r="B1" s="1264" t="s">
        <v>16</v>
      </c>
      <c r="C1" s="1264" t="s">
        <v>8</v>
      </c>
      <c r="D1" s="1269" t="s">
        <v>11</v>
      </c>
      <c r="E1" s="1272" t="s">
        <v>1</v>
      </c>
      <c r="F1" s="1264" t="s">
        <v>9</v>
      </c>
      <c r="G1" s="1264" t="s">
        <v>10</v>
      </c>
      <c r="H1" s="1264" t="s">
        <v>228</v>
      </c>
      <c r="I1" s="189"/>
      <c r="J1" s="1268" t="s">
        <v>222</v>
      </c>
      <c r="K1" s="1268"/>
      <c r="L1" s="1268"/>
      <c r="M1" s="1262" t="s">
        <v>14</v>
      </c>
      <c r="N1" s="1246" t="s">
        <v>535</v>
      </c>
    </row>
    <row r="2" spans="1:36" ht="30.75" customHeight="1" thickBot="1">
      <c r="A2" s="1267"/>
      <c r="B2" s="1265"/>
      <c r="C2" s="1265"/>
      <c r="D2" s="1270"/>
      <c r="E2" s="1273"/>
      <c r="F2" s="1265"/>
      <c r="G2" s="1265"/>
      <c r="H2" s="1265"/>
      <c r="I2" s="189"/>
      <c r="J2" s="93" t="s">
        <v>229</v>
      </c>
      <c r="K2" s="93" t="s">
        <v>13</v>
      </c>
      <c r="L2" s="93" t="s">
        <v>17</v>
      </c>
      <c r="M2" s="1263"/>
      <c r="N2" s="1246"/>
    </row>
    <row r="3" spans="1:36" ht="21" customHeight="1" thickBot="1">
      <c r="A3" s="41">
        <v>191</v>
      </c>
      <c r="B3" s="42" t="s">
        <v>40</v>
      </c>
      <c r="C3" s="456"/>
      <c r="D3" s="457"/>
      <c r="E3" s="516" t="s">
        <v>885</v>
      </c>
      <c r="F3" s="1271" t="s">
        <v>233</v>
      </c>
      <c r="G3" s="1254"/>
      <c r="H3" s="489"/>
      <c r="I3" s="228"/>
      <c r="J3" s="50"/>
      <c r="K3" s="50">
        <v>28</v>
      </c>
      <c r="L3" s="66" t="s">
        <v>39</v>
      </c>
      <c r="M3" s="152"/>
      <c r="N3" s="150" t="s">
        <v>538</v>
      </c>
      <c r="O3" s="326"/>
      <c r="P3" s="326"/>
      <c r="Q3" s="326"/>
      <c r="R3" s="326"/>
    </row>
    <row r="4" spans="1:36" ht="21.6" thickBot="1">
      <c r="A4" s="48">
        <v>19149</v>
      </c>
      <c r="B4" s="13"/>
      <c r="C4" s="479" t="s">
        <v>610</v>
      </c>
      <c r="D4" s="480" t="s">
        <v>217</v>
      </c>
      <c r="E4" s="517" t="s">
        <v>611</v>
      </c>
      <c r="F4" s="481">
        <v>75</v>
      </c>
      <c r="G4" s="468">
        <f>H4*0.25</f>
        <v>13.5</v>
      </c>
      <c r="H4" s="465">
        <v>54</v>
      </c>
      <c r="I4" s="167"/>
      <c r="J4" s="82">
        <v>197</v>
      </c>
      <c r="K4" s="80">
        <v>7</v>
      </c>
      <c r="L4" s="81">
        <v>1</v>
      </c>
      <c r="M4" s="398"/>
      <c r="N4" s="150" t="s">
        <v>864</v>
      </c>
    </row>
    <row r="5" spans="1:36" ht="28.5" customHeight="1" thickBot="1">
      <c r="A5" s="48" t="s">
        <v>41</v>
      </c>
      <c r="B5" s="13"/>
      <c r="C5" s="479" t="s">
        <v>654</v>
      </c>
      <c r="D5" s="480" t="s">
        <v>217</v>
      </c>
      <c r="E5" s="517" t="s">
        <v>655</v>
      </c>
      <c r="F5" s="481">
        <v>75</v>
      </c>
      <c r="G5" s="468">
        <f>H5*0.25</f>
        <v>46</v>
      </c>
      <c r="H5" s="465">
        <v>184</v>
      </c>
      <c r="I5" s="167"/>
      <c r="J5" s="82">
        <v>184</v>
      </c>
      <c r="K5" s="80">
        <v>6</v>
      </c>
      <c r="L5" s="81">
        <v>16</v>
      </c>
      <c r="M5" s="398"/>
      <c r="Y5" s="1232" t="s">
        <v>269</v>
      </c>
      <c r="Z5" s="1233"/>
      <c r="AF5" s="1224" t="s">
        <v>366</v>
      </c>
      <c r="AG5" s="1225"/>
      <c r="AH5" s="1225"/>
      <c r="AI5" s="1226"/>
    </row>
    <row r="6" spans="1:36" ht="28.5" customHeight="1" thickBot="1">
      <c r="A6" s="48" t="s">
        <v>42</v>
      </c>
      <c r="B6" s="13"/>
      <c r="C6" s="479" t="s">
        <v>695</v>
      </c>
      <c r="D6" s="480" t="s">
        <v>217</v>
      </c>
      <c r="E6" s="517" t="s">
        <v>696</v>
      </c>
      <c r="F6" s="481">
        <v>75</v>
      </c>
      <c r="G6" s="468">
        <f>H6*0.25</f>
        <v>45.5</v>
      </c>
      <c r="H6" s="465">
        <v>182</v>
      </c>
      <c r="I6" s="167"/>
      <c r="J6" s="82">
        <v>182</v>
      </c>
      <c r="K6" s="80">
        <v>6</v>
      </c>
      <c r="L6" s="81">
        <v>14</v>
      </c>
      <c r="M6" s="398"/>
      <c r="Y6" s="1234" t="s">
        <v>270</v>
      </c>
      <c r="Z6" s="1235"/>
      <c r="AA6" s="1238" t="s">
        <v>271</v>
      </c>
      <c r="AB6" s="319"/>
      <c r="AC6" s="321"/>
      <c r="AD6" s="321"/>
      <c r="AE6" s="1110"/>
      <c r="AF6" s="1227"/>
      <c r="AG6" s="1228"/>
      <c r="AH6" s="1228"/>
      <c r="AI6" s="1229"/>
    </row>
    <row r="7" spans="1:36" ht="25.5" customHeight="1" thickTop="1" thickBot="1">
      <c r="B7" s="13"/>
      <c r="C7" s="479" t="s">
        <v>755</v>
      </c>
      <c r="D7" s="480" t="s">
        <v>217</v>
      </c>
      <c r="E7" s="517" t="s">
        <v>771</v>
      </c>
      <c r="F7" s="481">
        <v>75</v>
      </c>
      <c r="G7" s="468">
        <f t="shared" ref="G7" si="0">J7*0.25</f>
        <v>46.25</v>
      </c>
      <c r="H7" s="465">
        <f t="shared" ref="H7" si="1">G7/0.25</f>
        <v>185</v>
      </c>
      <c r="I7" s="167"/>
      <c r="J7" s="82">
        <f t="shared" ref="J7" si="2">(K7*$K$3)+L7</f>
        <v>185</v>
      </c>
      <c r="K7" s="80">
        <v>6</v>
      </c>
      <c r="L7" s="81">
        <v>17</v>
      </c>
      <c r="M7" s="398"/>
      <c r="O7" s="1250" t="s">
        <v>40</v>
      </c>
      <c r="P7" s="1251"/>
      <c r="Q7" s="1252"/>
      <c r="R7" s="279" t="s">
        <v>262</v>
      </c>
      <c r="T7" s="1168" t="s">
        <v>268</v>
      </c>
      <c r="U7" s="1169"/>
      <c r="V7" s="1169"/>
      <c r="W7" s="1170"/>
      <c r="Y7" s="1236"/>
      <c r="Z7" s="1237"/>
      <c r="AA7" s="1239"/>
      <c r="AB7" s="319"/>
      <c r="AC7" s="1240" t="s">
        <v>272</v>
      </c>
      <c r="AD7" s="1241"/>
      <c r="AF7" s="999" t="s">
        <v>679</v>
      </c>
      <c r="AG7" s="960" t="s">
        <v>680</v>
      </c>
      <c r="AH7" s="1003" t="s">
        <v>268</v>
      </c>
      <c r="AI7" s="959" t="s">
        <v>681</v>
      </c>
      <c r="AJ7" s="8" t="s">
        <v>618</v>
      </c>
    </row>
    <row r="8" spans="1:36" ht="22.2" thickTop="1" thickBot="1">
      <c r="B8" s="13"/>
      <c r="C8" s="479"/>
      <c r="D8" s="480"/>
      <c r="E8" s="517"/>
      <c r="F8" s="481"/>
      <c r="G8" s="468">
        <f t="shared" ref="G8:G9" si="3">J8*0.25</f>
        <v>0</v>
      </c>
      <c r="H8" s="465">
        <f t="shared" ref="H8:H9" si="4">G8/0.25</f>
        <v>0</v>
      </c>
      <c r="I8" s="167"/>
      <c r="J8" s="82">
        <f t="shared" ref="J8:J9" si="5">(K8*$K$3)+L8</f>
        <v>0</v>
      </c>
      <c r="K8" s="80"/>
      <c r="L8" s="81"/>
      <c r="M8" s="398"/>
      <c r="O8" s="1190" t="s">
        <v>298</v>
      </c>
      <c r="P8" s="1191"/>
      <c r="Q8" s="1192"/>
      <c r="R8" s="1113">
        <v>10</v>
      </c>
      <c r="T8" s="1165" t="s">
        <v>299</v>
      </c>
      <c r="U8" s="1166"/>
      <c r="V8" s="1167"/>
      <c r="W8" s="309">
        <v>40</v>
      </c>
      <c r="Y8" s="1182">
        <f>R8+W8</f>
        <v>50</v>
      </c>
      <c r="Z8" s="1183"/>
      <c r="AA8" s="318">
        <v>92</v>
      </c>
      <c r="AC8" s="1292">
        <f>Y8/AA8</f>
        <v>0.54347826086956519</v>
      </c>
      <c r="AD8" s="1293"/>
      <c r="AF8" s="1004">
        <v>0.20380434782608695</v>
      </c>
      <c r="AG8" s="1005">
        <v>0.12206521739130435</v>
      </c>
      <c r="AH8" s="1005">
        <v>5.434782608695652E-2</v>
      </c>
      <c r="AI8" s="1001">
        <v>0.54347826086956519</v>
      </c>
      <c r="AJ8" s="229">
        <f>AVERAGE(AF8:AI8)</f>
        <v>0.23092391304347826</v>
      </c>
    </row>
    <row r="9" spans="1:36" ht="21.6" thickBot="1">
      <c r="B9" s="13"/>
      <c r="C9" s="479"/>
      <c r="D9" s="480"/>
      <c r="E9" s="517"/>
      <c r="F9" s="481"/>
      <c r="G9" s="468">
        <f t="shared" si="3"/>
        <v>0</v>
      </c>
      <c r="H9" s="465">
        <f t="shared" si="4"/>
        <v>0</v>
      </c>
      <c r="I9" s="167"/>
      <c r="J9" s="82">
        <f t="shared" si="5"/>
        <v>0</v>
      </c>
      <c r="K9" s="80"/>
      <c r="L9" s="81"/>
      <c r="M9" s="398"/>
      <c r="O9" s="1165" t="s">
        <v>299</v>
      </c>
      <c r="P9" s="1166"/>
      <c r="Q9" s="1167"/>
      <c r="R9" s="1115"/>
      <c r="T9" s="299"/>
      <c r="Y9" s="1256"/>
      <c r="Z9" s="1162"/>
      <c r="AA9" s="332">
        <v>93</v>
      </c>
      <c r="AC9" s="469" t="s">
        <v>355</v>
      </c>
    </row>
    <row r="10" spans="1:36" ht="21.6" thickBot="1">
      <c r="B10" s="13"/>
      <c r="C10" s="479"/>
      <c r="D10" s="480"/>
      <c r="E10" s="517"/>
      <c r="F10" s="481"/>
      <c r="G10" s="468">
        <f t="shared" ref="G10" si="6">J10*0.25</f>
        <v>0</v>
      </c>
      <c r="H10" s="465">
        <f t="shared" ref="H10" si="7">G10/0.25</f>
        <v>0</v>
      </c>
      <c r="I10" s="167"/>
      <c r="J10" s="82">
        <f t="shared" ref="J10" si="8">(K10*$K$3)+L10</f>
        <v>0</v>
      </c>
      <c r="K10" s="80"/>
      <c r="L10" s="81"/>
      <c r="M10" s="398"/>
      <c r="O10" s="1187" t="s">
        <v>242</v>
      </c>
      <c r="P10" s="1188"/>
      <c r="Q10" s="1189"/>
      <c r="R10" s="221">
        <f>SUM(R8:R9)</f>
        <v>10</v>
      </c>
      <c r="S10" s="342"/>
      <c r="W10" s="8" t="s">
        <v>301</v>
      </c>
      <c r="X10" s="117"/>
      <c r="Y10" s="396">
        <f>R11/Y8</f>
        <v>2.8250000000000002</v>
      </c>
      <c r="Z10" s="392" t="s">
        <v>302</v>
      </c>
      <c r="AC10" s="943" t="s">
        <v>356</v>
      </c>
      <c r="AJ10" s="1135">
        <f>(R11-(AJ8*AA8))/(AJ8*AA8)</f>
        <v>5.6486232054601082</v>
      </c>
    </row>
    <row r="11" spans="1:36" ht="21.6" thickBot="1">
      <c r="B11" s="40"/>
      <c r="C11" s="518"/>
      <c r="D11" s="519"/>
      <c r="E11" s="520"/>
      <c r="F11" s="474">
        <f>SUM(F4:F10)</f>
        <v>300</v>
      </c>
      <c r="G11" s="530">
        <f>SUM(G4:G10)</f>
        <v>151.25</v>
      </c>
      <c r="H11" s="476">
        <f>SUM(H4:H10)</f>
        <v>605</v>
      </c>
      <c r="I11" s="184"/>
      <c r="J11" s="25">
        <f>SUM(J4:J10)</f>
        <v>748</v>
      </c>
      <c r="K11" s="291"/>
      <c r="L11" s="292"/>
      <c r="M11" s="1154">
        <f>207-151</f>
        <v>56</v>
      </c>
      <c r="O11" s="1247" t="s">
        <v>243</v>
      </c>
      <c r="P11" s="1248"/>
      <c r="Q11" s="1249"/>
      <c r="R11" s="222">
        <f>$G$11-R10</f>
        <v>141.25</v>
      </c>
      <c r="S11" s="935"/>
      <c r="T11" s="299"/>
      <c r="U11" s="299"/>
      <c r="W11" s="8" t="s">
        <v>303</v>
      </c>
      <c r="Y11" s="395">
        <f>(R11-Y8)/Y8</f>
        <v>1.825</v>
      </c>
      <c r="Z11" s="392" t="s">
        <v>302</v>
      </c>
    </row>
    <row r="12" spans="1:36" ht="21.6" thickBot="1">
      <c r="B12" s="17"/>
      <c r="C12" s="469"/>
      <c r="H12" s="469"/>
      <c r="I12" s="8"/>
      <c r="J12" s="8"/>
      <c r="K12" s="8"/>
      <c r="L12" s="8"/>
      <c r="O12" s="8"/>
      <c r="T12" s="299"/>
    </row>
    <row r="13" spans="1:36" ht="21.6" thickBot="1">
      <c r="A13" s="41">
        <v>130</v>
      </c>
      <c r="B13" s="42" t="s">
        <v>43</v>
      </c>
      <c r="C13" s="456"/>
      <c r="D13" s="457"/>
      <c r="E13" s="516" t="s">
        <v>885</v>
      </c>
      <c r="F13" s="1255" t="s">
        <v>231</v>
      </c>
      <c r="G13" s="1255"/>
      <c r="H13" s="522"/>
      <c r="I13" s="190"/>
      <c r="J13" s="50" t="s">
        <v>315</v>
      </c>
      <c r="K13" s="50">
        <v>20</v>
      </c>
      <c r="L13" s="66" t="s">
        <v>39</v>
      </c>
      <c r="M13" s="152"/>
      <c r="N13" s="150" t="s">
        <v>537</v>
      </c>
      <c r="R13" s="1057"/>
      <c r="Y13" s="1232" t="s">
        <v>269</v>
      </c>
      <c r="Z13" s="1233"/>
      <c r="AF13" s="1224" t="s">
        <v>366</v>
      </c>
      <c r="AG13" s="1225"/>
      <c r="AH13" s="1225"/>
      <c r="AI13" s="1226"/>
    </row>
    <row r="14" spans="1:36" ht="21.6" thickBot="1">
      <c r="A14" s="89"/>
      <c r="B14" s="13"/>
      <c r="C14" s="479" t="s">
        <v>695</v>
      </c>
      <c r="D14" s="480" t="s">
        <v>217</v>
      </c>
      <c r="E14" s="523" t="s">
        <v>696</v>
      </c>
      <c r="F14" s="463">
        <v>75</v>
      </c>
      <c r="G14" s="525">
        <f>56*0.35</f>
        <v>19.599999999999998</v>
      </c>
      <c r="H14" s="524">
        <f>G14/0.35</f>
        <v>56</v>
      </c>
      <c r="I14" s="191"/>
      <c r="J14" s="83">
        <v>115</v>
      </c>
      <c r="K14" s="80">
        <v>5</v>
      </c>
      <c r="L14" s="81">
        <v>15</v>
      </c>
      <c r="M14" s="398">
        <v>56</v>
      </c>
      <c r="N14" s="150" t="s">
        <v>865</v>
      </c>
      <c r="Y14" s="1234" t="s">
        <v>270</v>
      </c>
      <c r="Z14" s="1235"/>
      <c r="AA14" s="1238" t="s">
        <v>271</v>
      </c>
      <c r="AB14" s="319"/>
      <c r="AC14" s="321"/>
      <c r="AD14" s="321"/>
      <c r="AF14" s="1227"/>
      <c r="AG14" s="1228"/>
      <c r="AH14" s="1228"/>
      <c r="AI14" s="1229"/>
    </row>
    <row r="15" spans="1:36" ht="22.2" thickTop="1" thickBot="1">
      <c r="A15" s="89"/>
      <c r="B15" s="13"/>
      <c r="C15" s="479" t="s">
        <v>785</v>
      </c>
      <c r="D15" s="480" t="s">
        <v>217</v>
      </c>
      <c r="E15" s="523" t="s">
        <v>801</v>
      </c>
      <c r="F15" s="463">
        <v>75</v>
      </c>
      <c r="G15" s="525">
        <f>J15*0.35</f>
        <v>42.349999999999994</v>
      </c>
      <c r="H15" s="524">
        <f>G15/0.35</f>
        <v>120.99999999999999</v>
      </c>
      <c r="I15" s="191"/>
      <c r="J15" s="83">
        <f>(K15*$K$13)+L15</f>
        <v>121</v>
      </c>
      <c r="K15" s="80">
        <v>6</v>
      </c>
      <c r="L15" s="81">
        <v>1</v>
      </c>
      <c r="M15" s="398"/>
      <c r="O15" s="1250" t="s">
        <v>43</v>
      </c>
      <c r="P15" s="1251"/>
      <c r="Q15" s="1252"/>
      <c r="R15" s="279" t="s">
        <v>262</v>
      </c>
      <c r="T15" s="1168" t="s">
        <v>268</v>
      </c>
      <c r="U15" s="1169"/>
      <c r="V15" s="1169"/>
      <c r="W15" s="1170"/>
      <c r="Y15" s="1236"/>
      <c r="Z15" s="1237"/>
      <c r="AA15" s="1239"/>
      <c r="AB15" s="319"/>
      <c r="AC15" s="1240" t="s">
        <v>272</v>
      </c>
      <c r="AD15" s="1241"/>
      <c r="AF15" s="999" t="s">
        <v>679</v>
      </c>
      <c r="AG15" s="960" t="s">
        <v>680</v>
      </c>
      <c r="AH15" s="1003" t="s">
        <v>268</v>
      </c>
      <c r="AI15" s="959" t="s">
        <v>681</v>
      </c>
      <c r="AJ15" s="8" t="s">
        <v>618</v>
      </c>
    </row>
    <row r="16" spans="1:36" ht="22.2" thickTop="1" thickBot="1">
      <c r="B16" s="13"/>
      <c r="C16" s="479"/>
      <c r="D16" s="480"/>
      <c r="E16" s="523"/>
      <c r="F16" s="463"/>
      <c r="G16" s="525">
        <f>J16*0.35</f>
        <v>0</v>
      </c>
      <c r="H16" s="524">
        <f>G16/0.35</f>
        <v>0</v>
      </c>
      <c r="I16" s="191"/>
      <c r="J16" s="83">
        <f>(K16*$K$13)+L16</f>
        <v>0</v>
      </c>
      <c r="K16" s="80"/>
      <c r="L16" s="81"/>
      <c r="M16" s="398"/>
      <c r="O16" s="1190" t="s">
        <v>298</v>
      </c>
      <c r="P16" s="1191"/>
      <c r="Q16" s="1192"/>
      <c r="R16" s="1138">
        <v>0</v>
      </c>
      <c r="T16" s="1165" t="s">
        <v>299</v>
      </c>
      <c r="U16" s="1166"/>
      <c r="V16" s="1167"/>
      <c r="W16" s="309">
        <v>0</v>
      </c>
      <c r="Y16" s="1182">
        <f>R16+W16</f>
        <v>0</v>
      </c>
      <c r="Z16" s="1183"/>
      <c r="AA16" s="318">
        <v>90</v>
      </c>
      <c r="AC16" s="1230">
        <f>Y16/AA16</f>
        <v>0</v>
      </c>
      <c r="AD16" s="1231"/>
      <c r="AF16" s="1004">
        <v>0.24088888888888887</v>
      </c>
      <c r="AG16" s="1005">
        <v>0.18533333333333332</v>
      </c>
      <c r="AH16" s="1005">
        <v>0.3634222222222222</v>
      </c>
      <c r="AI16" s="1001">
        <v>0</v>
      </c>
      <c r="AJ16" s="229">
        <f>AVERAGE(AF16:AI16)</f>
        <v>0.19741111111111109</v>
      </c>
    </row>
    <row r="17" spans="1:36" ht="21.6" thickBot="1">
      <c r="B17" s="13"/>
      <c r="C17" s="479"/>
      <c r="D17" s="480"/>
      <c r="E17" s="523"/>
      <c r="F17" s="463"/>
      <c r="G17" s="525">
        <f>J17*0.35</f>
        <v>0</v>
      </c>
      <c r="H17" s="524">
        <f>G17/0.35</f>
        <v>0</v>
      </c>
      <c r="I17" s="191"/>
      <c r="J17" s="83">
        <f>(K17*$K$13)+L17</f>
        <v>0</v>
      </c>
      <c r="K17" s="80"/>
      <c r="L17" s="81"/>
      <c r="M17" s="398"/>
      <c r="O17" s="1165" t="s">
        <v>299</v>
      </c>
      <c r="P17" s="1166"/>
      <c r="Q17" s="1167"/>
      <c r="R17" s="1116"/>
      <c r="T17" s="880">
        <f>R17+0.3</f>
        <v>0.3</v>
      </c>
      <c r="Y17" s="1257">
        <f>0+R17</f>
        <v>0</v>
      </c>
      <c r="Z17" s="1162"/>
      <c r="AA17" s="332">
        <v>81.900000000000006</v>
      </c>
      <c r="AC17" s="469" t="s">
        <v>357</v>
      </c>
    </row>
    <row r="18" spans="1:36" ht="21.6" thickBot="1">
      <c r="B18" s="13"/>
      <c r="C18" s="479"/>
      <c r="D18" s="480"/>
      <c r="E18" s="523"/>
      <c r="F18" s="463"/>
      <c r="G18" s="525">
        <f>J18*0.35</f>
        <v>0</v>
      </c>
      <c r="H18" s="524">
        <f>G18/0.35</f>
        <v>0</v>
      </c>
      <c r="I18" s="191"/>
      <c r="J18" s="83">
        <f>(K18*$K$13)+L18</f>
        <v>0</v>
      </c>
      <c r="K18" s="80"/>
      <c r="L18" s="81"/>
      <c r="M18" s="398"/>
      <c r="O18" s="1187" t="s">
        <v>242</v>
      </c>
      <c r="P18" s="1188"/>
      <c r="Q18" s="1189"/>
      <c r="R18" s="225">
        <f>SUM(R16:R17)</f>
        <v>0</v>
      </c>
      <c r="W18" s="8" t="s">
        <v>301</v>
      </c>
      <c r="X18" s="117"/>
      <c r="Y18" s="944" t="e">
        <f>R19/Y16</f>
        <v>#DIV/0!</v>
      </c>
      <c r="Z18" s="392" t="s">
        <v>302</v>
      </c>
      <c r="AC18" s="943" t="s">
        <v>356</v>
      </c>
      <c r="AJ18" s="1135">
        <f>(R19-(AJ16*AA16))/(AJ16*AA16)</f>
        <v>2.4868013733325824</v>
      </c>
    </row>
    <row r="19" spans="1:36" ht="21.6" thickBot="1">
      <c r="B19" s="40"/>
      <c r="C19" s="518"/>
      <c r="D19" s="519"/>
      <c r="E19" s="526"/>
      <c r="F19" s="474">
        <f>SUM(F16:F18)</f>
        <v>0</v>
      </c>
      <c r="G19" s="530">
        <f>SUM(G14:G18)</f>
        <v>61.949999999999989</v>
      </c>
      <c r="H19" s="476">
        <f>SUM(H14:H18)</f>
        <v>177</v>
      </c>
      <c r="I19" s="184"/>
      <c r="J19" s="25">
        <f t="shared" ref="J19" si="9">SUM(J16:J18)</f>
        <v>0</v>
      </c>
      <c r="K19" s="291"/>
      <c r="L19" s="292"/>
      <c r="M19" s="349"/>
      <c r="O19" s="1247" t="s">
        <v>243</v>
      </c>
      <c r="P19" s="1248"/>
      <c r="Q19" s="1249"/>
      <c r="R19" s="226">
        <f>$G$19-R18</f>
        <v>61.949999999999989</v>
      </c>
      <c r="S19" s="405"/>
      <c r="T19" s="389"/>
      <c r="U19" s="389"/>
      <c r="W19" s="8" t="s">
        <v>303</v>
      </c>
      <c r="Y19" s="394" t="e">
        <f>(R19-Y16)/Y16</f>
        <v>#DIV/0!</v>
      </c>
      <c r="Z19" s="392" t="s">
        <v>302</v>
      </c>
      <c r="AC19" s="949" t="s">
        <v>358</v>
      </c>
      <c r="AD19" s="332"/>
      <c r="AE19" s="332"/>
    </row>
    <row r="20" spans="1:36" ht="21.6" thickBot="1">
      <c r="B20" s="17"/>
      <c r="C20" s="469"/>
      <c r="D20" s="469"/>
      <c r="E20" s="527"/>
      <c r="F20" s="469"/>
      <c r="G20" s="469"/>
      <c r="H20" s="469"/>
      <c r="I20" s="8"/>
      <c r="J20" s="8"/>
      <c r="K20" s="8"/>
      <c r="L20" s="8"/>
      <c r="O20" s="8"/>
      <c r="S20" s="405"/>
      <c r="T20" s="389"/>
      <c r="U20" s="389"/>
    </row>
    <row r="21" spans="1:36" ht="21.6" thickBot="1">
      <c r="A21" s="41">
        <v>137</v>
      </c>
      <c r="B21" s="42" t="s">
        <v>44</v>
      </c>
      <c r="C21" s="456"/>
      <c r="D21" s="1253" t="s">
        <v>293</v>
      </c>
      <c r="E21" s="1254"/>
      <c r="F21" s="1255" t="s">
        <v>230</v>
      </c>
      <c r="G21" s="1255"/>
      <c r="H21" s="522"/>
      <c r="I21" s="190"/>
      <c r="J21" s="50"/>
      <c r="K21" s="50">
        <v>24</v>
      </c>
      <c r="L21" s="66" t="s">
        <v>39</v>
      </c>
      <c r="M21" s="152"/>
      <c r="N21" s="150" t="s">
        <v>540</v>
      </c>
      <c r="S21" s="405"/>
      <c r="T21" s="389"/>
      <c r="U21" s="389"/>
    </row>
    <row r="22" spans="1:36">
      <c r="A22" s="48">
        <v>13749</v>
      </c>
      <c r="B22" s="13"/>
      <c r="C22" s="479" t="s">
        <v>635</v>
      </c>
      <c r="D22" s="480" t="s">
        <v>216</v>
      </c>
      <c r="E22" s="517" t="s">
        <v>637</v>
      </c>
      <c r="F22" s="463">
        <v>450</v>
      </c>
      <c r="G22" s="529">
        <f>H22*0.4</f>
        <v>283.60000000000002</v>
      </c>
      <c r="H22" s="528">
        <v>709</v>
      </c>
      <c r="I22" s="191"/>
      <c r="J22" s="27">
        <v>718</v>
      </c>
      <c r="K22" s="80">
        <v>29</v>
      </c>
      <c r="L22" s="81">
        <v>22</v>
      </c>
      <c r="M22" s="398"/>
      <c r="N22" s="150" t="s">
        <v>864</v>
      </c>
      <c r="T22" s="389"/>
      <c r="U22" s="389"/>
    </row>
    <row r="23" spans="1:36">
      <c r="A23" s="48">
        <v>137</v>
      </c>
      <c r="B23" s="13"/>
      <c r="C23" s="479" t="s">
        <v>654</v>
      </c>
      <c r="D23" s="480" t="s">
        <v>216</v>
      </c>
      <c r="E23" s="517" t="s">
        <v>656</v>
      </c>
      <c r="F23" s="463">
        <v>450</v>
      </c>
      <c r="G23" s="529">
        <f>H23*0.4</f>
        <v>275.2</v>
      </c>
      <c r="H23" s="528">
        <v>688</v>
      </c>
      <c r="I23" s="191"/>
      <c r="J23" s="27">
        <v>716</v>
      </c>
      <c r="K23" s="80">
        <v>29</v>
      </c>
      <c r="L23" s="81">
        <v>20</v>
      </c>
      <c r="M23" s="398" t="s">
        <v>881</v>
      </c>
      <c r="S23" s="405"/>
      <c r="T23" s="389"/>
      <c r="U23" s="389"/>
    </row>
    <row r="24" spans="1:36">
      <c r="A24" s="48">
        <v>101</v>
      </c>
      <c r="B24" s="13"/>
      <c r="C24" s="479" t="s">
        <v>682</v>
      </c>
      <c r="D24" s="480" t="s">
        <v>218</v>
      </c>
      <c r="E24" s="517" t="s">
        <v>697</v>
      </c>
      <c r="F24" s="463"/>
      <c r="G24" s="529">
        <f>H24*0.4</f>
        <v>168.8</v>
      </c>
      <c r="H24" s="528">
        <v>422</v>
      </c>
      <c r="I24" s="191"/>
      <c r="J24" s="27">
        <v>472</v>
      </c>
      <c r="K24" s="80">
        <v>19</v>
      </c>
      <c r="L24" s="81">
        <v>16</v>
      </c>
      <c r="M24" s="398" t="s">
        <v>882</v>
      </c>
      <c r="T24" s="389"/>
    </row>
    <row r="25" spans="1:36">
      <c r="A25" s="48" t="s">
        <v>45</v>
      </c>
      <c r="B25" s="13"/>
      <c r="C25" s="479" t="s">
        <v>695</v>
      </c>
      <c r="D25" s="480" t="s">
        <v>218</v>
      </c>
      <c r="E25" s="517" t="s">
        <v>698</v>
      </c>
      <c r="F25" s="463">
        <v>300</v>
      </c>
      <c r="G25" s="529">
        <v>193.20000000000002</v>
      </c>
      <c r="H25" s="528">
        <f>G25/0.4</f>
        <v>483</v>
      </c>
      <c r="I25" s="191"/>
      <c r="J25" s="27">
        <v>483</v>
      </c>
      <c r="K25" s="80">
        <v>20</v>
      </c>
      <c r="L25" s="81">
        <v>3</v>
      </c>
      <c r="M25" s="398"/>
      <c r="T25" s="389"/>
    </row>
    <row r="26" spans="1:36">
      <c r="A26" s="48">
        <v>1375</v>
      </c>
      <c r="B26" s="13"/>
      <c r="C26" s="479" t="s">
        <v>778</v>
      </c>
      <c r="D26" s="480" t="s">
        <v>216</v>
      </c>
      <c r="E26" s="517" t="s">
        <v>787</v>
      </c>
      <c r="F26" s="463">
        <v>450</v>
      </c>
      <c r="G26" s="529">
        <f>J26*0.4</f>
        <v>286</v>
      </c>
      <c r="H26" s="528">
        <f>G26/0.4</f>
        <v>715</v>
      </c>
      <c r="I26" s="191"/>
      <c r="J26" s="27">
        <f>(K26*$K$21)+L26</f>
        <v>715</v>
      </c>
      <c r="K26" s="80">
        <f>24+5</f>
        <v>29</v>
      </c>
      <c r="L26" s="81">
        <v>19</v>
      </c>
      <c r="M26" s="398"/>
      <c r="T26" s="389"/>
    </row>
    <row r="27" spans="1:36">
      <c r="A27" s="48">
        <v>10149</v>
      </c>
      <c r="B27" s="13"/>
      <c r="C27" s="479" t="s">
        <v>839</v>
      </c>
      <c r="D27" s="480" t="s">
        <v>218</v>
      </c>
      <c r="E27" s="517" t="s">
        <v>861</v>
      </c>
      <c r="F27" s="463">
        <v>300</v>
      </c>
      <c r="G27" s="529">
        <f>H27*0.4</f>
        <v>57.6</v>
      </c>
      <c r="H27" s="528">
        <v>144</v>
      </c>
      <c r="I27" s="191"/>
      <c r="J27" s="27">
        <f>(K27*$K$21)+L27</f>
        <v>144</v>
      </c>
      <c r="K27" s="80">
        <v>6</v>
      </c>
      <c r="L27" s="81"/>
      <c r="M27" s="398"/>
    </row>
    <row r="28" spans="1:36">
      <c r="B28" s="13"/>
      <c r="C28" s="479" t="s">
        <v>860</v>
      </c>
      <c r="D28" s="480" t="s">
        <v>862</v>
      </c>
      <c r="E28" s="517" t="s">
        <v>863</v>
      </c>
      <c r="F28" s="463"/>
      <c r="G28" s="529">
        <f>J28*0.4</f>
        <v>0</v>
      </c>
      <c r="H28" s="528">
        <f>G28/0.4</f>
        <v>0</v>
      </c>
      <c r="I28" s="191"/>
      <c r="J28" s="27">
        <f>(K28*$K$21)+L28</f>
        <v>0</v>
      </c>
      <c r="K28" s="80"/>
      <c r="L28" s="81"/>
      <c r="M28" s="398"/>
    </row>
    <row r="29" spans="1:36">
      <c r="B29" s="13"/>
      <c r="C29" s="479"/>
      <c r="D29" s="480"/>
      <c r="E29" s="517"/>
      <c r="F29" s="463"/>
      <c r="G29" s="529">
        <f t="shared" ref="G29:G33" si="10">J29*0.4</f>
        <v>0</v>
      </c>
      <c r="H29" s="528">
        <f t="shared" ref="H29:H33" si="11">G29/0.4</f>
        <v>0</v>
      </c>
      <c r="I29" s="191"/>
      <c r="J29" s="27">
        <f t="shared" ref="J29:J33" si="12">(K29*$K$21)+L29</f>
        <v>0</v>
      </c>
      <c r="K29" s="80"/>
      <c r="L29" s="81"/>
      <c r="M29" s="398"/>
    </row>
    <row r="30" spans="1:36">
      <c r="B30" s="13"/>
      <c r="C30" s="479"/>
      <c r="D30" s="480"/>
      <c r="E30" s="517"/>
      <c r="F30" s="463"/>
      <c r="G30" s="529">
        <f t="shared" si="10"/>
        <v>0</v>
      </c>
      <c r="H30" s="528">
        <f t="shared" si="11"/>
        <v>0</v>
      </c>
      <c r="I30" s="191"/>
      <c r="J30" s="27">
        <f t="shared" si="12"/>
        <v>0</v>
      </c>
      <c r="K30" s="80"/>
      <c r="L30" s="81"/>
      <c r="M30" s="398"/>
    </row>
    <row r="31" spans="1:36" ht="21.6" thickBot="1">
      <c r="B31" s="13"/>
      <c r="C31" s="479"/>
      <c r="D31" s="480"/>
      <c r="E31" s="517"/>
      <c r="F31" s="463"/>
      <c r="G31" s="529">
        <f t="shared" si="10"/>
        <v>0</v>
      </c>
      <c r="H31" s="528">
        <f t="shared" si="11"/>
        <v>0</v>
      </c>
      <c r="I31" s="191"/>
      <c r="J31" s="27">
        <f t="shared" si="12"/>
        <v>0</v>
      </c>
      <c r="K31" s="80"/>
      <c r="L31" s="81"/>
      <c r="M31" s="398"/>
    </row>
    <row r="32" spans="1:36" ht="21.6" thickBot="1">
      <c r="B32" s="13"/>
      <c r="C32" s="479"/>
      <c r="D32" s="480"/>
      <c r="E32" s="517"/>
      <c r="F32" s="463"/>
      <c r="G32" s="529">
        <f t="shared" si="10"/>
        <v>0</v>
      </c>
      <c r="H32" s="528">
        <f t="shared" si="11"/>
        <v>0</v>
      </c>
      <c r="I32" s="191"/>
      <c r="J32" s="27">
        <f t="shared" si="12"/>
        <v>0</v>
      </c>
      <c r="K32" s="80"/>
      <c r="L32" s="81"/>
      <c r="M32" s="398"/>
      <c r="Y32" s="1232" t="s">
        <v>269</v>
      </c>
      <c r="Z32" s="1233"/>
      <c r="AF32" s="1224" t="s">
        <v>366</v>
      </c>
      <c r="AG32" s="1225"/>
      <c r="AH32" s="1225"/>
      <c r="AI32" s="1226"/>
    </row>
    <row r="33" spans="1:36" ht="21.6" thickBot="1">
      <c r="B33" s="13"/>
      <c r="C33" s="479"/>
      <c r="D33" s="480"/>
      <c r="E33" s="517"/>
      <c r="F33" s="463"/>
      <c r="G33" s="529">
        <f t="shared" si="10"/>
        <v>0</v>
      </c>
      <c r="H33" s="528">
        <f t="shared" si="11"/>
        <v>0</v>
      </c>
      <c r="I33" s="191"/>
      <c r="J33" s="27">
        <f t="shared" si="12"/>
        <v>0</v>
      </c>
      <c r="K33" s="80"/>
      <c r="L33" s="81"/>
      <c r="M33" s="398"/>
      <c r="Y33" s="1234" t="s">
        <v>270</v>
      </c>
      <c r="Z33" s="1235"/>
      <c r="AA33" s="1238" t="s">
        <v>271</v>
      </c>
      <c r="AB33" s="319"/>
      <c r="AC33" s="321"/>
      <c r="AD33" s="321"/>
      <c r="AF33" s="1227"/>
      <c r="AG33" s="1228"/>
      <c r="AH33" s="1228"/>
      <c r="AI33" s="1229"/>
    </row>
    <row r="34" spans="1:36" ht="27.75" customHeight="1" thickTop="1" thickBot="1">
      <c r="B34" s="13"/>
      <c r="C34" s="479"/>
      <c r="D34" s="480"/>
      <c r="E34" s="517"/>
      <c r="F34" s="463"/>
      <c r="G34" s="529">
        <f t="shared" ref="G34:G36" si="13">J34*0.4</f>
        <v>0</v>
      </c>
      <c r="H34" s="528">
        <f t="shared" ref="H34:H36" si="14">G34/0.4</f>
        <v>0</v>
      </c>
      <c r="I34" s="191"/>
      <c r="J34" s="27">
        <f t="shared" ref="J34:J36" si="15">(K34*$K$21)+L34</f>
        <v>0</v>
      </c>
      <c r="K34" s="80"/>
      <c r="L34" s="81"/>
      <c r="M34" s="398"/>
      <c r="O34" s="1250" t="s">
        <v>44</v>
      </c>
      <c r="P34" s="1251"/>
      <c r="Q34" s="1252"/>
      <c r="R34" s="279" t="s">
        <v>262</v>
      </c>
      <c r="T34" s="1168" t="s">
        <v>268</v>
      </c>
      <c r="U34" s="1169"/>
      <c r="V34" s="1169"/>
      <c r="W34" s="1170"/>
      <c r="Y34" s="1236"/>
      <c r="Z34" s="1237"/>
      <c r="AA34" s="1239"/>
      <c r="AB34" s="319"/>
      <c r="AC34" s="1240" t="s">
        <v>272</v>
      </c>
      <c r="AD34" s="1241"/>
      <c r="AF34" s="999" t="s">
        <v>679</v>
      </c>
      <c r="AG34" s="960" t="s">
        <v>680</v>
      </c>
      <c r="AH34" s="1003" t="s">
        <v>268</v>
      </c>
      <c r="AI34" s="959" t="s">
        <v>681</v>
      </c>
      <c r="AJ34" s="8" t="s">
        <v>618</v>
      </c>
    </row>
    <row r="35" spans="1:36" ht="26.25" customHeight="1" thickTop="1" thickBot="1">
      <c r="B35" s="13"/>
      <c r="C35" s="479"/>
      <c r="D35" s="480"/>
      <c r="E35" s="517"/>
      <c r="F35" s="463"/>
      <c r="G35" s="529">
        <f t="shared" si="13"/>
        <v>0</v>
      </c>
      <c r="H35" s="528">
        <f t="shared" si="14"/>
        <v>0</v>
      </c>
      <c r="I35" s="191"/>
      <c r="J35" s="27">
        <f t="shared" si="15"/>
        <v>0</v>
      </c>
      <c r="K35" s="80"/>
      <c r="L35" s="81"/>
      <c r="M35" s="398"/>
      <c r="O35" s="1190" t="s">
        <v>298</v>
      </c>
      <c r="P35" s="1191"/>
      <c r="Q35" s="1192"/>
      <c r="R35" s="223">
        <v>110.666</v>
      </c>
      <c r="T35" s="1165" t="s">
        <v>299</v>
      </c>
      <c r="U35" s="1166"/>
      <c r="V35" s="1167"/>
      <c r="W35" s="309">
        <v>87.165999999999997</v>
      </c>
      <c r="Y35" s="1182">
        <f>R35+W35</f>
        <v>197.83199999999999</v>
      </c>
      <c r="Z35" s="1183"/>
      <c r="AA35" s="318">
        <v>92</v>
      </c>
      <c r="AC35" s="1230">
        <f>Y35/AA35</f>
        <v>2.1503478260869566</v>
      </c>
      <c r="AD35" s="1231"/>
      <c r="AF35" s="1004">
        <v>1.0696739130434783</v>
      </c>
      <c r="AG35" s="1005">
        <v>1.8676739130434783</v>
      </c>
      <c r="AH35" s="1005">
        <v>0.9328478260869566</v>
      </c>
      <c r="AI35" s="1001">
        <v>2.1503478260869566</v>
      </c>
      <c r="AJ35" s="229">
        <f>AVERAGE(AF35:AI35)</f>
        <v>1.5051358695652173</v>
      </c>
    </row>
    <row r="36" spans="1:36" ht="27" customHeight="1" thickBot="1">
      <c r="B36" s="13"/>
      <c r="C36" s="479"/>
      <c r="D36" s="480"/>
      <c r="E36" s="517"/>
      <c r="F36" s="463"/>
      <c r="G36" s="529">
        <f t="shared" si="13"/>
        <v>0</v>
      </c>
      <c r="H36" s="528">
        <f t="shared" si="14"/>
        <v>0</v>
      </c>
      <c r="I36" s="191"/>
      <c r="J36" s="27">
        <f t="shared" si="15"/>
        <v>0</v>
      </c>
      <c r="K36" s="80"/>
      <c r="L36" s="81"/>
      <c r="M36" s="398"/>
      <c r="O36" s="1165" t="s">
        <v>299</v>
      </c>
      <c r="P36" s="1166"/>
      <c r="Q36" s="1167"/>
      <c r="R36" s="1115"/>
      <c r="T36" s="881">
        <f>R36+241</f>
        <v>241</v>
      </c>
      <c r="Y36" s="1256"/>
      <c r="Z36" s="1162"/>
      <c r="AA36" s="332">
        <v>117.56</v>
      </c>
    </row>
    <row r="37" spans="1:36" ht="21.6" thickBot="1">
      <c r="B37" s="13"/>
      <c r="C37" s="479"/>
      <c r="D37" s="480"/>
      <c r="E37" s="517"/>
      <c r="F37" s="463"/>
      <c r="G37" s="529">
        <f t="shared" ref="G37:G38" si="16">J37*0.4</f>
        <v>0</v>
      </c>
      <c r="H37" s="528">
        <f t="shared" ref="H37:H38" si="17">G37/0.4</f>
        <v>0</v>
      </c>
      <c r="I37" s="191"/>
      <c r="J37" s="27">
        <f t="shared" ref="J37:J38" si="18">(K37*$K$21)+L37</f>
        <v>0</v>
      </c>
      <c r="K37" s="80"/>
      <c r="L37" s="81"/>
      <c r="M37" s="398"/>
      <c r="O37" s="1187" t="s">
        <v>242</v>
      </c>
      <c r="P37" s="1188"/>
      <c r="Q37" s="1189"/>
      <c r="R37" s="221">
        <f>SUM(R35:R36)</f>
        <v>110.666</v>
      </c>
      <c r="W37" s="8" t="s">
        <v>301</v>
      </c>
      <c r="X37" s="117"/>
      <c r="Y37" s="396">
        <f>R38/Y35</f>
        <v>5.831887662258886</v>
      </c>
      <c r="Z37" s="392" t="s">
        <v>302</v>
      </c>
      <c r="AJ37" s="1135">
        <f>(R38-(AJ35*AA35))/(AJ35*AA35)</f>
        <v>7.3318637274549099</v>
      </c>
    </row>
    <row r="38" spans="1:36" ht="21.6" thickBot="1">
      <c r="B38" s="13"/>
      <c r="C38" s="479"/>
      <c r="D38" s="480"/>
      <c r="E38" s="517"/>
      <c r="F38" s="463"/>
      <c r="G38" s="529">
        <f t="shared" si="16"/>
        <v>0</v>
      </c>
      <c r="H38" s="528">
        <f t="shared" si="17"/>
        <v>0</v>
      </c>
      <c r="I38" s="191"/>
      <c r="J38" s="27">
        <f t="shared" si="18"/>
        <v>0</v>
      </c>
      <c r="K38" s="80"/>
      <c r="L38" s="81"/>
      <c r="M38" s="398"/>
      <c r="O38" s="1247" t="s">
        <v>243</v>
      </c>
      <c r="P38" s="1248"/>
      <c r="Q38" s="1249"/>
      <c r="R38" s="222">
        <f>$G$42-R37</f>
        <v>1153.7339999999999</v>
      </c>
      <c r="S38" s="935"/>
      <c r="T38" s="299"/>
      <c r="W38" s="8" t="s">
        <v>303</v>
      </c>
      <c r="Y38" s="396">
        <f>R38/Y35</f>
        <v>5.831887662258886</v>
      </c>
      <c r="Z38" s="392" t="s">
        <v>302</v>
      </c>
    </row>
    <row r="39" spans="1:36">
      <c r="B39" s="13"/>
      <c r="C39" s="479"/>
      <c r="D39" s="480"/>
      <c r="E39" s="517"/>
      <c r="F39" s="463"/>
      <c r="G39" s="529">
        <f t="shared" ref="G39" si="19">J39*0.4</f>
        <v>0</v>
      </c>
      <c r="H39" s="528">
        <f t="shared" ref="H39" si="20">G39/0.4</f>
        <v>0</v>
      </c>
      <c r="I39" s="191"/>
      <c r="J39" s="27">
        <f t="shared" ref="J39" si="21">(K39*$K$21)+L39</f>
        <v>0</v>
      </c>
      <c r="K39" s="80"/>
      <c r="L39" s="81"/>
      <c r="M39" s="398"/>
      <c r="O39" s="8"/>
    </row>
    <row r="40" spans="1:36">
      <c r="B40" s="13"/>
      <c r="C40" s="479"/>
      <c r="D40" s="480"/>
      <c r="E40" s="517"/>
      <c r="F40" s="463"/>
      <c r="G40" s="529">
        <f t="shared" ref="G40" si="22">J40*0.4</f>
        <v>0</v>
      </c>
      <c r="H40" s="528">
        <f t="shared" ref="H40" si="23">G40/0.4</f>
        <v>0</v>
      </c>
      <c r="I40" s="191"/>
      <c r="J40" s="27">
        <f t="shared" ref="J40" si="24">(K40*$K$21)+L40</f>
        <v>0</v>
      </c>
      <c r="K40" s="80"/>
      <c r="L40" s="81"/>
      <c r="M40" s="398"/>
      <c r="O40" s="8"/>
      <c r="T40" s="299"/>
    </row>
    <row r="41" spans="1:36" ht="21.6" thickBot="1">
      <c r="B41" s="13"/>
      <c r="C41" s="479"/>
      <c r="D41" s="480"/>
      <c r="E41" s="517"/>
      <c r="F41" s="463"/>
      <c r="G41" s="529">
        <f t="shared" ref="G41" si="25">J41*0.4</f>
        <v>0</v>
      </c>
      <c r="H41" s="528">
        <f t="shared" ref="H41" si="26">G41/0.4</f>
        <v>0</v>
      </c>
      <c r="I41" s="191"/>
      <c r="J41" s="27">
        <f t="shared" ref="J41" si="27">(K41*$K$21)+L41</f>
        <v>0</v>
      </c>
      <c r="K41" s="80"/>
      <c r="L41" s="81"/>
      <c r="M41" s="398"/>
      <c r="S41" s="434"/>
    </row>
    <row r="42" spans="1:36" ht="21.6" thickBot="1">
      <c r="B42" s="40"/>
      <c r="C42" s="518"/>
      <c r="D42" s="519"/>
      <c r="E42" s="526"/>
      <c r="F42" s="474">
        <f>SUM(F22:F41)</f>
        <v>1950</v>
      </c>
      <c r="G42" s="530">
        <f>SUM(G22:G41)</f>
        <v>1264.3999999999999</v>
      </c>
      <c r="H42" s="476">
        <f>SUM(H22:H41)</f>
        <v>3161</v>
      </c>
      <c r="I42" s="184"/>
      <c r="J42" s="25">
        <f>SUM(J22:J41)</f>
        <v>3248</v>
      </c>
      <c r="K42" s="85"/>
      <c r="L42" s="81"/>
      <c r="M42" s="425">
        <f>1292-1206</f>
        <v>86</v>
      </c>
      <c r="T42" s="299"/>
    </row>
    <row r="43" spans="1:36" ht="21.6" thickBot="1">
      <c r="B43" s="17"/>
      <c r="C43" s="469"/>
      <c r="D43" s="469"/>
      <c r="E43" s="527"/>
      <c r="F43" s="469"/>
      <c r="G43" s="469"/>
      <c r="H43" s="469"/>
      <c r="I43" s="8"/>
      <c r="J43" s="8"/>
      <c r="K43" s="8"/>
      <c r="L43" s="8"/>
    </row>
    <row r="44" spans="1:36" ht="21.6" thickBot="1">
      <c r="A44" s="41">
        <v>22649</v>
      </c>
      <c r="B44" s="42" t="s">
        <v>500</v>
      </c>
      <c r="C44" s="456"/>
      <c r="D44" s="1253" t="s">
        <v>178</v>
      </c>
      <c r="E44" s="1254"/>
      <c r="F44" s="1255" t="s">
        <v>232</v>
      </c>
      <c r="G44" s="1255"/>
      <c r="H44" s="522"/>
      <c r="I44" s="190"/>
      <c r="J44" s="50"/>
      <c r="K44" s="50">
        <v>12</v>
      </c>
      <c r="L44" s="66" t="s">
        <v>39</v>
      </c>
      <c r="M44" s="152"/>
      <c r="N44" s="150" t="s">
        <v>541</v>
      </c>
    </row>
    <row r="45" spans="1:36">
      <c r="A45" s="53">
        <v>22649</v>
      </c>
      <c r="B45" s="13"/>
      <c r="C45" s="479" t="s">
        <v>560</v>
      </c>
      <c r="D45" s="480" t="s">
        <v>219</v>
      </c>
      <c r="E45" s="517" t="s">
        <v>568</v>
      </c>
      <c r="F45" s="481">
        <v>150</v>
      </c>
      <c r="G45" s="529">
        <f>H45*0.75</f>
        <v>24</v>
      </c>
      <c r="H45" s="528">
        <v>32</v>
      </c>
      <c r="I45" s="191"/>
      <c r="J45" s="27">
        <v>118</v>
      </c>
      <c r="K45" s="80">
        <v>9</v>
      </c>
      <c r="L45" s="81">
        <v>10</v>
      </c>
      <c r="M45" s="398">
        <v>59</v>
      </c>
      <c r="N45" s="150" t="s">
        <v>871</v>
      </c>
    </row>
    <row r="46" spans="1:36">
      <c r="A46" s="53" t="s">
        <v>46</v>
      </c>
      <c r="B46" s="13"/>
      <c r="C46" s="479" t="s">
        <v>572</v>
      </c>
      <c r="D46" s="480" t="s">
        <v>217</v>
      </c>
      <c r="E46" s="517" t="s">
        <v>573</v>
      </c>
      <c r="F46" s="481">
        <v>75</v>
      </c>
      <c r="G46" s="529">
        <v>45</v>
      </c>
      <c r="H46" s="528">
        <f t="shared" ref="H46:H52" si="28">G46/0.75</f>
        <v>60</v>
      </c>
      <c r="I46" s="191"/>
      <c r="J46" s="27">
        <v>60</v>
      </c>
      <c r="K46" s="80">
        <v>5</v>
      </c>
      <c r="L46" s="81"/>
      <c r="M46" s="398"/>
    </row>
    <row r="47" spans="1:36">
      <c r="B47" s="13"/>
      <c r="C47" s="479" t="s">
        <v>586</v>
      </c>
      <c r="D47" s="480" t="s">
        <v>217</v>
      </c>
      <c r="E47" s="517" t="s">
        <v>594</v>
      </c>
      <c r="F47" s="463">
        <v>75</v>
      </c>
      <c r="G47" s="529">
        <v>48</v>
      </c>
      <c r="H47" s="528">
        <f t="shared" si="28"/>
        <v>64</v>
      </c>
      <c r="I47" s="191"/>
      <c r="J47" s="27">
        <v>64</v>
      </c>
      <c r="K47" s="80">
        <v>5</v>
      </c>
      <c r="L47" s="81">
        <v>4</v>
      </c>
      <c r="M47" s="398"/>
    </row>
    <row r="48" spans="1:36">
      <c r="B48" s="13"/>
      <c r="C48" s="479" t="s">
        <v>695</v>
      </c>
      <c r="D48" s="480" t="s">
        <v>217</v>
      </c>
      <c r="E48" s="517" t="s">
        <v>696</v>
      </c>
      <c r="F48" s="463">
        <v>75</v>
      </c>
      <c r="G48" s="529">
        <v>42.75</v>
      </c>
      <c r="H48" s="528">
        <f t="shared" si="28"/>
        <v>57</v>
      </c>
      <c r="I48" s="191"/>
      <c r="J48" s="27">
        <v>57</v>
      </c>
      <c r="K48" s="80">
        <v>4</v>
      </c>
      <c r="L48" s="81">
        <v>9</v>
      </c>
      <c r="M48" s="398"/>
    </row>
    <row r="49" spans="1:36">
      <c r="B49" s="13"/>
      <c r="C49" s="479" t="s">
        <v>785</v>
      </c>
      <c r="D49" s="480" t="s">
        <v>217</v>
      </c>
      <c r="E49" s="517" t="s">
        <v>801</v>
      </c>
      <c r="F49" s="481">
        <v>75</v>
      </c>
      <c r="G49" s="529">
        <f t="shared" ref="G49:G52" si="29">J49*0.75</f>
        <v>45.75</v>
      </c>
      <c r="H49" s="528">
        <f t="shared" si="28"/>
        <v>61</v>
      </c>
      <c r="I49" s="191"/>
      <c r="J49" s="27">
        <f t="shared" ref="J49:J52" si="30">(K49*$K$44)+L49</f>
        <v>61</v>
      </c>
      <c r="K49" s="80">
        <v>5</v>
      </c>
      <c r="L49" s="81">
        <v>1</v>
      </c>
      <c r="M49" s="398"/>
      <c r="O49" s="878"/>
    </row>
    <row r="50" spans="1:36">
      <c r="B50" s="13"/>
      <c r="C50" s="479" t="s">
        <v>839</v>
      </c>
      <c r="D50" s="480" t="s">
        <v>217</v>
      </c>
      <c r="E50" s="517" t="s">
        <v>841</v>
      </c>
      <c r="F50" s="481">
        <v>75</v>
      </c>
      <c r="G50" s="529">
        <f>H50*0.75</f>
        <v>47.25</v>
      </c>
      <c r="H50" s="528">
        <v>63</v>
      </c>
      <c r="I50" s="191"/>
      <c r="J50" s="27">
        <f t="shared" si="30"/>
        <v>63</v>
      </c>
      <c r="K50" s="80">
        <v>5</v>
      </c>
      <c r="L50" s="81">
        <v>3</v>
      </c>
      <c r="M50" s="398"/>
    </row>
    <row r="51" spans="1:36">
      <c r="B51" s="13"/>
      <c r="C51" s="479"/>
      <c r="D51" s="480"/>
      <c r="E51" s="517"/>
      <c r="F51" s="481"/>
      <c r="G51" s="529">
        <f t="shared" si="29"/>
        <v>0</v>
      </c>
      <c r="H51" s="528">
        <f t="shared" si="28"/>
        <v>0</v>
      </c>
      <c r="I51" s="191"/>
      <c r="J51" s="27">
        <f t="shared" si="30"/>
        <v>0</v>
      </c>
      <c r="K51" s="80"/>
      <c r="L51" s="81"/>
      <c r="M51" s="398"/>
    </row>
    <row r="52" spans="1:36">
      <c r="B52" s="13"/>
      <c r="C52" s="479"/>
      <c r="D52" s="480"/>
      <c r="E52" s="517"/>
      <c r="F52" s="481"/>
      <c r="G52" s="529">
        <f t="shared" si="29"/>
        <v>0</v>
      </c>
      <c r="H52" s="528">
        <f t="shared" si="28"/>
        <v>0</v>
      </c>
      <c r="I52" s="191"/>
      <c r="J52" s="27">
        <f t="shared" si="30"/>
        <v>0</v>
      </c>
      <c r="K52" s="80"/>
      <c r="L52" s="81"/>
      <c r="M52" s="398"/>
    </row>
    <row r="53" spans="1:36">
      <c r="B53" s="13"/>
      <c r="C53" s="479"/>
      <c r="D53" s="480"/>
      <c r="E53" s="517"/>
      <c r="F53" s="481"/>
      <c r="G53" s="529">
        <f t="shared" ref="G53:G57" si="31">J53*0.75</f>
        <v>0</v>
      </c>
      <c r="H53" s="528">
        <f t="shared" ref="H53:H57" si="32">G53/0.75</f>
        <v>0</v>
      </c>
      <c r="I53" s="191"/>
      <c r="J53" s="27">
        <f t="shared" ref="J53:J57" si="33">(K53*$K$44)+L53</f>
        <v>0</v>
      </c>
      <c r="K53" s="80"/>
      <c r="L53" s="81"/>
      <c r="M53" s="398"/>
      <c r="O53" s="990"/>
    </row>
    <row r="54" spans="1:36" ht="21.6" thickBot="1">
      <c r="B54" s="13"/>
      <c r="C54" s="479"/>
      <c r="D54" s="480"/>
      <c r="E54" s="517"/>
      <c r="F54" s="481"/>
      <c r="G54" s="529">
        <f t="shared" si="31"/>
        <v>0</v>
      </c>
      <c r="H54" s="528">
        <f t="shared" si="32"/>
        <v>0</v>
      </c>
      <c r="I54" s="191"/>
      <c r="J54" s="27">
        <f t="shared" si="33"/>
        <v>0</v>
      </c>
      <c r="K54" s="80"/>
      <c r="L54" s="81"/>
      <c r="M54" s="398"/>
    </row>
    <row r="55" spans="1:36">
      <c r="B55" s="13"/>
      <c r="C55" s="479"/>
      <c r="D55" s="480"/>
      <c r="E55" s="517"/>
      <c r="F55" s="481"/>
      <c r="G55" s="529">
        <f t="shared" si="31"/>
        <v>0</v>
      </c>
      <c r="H55" s="528">
        <f t="shared" si="32"/>
        <v>0</v>
      </c>
      <c r="I55" s="191"/>
      <c r="J55" s="27">
        <f t="shared" si="33"/>
        <v>0</v>
      </c>
      <c r="K55" s="80"/>
      <c r="L55" s="81"/>
      <c r="M55" s="398"/>
      <c r="AF55" s="1224" t="s">
        <v>366</v>
      </c>
      <c r="AG55" s="1225"/>
      <c r="AH55" s="1225"/>
      <c r="AI55" s="1226"/>
    </row>
    <row r="56" spans="1:36" ht="36" customHeight="1" thickBot="1">
      <c r="B56" s="13"/>
      <c r="C56" s="479"/>
      <c r="D56" s="480"/>
      <c r="E56" s="517"/>
      <c r="F56" s="481"/>
      <c r="G56" s="529">
        <f t="shared" si="31"/>
        <v>0</v>
      </c>
      <c r="H56" s="528">
        <f t="shared" si="32"/>
        <v>0</v>
      </c>
      <c r="I56" s="191"/>
      <c r="J56" s="27">
        <f t="shared" si="33"/>
        <v>0</v>
      </c>
      <c r="K56" s="80"/>
      <c r="L56" s="81"/>
      <c r="M56" s="398"/>
      <c r="AF56" s="1227"/>
      <c r="AG56" s="1228"/>
      <c r="AH56" s="1228"/>
      <c r="AI56" s="1229"/>
    </row>
    <row r="57" spans="1:36" ht="29.25" customHeight="1" thickTop="1" thickBot="1">
      <c r="B57" s="13"/>
      <c r="C57" s="479"/>
      <c r="D57" s="480"/>
      <c r="E57" s="517"/>
      <c r="F57" s="481"/>
      <c r="G57" s="529">
        <f t="shared" si="31"/>
        <v>0</v>
      </c>
      <c r="H57" s="528">
        <f t="shared" si="32"/>
        <v>0</v>
      </c>
      <c r="I57" s="191"/>
      <c r="J57" s="27">
        <f t="shared" si="33"/>
        <v>0</v>
      </c>
      <c r="K57" s="80"/>
      <c r="L57" s="81"/>
      <c r="M57" s="398"/>
      <c r="O57" s="1250" t="s">
        <v>500</v>
      </c>
      <c r="P57" s="1251"/>
      <c r="Q57" s="1252"/>
      <c r="R57" s="279" t="s">
        <v>262</v>
      </c>
      <c r="T57" s="1168" t="s">
        <v>268</v>
      </c>
      <c r="U57" s="1169"/>
      <c r="V57" s="1169"/>
      <c r="W57" s="1170"/>
      <c r="Y57" s="1232" t="s">
        <v>269</v>
      </c>
      <c r="Z57" s="1233"/>
      <c r="AC57" s="1240" t="s">
        <v>272</v>
      </c>
      <c r="AD57" s="1241"/>
      <c r="AF57" s="999" t="s">
        <v>679</v>
      </c>
      <c r="AG57" s="960" t="s">
        <v>680</v>
      </c>
      <c r="AH57" s="1003" t="s">
        <v>268</v>
      </c>
      <c r="AI57" s="959" t="s">
        <v>681</v>
      </c>
      <c r="AJ57" s="8" t="s">
        <v>618</v>
      </c>
    </row>
    <row r="58" spans="1:36" ht="29.25" customHeight="1" thickTop="1" thickBot="1">
      <c r="B58" s="13"/>
      <c r="C58" s="479"/>
      <c r="D58" s="480"/>
      <c r="E58" s="517"/>
      <c r="F58" s="481"/>
      <c r="G58" s="529">
        <f t="shared" ref="G58" si="34">J58*0.75</f>
        <v>0</v>
      </c>
      <c r="H58" s="528">
        <f t="shared" ref="H58" si="35">G58/0.75</f>
        <v>0</v>
      </c>
      <c r="I58" s="191"/>
      <c r="J58" s="27">
        <f t="shared" ref="J58" si="36">(K58*$K$44)+L58</f>
        <v>0</v>
      </c>
      <c r="K58" s="80"/>
      <c r="L58" s="81"/>
      <c r="M58" s="398"/>
      <c r="O58" s="1190" t="s">
        <v>298</v>
      </c>
      <c r="P58" s="1191"/>
      <c r="Q58" s="1192"/>
      <c r="R58" s="223">
        <v>0</v>
      </c>
      <c r="T58" s="1165" t="s">
        <v>299</v>
      </c>
      <c r="U58" s="1166"/>
      <c r="V58" s="1167"/>
      <c r="W58" s="309">
        <v>20.96</v>
      </c>
      <c r="Y58" s="1234" t="s">
        <v>270</v>
      </c>
      <c r="Z58" s="1235"/>
      <c r="AA58" s="1238" t="s">
        <v>271</v>
      </c>
      <c r="AB58" s="319"/>
      <c r="AC58" s="1292">
        <f>Y60/AA60</f>
        <v>0.20153846153846156</v>
      </c>
      <c r="AD58" s="1293"/>
      <c r="AF58" s="1004">
        <v>0.68153846153846154</v>
      </c>
      <c r="AG58" s="1005">
        <v>0.13990384615384616</v>
      </c>
      <c r="AH58" s="1005">
        <v>0.36586538461538459</v>
      </c>
      <c r="AI58" s="1001">
        <v>0.20153846153846156</v>
      </c>
      <c r="AJ58" s="229">
        <f>AVERAGE(AF58:AI58)</f>
        <v>0.3472115384615384</v>
      </c>
    </row>
    <row r="59" spans="1:36" ht="22.2" thickTop="1" thickBot="1">
      <c r="B59" s="13"/>
      <c r="C59" s="479"/>
      <c r="D59" s="480"/>
      <c r="E59" s="517"/>
      <c r="F59" s="481"/>
      <c r="G59" s="529">
        <f t="shared" ref="G59" si="37">J59*0.75</f>
        <v>0</v>
      </c>
      <c r="H59" s="528">
        <f t="shared" ref="H59" si="38">G59/0.75</f>
        <v>0</v>
      </c>
      <c r="I59" s="191"/>
      <c r="J59" s="27">
        <f t="shared" ref="J59" si="39">(K59*$K$44)+L59</f>
        <v>0</v>
      </c>
      <c r="K59" s="80"/>
      <c r="L59" s="81"/>
      <c r="M59" s="398"/>
      <c r="O59" s="1165" t="s">
        <v>299</v>
      </c>
      <c r="P59" s="1166"/>
      <c r="Q59" s="1167"/>
      <c r="R59" s="1115"/>
      <c r="T59" s="939"/>
      <c r="Y59" s="1236"/>
      <c r="Z59" s="1237"/>
      <c r="AA59" s="1239"/>
      <c r="AB59" s="319"/>
    </row>
    <row r="60" spans="1:36" ht="21.6" thickBot="1">
      <c r="B60" s="13"/>
      <c r="C60" s="479"/>
      <c r="D60" s="480"/>
      <c r="E60" s="517"/>
      <c r="F60" s="481"/>
      <c r="G60" s="529">
        <f t="shared" ref="G60" si="40">J60*0.75</f>
        <v>0</v>
      </c>
      <c r="H60" s="528">
        <f t="shared" ref="H60" si="41">G60/0.75</f>
        <v>0</v>
      </c>
      <c r="I60" s="191"/>
      <c r="J60" s="27">
        <f t="shared" ref="J60" si="42">(K60*$K$44)+L60</f>
        <v>0</v>
      </c>
      <c r="K60" s="80"/>
      <c r="L60" s="81"/>
      <c r="M60" s="398"/>
      <c r="O60" s="1187" t="s">
        <v>242</v>
      </c>
      <c r="P60" s="1188"/>
      <c r="Q60" s="1189"/>
      <c r="R60" s="221">
        <f>SUM(R58:R59)</f>
        <v>0</v>
      </c>
      <c r="T60" s="299"/>
      <c r="U60" s="299"/>
      <c r="Y60" s="1182">
        <f>R58+W58</f>
        <v>20.96</v>
      </c>
      <c r="Z60" s="1183"/>
      <c r="AA60" s="318">
        <v>104</v>
      </c>
      <c r="AJ60" s="1135">
        <f>(R61-(AJ58*AA60))/(AJ58*AA60)</f>
        <v>5.9994461368042113</v>
      </c>
    </row>
    <row r="61" spans="1:36" ht="21.6" thickBot="1">
      <c r="B61" s="40"/>
      <c r="C61" s="518"/>
      <c r="D61" s="519"/>
      <c r="E61" s="526"/>
      <c r="F61" s="474">
        <f>SUM(F45:F60)</f>
        <v>525</v>
      </c>
      <c r="G61" s="475">
        <f>SUM(G45:G60)</f>
        <v>252.75</v>
      </c>
      <c r="H61" s="476">
        <f>SUM(H45:H60)</f>
        <v>337</v>
      </c>
      <c r="I61" s="183"/>
      <c r="J61" s="25">
        <f>SUM(J45:J60)</f>
        <v>423</v>
      </c>
      <c r="K61" s="85"/>
      <c r="L61" s="86"/>
      <c r="M61" s="425"/>
      <c r="O61" s="1247" t="s">
        <v>243</v>
      </c>
      <c r="P61" s="1248"/>
      <c r="Q61" s="1249"/>
      <c r="R61" s="222">
        <f>$G$61-R60</f>
        <v>252.75</v>
      </c>
      <c r="S61" s="935"/>
      <c r="U61" s="299"/>
      <c r="Y61" s="1256"/>
      <c r="Z61" s="1162"/>
      <c r="AA61" s="332">
        <v>101.37</v>
      </c>
    </row>
    <row r="62" spans="1:36" ht="21.6" thickBot="1">
      <c r="B62" s="17"/>
      <c r="C62" s="469"/>
      <c r="D62" s="469"/>
      <c r="E62" s="527"/>
      <c r="F62" s="469"/>
      <c r="G62" s="469"/>
      <c r="H62" s="469"/>
      <c r="I62" s="8"/>
      <c r="J62" s="8"/>
      <c r="K62" s="8"/>
      <c r="L62" s="8"/>
      <c r="M62" s="150">
        <f>225-205</f>
        <v>20</v>
      </c>
      <c r="O62" s="8"/>
      <c r="T62" s="299"/>
      <c r="U62" s="299"/>
      <c r="W62" s="8" t="s">
        <v>301</v>
      </c>
      <c r="X62" s="117"/>
      <c r="Y62" s="396">
        <f>R61/Y60</f>
        <v>12.058683206106871</v>
      </c>
      <c r="Z62" s="392" t="s">
        <v>302</v>
      </c>
    </row>
    <row r="63" spans="1:36" ht="21.6" hidden="1" thickBot="1">
      <c r="A63" s="41">
        <v>140</v>
      </c>
      <c r="B63" s="42" t="s">
        <v>47</v>
      </c>
      <c r="C63" s="456"/>
      <c r="D63" s="457"/>
      <c r="E63" s="516"/>
      <c r="F63" s="1255" t="s">
        <v>48</v>
      </c>
      <c r="G63" s="1255"/>
      <c r="H63" s="522"/>
      <c r="I63" s="190"/>
      <c r="J63" s="50"/>
      <c r="K63" s="50">
        <v>8</v>
      </c>
      <c r="L63" s="66" t="s">
        <v>39</v>
      </c>
      <c r="M63" s="152"/>
      <c r="O63" s="1276"/>
      <c r="P63" s="1275"/>
      <c r="Q63" s="1275"/>
      <c r="R63" s="1275"/>
      <c r="W63" s="8" t="s">
        <v>303</v>
      </c>
      <c r="Y63" s="395">
        <f>(R61-Y60)/Y60</f>
        <v>11.058683206106869</v>
      </c>
      <c r="Z63" s="392" t="s">
        <v>302</v>
      </c>
    </row>
    <row r="64" spans="1:36" ht="21.6" hidden="1" thickBot="1">
      <c r="B64" s="13"/>
      <c r="C64" s="466"/>
      <c r="D64" s="467"/>
      <c r="E64" s="517"/>
      <c r="F64" s="481"/>
      <c r="G64" s="529">
        <f t="shared" ref="G64" si="43">J64*0.8</f>
        <v>0</v>
      </c>
      <c r="H64" s="528">
        <f t="shared" ref="H64" si="44">G64/0.8</f>
        <v>0</v>
      </c>
      <c r="I64" s="191"/>
      <c r="J64" s="27">
        <f>(K64*$K$63)+L64</f>
        <v>0</v>
      </c>
      <c r="K64" s="80"/>
      <c r="L64" s="81"/>
      <c r="M64" s="398"/>
      <c r="O64" s="1250" t="s">
        <v>47</v>
      </c>
      <c r="P64" s="1251"/>
      <c r="Q64" s="1252"/>
      <c r="R64" s="279" t="s">
        <v>262</v>
      </c>
      <c r="T64" s="1168" t="s">
        <v>268</v>
      </c>
      <c r="U64" s="1169"/>
      <c r="V64" s="1169"/>
      <c r="W64" s="1170"/>
      <c r="Y64" s="1232" t="s">
        <v>269</v>
      </c>
      <c r="Z64" s="1233"/>
    </row>
    <row r="65" spans="1:36" ht="21.6" hidden="1" thickBot="1">
      <c r="B65" s="13"/>
      <c r="C65" s="466"/>
      <c r="D65" s="467"/>
      <c r="E65" s="517"/>
      <c r="F65" s="481"/>
      <c r="G65" s="529">
        <f t="shared" ref="G65" si="45">J65*0.8</f>
        <v>0</v>
      </c>
      <c r="H65" s="528">
        <f t="shared" ref="H65" si="46">G65/0.8</f>
        <v>0</v>
      </c>
      <c r="I65" s="191"/>
      <c r="J65" s="27">
        <f>(K65*$K$63)+L65</f>
        <v>0</v>
      </c>
      <c r="K65" s="80"/>
      <c r="L65" s="81"/>
      <c r="M65" s="398"/>
      <c r="O65" s="1190" t="s">
        <v>298</v>
      </c>
      <c r="P65" s="1191"/>
      <c r="Q65" s="1192"/>
      <c r="R65" s="223"/>
      <c r="T65" s="1165" t="s">
        <v>299</v>
      </c>
      <c r="U65" s="1166"/>
      <c r="V65" s="1167"/>
      <c r="W65" s="309">
        <v>0</v>
      </c>
      <c r="Y65" s="1234" t="s">
        <v>270</v>
      </c>
      <c r="Z65" s="1235"/>
      <c r="AA65" s="1238" t="s">
        <v>271</v>
      </c>
      <c r="AB65" s="319"/>
      <c r="AC65" s="321"/>
      <c r="AD65" s="321"/>
    </row>
    <row r="66" spans="1:36" ht="22.2" hidden="1" thickTop="1" thickBot="1">
      <c r="B66" s="13"/>
      <c r="C66" s="466"/>
      <c r="D66" s="467"/>
      <c r="E66" s="517"/>
      <c r="F66" s="481"/>
      <c r="G66" s="529">
        <f t="shared" ref="G66" si="47">J66*0.8</f>
        <v>0</v>
      </c>
      <c r="H66" s="528">
        <f t="shared" ref="H66" si="48">G66/0.8</f>
        <v>0</v>
      </c>
      <c r="I66" s="191"/>
      <c r="J66" s="27">
        <f>(K66*$K$63)+L66</f>
        <v>0</v>
      </c>
      <c r="K66" s="80"/>
      <c r="L66" s="81"/>
      <c r="M66" s="398"/>
      <c r="O66" s="1165" t="s">
        <v>299</v>
      </c>
      <c r="P66" s="1166"/>
      <c r="Q66" s="1167"/>
      <c r="R66" s="224"/>
      <c r="Y66" s="1236"/>
      <c r="Z66" s="1237"/>
      <c r="AA66" s="1239"/>
      <c r="AB66" s="319"/>
      <c r="AC66" s="1240" t="s">
        <v>272</v>
      </c>
      <c r="AD66" s="1241"/>
    </row>
    <row r="67" spans="1:36" ht="24.75" hidden="1" customHeight="1" thickTop="1" thickBot="1">
      <c r="B67" s="13"/>
      <c r="C67" s="466"/>
      <c r="D67" s="467"/>
      <c r="E67" s="517"/>
      <c r="F67" s="481"/>
      <c r="G67" s="529">
        <f t="shared" ref="G67" si="49">J67*0.8</f>
        <v>0</v>
      </c>
      <c r="H67" s="528">
        <f t="shared" ref="H67" si="50">G67/0.8</f>
        <v>0</v>
      </c>
      <c r="I67" s="191"/>
      <c r="J67" s="27">
        <f>(K67*$K$63)+L67</f>
        <v>0</v>
      </c>
      <c r="K67" s="80"/>
      <c r="L67" s="81"/>
      <c r="M67" s="398"/>
      <c r="O67" s="1187" t="s">
        <v>242</v>
      </c>
      <c r="P67" s="1188"/>
      <c r="Q67" s="1189"/>
      <c r="R67" s="221">
        <f>SUM(R65:R66)</f>
        <v>0</v>
      </c>
      <c r="Y67" s="1182">
        <f>R65+W65</f>
        <v>0</v>
      </c>
      <c r="Z67" s="1183"/>
      <c r="AA67" s="318">
        <v>90</v>
      </c>
      <c r="AC67" s="1292">
        <f>Y67/AA67</f>
        <v>0</v>
      </c>
      <c r="AD67" s="1293"/>
    </row>
    <row r="68" spans="1:36" ht="21.6" hidden="1" thickBot="1">
      <c r="B68" s="13"/>
      <c r="C68" s="466"/>
      <c r="D68" s="467"/>
      <c r="E68" s="517"/>
      <c r="F68" s="481"/>
      <c r="G68" s="529">
        <f t="shared" ref="G68" si="51">J68*0.8</f>
        <v>0</v>
      </c>
      <c r="H68" s="528">
        <f t="shared" ref="H68" si="52">G68/0.8</f>
        <v>0</v>
      </c>
      <c r="I68" s="191"/>
      <c r="J68" s="27">
        <f>(K68*$K$63)+L68</f>
        <v>0</v>
      </c>
      <c r="K68" s="80"/>
      <c r="L68" s="81"/>
      <c r="M68" s="398"/>
      <c r="O68" s="1247" t="s">
        <v>243</v>
      </c>
      <c r="P68" s="1248"/>
      <c r="Q68" s="1249"/>
      <c r="R68" s="222">
        <f>$G$69-R67</f>
        <v>0</v>
      </c>
      <c r="AA68" s="332">
        <v>89.6</v>
      </c>
    </row>
    <row r="69" spans="1:36" ht="21.6" hidden="1" thickBot="1">
      <c r="B69" s="40"/>
      <c r="C69" s="518"/>
      <c r="D69" s="519"/>
      <c r="E69" s="526"/>
      <c r="F69" s="531">
        <f>SUM(F64:F68)</f>
        <v>0</v>
      </c>
      <c r="G69" s="532">
        <f>SUM(G64:G68)</f>
        <v>0</v>
      </c>
      <c r="H69" s="531">
        <f>SUM(H64:H68)</f>
        <v>0</v>
      </c>
      <c r="I69" s="192"/>
      <c r="J69" s="84">
        <f>SUM(J64:J68)</f>
        <v>0</v>
      </c>
      <c r="K69" s="85"/>
      <c r="L69" s="86"/>
      <c r="M69" s="425"/>
      <c r="O69" s="284"/>
      <c r="P69" s="284"/>
      <c r="Q69" s="284"/>
      <c r="R69" s="285"/>
      <c r="W69" s="8" t="s">
        <v>301</v>
      </c>
      <c r="X69" s="117"/>
      <c r="Y69" s="391" t="e">
        <f>R68/Y67</f>
        <v>#DIV/0!</v>
      </c>
      <c r="Z69" s="392" t="s">
        <v>302</v>
      </c>
    </row>
    <row r="70" spans="1:36" ht="21.6" thickBot="1">
      <c r="B70" s="17"/>
      <c r="C70" s="469"/>
      <c r="D70" s="469"/>
      <c r="E70" s="527"/>
      <c r="F70" s="469"/>
      <c r="G70" s="469"/>
      <c r="H70" s="469"/>
      <c r="I70" s="8"/>
      <c r="J70" s="8"/>
      <c r="K70" s="8"/>
      <c r="L70" s="8"/>
      <c r="O70" s="8"/>
      <c r="W70" s="8" t="s">
        <v>303</v>
      </c>
      <c r="Y70" s="394">
        <f>(R61-Y60)/Y60</f>
        <v>11.058683206106869</v>
      </c>
      <c r="Z70" s="392" t="s">
        <v>302</v>
      </c>
    </row>
    <row r="71" spans="1:36" ht="21.6" hidden="1" thickBot="1">
      <c r="A71" s="41">
        <v>120</v>
      </c>
      <c r="B71" s="42" t="s">
        <v>49</v>
      </c>
      <c r="C71" s="456"/>
      <c r="D71" s="457"/>
      <c r="E71" s="516"/>
      <c r="F71" s="1274" t="s">
        <v>203</v>
      </c>
      <c r="G71" s="1274"/>
      <c r="H71" s="533"/>
      <c r="I71" s="193"/>
      <c r="J71" s="50"/>
      <c r="K71" s="50"/>
      <c r="L71" s="66"/>
      <c r="M71" s="152"/>
      <c r="N71" s="1059"/>
      <c r="O71" s="1250" t="s">
        <v>49</v>
      </c>
      <c r="P71" s="1251"/>
      <c r="Q71" s="1252"/>
      <c r="R71" s="279" t="s">
        <v>262</v>
      </c>
      <c r="T71" s="1168" t="s">
        <v>268</v>
      </c>
      <c r="U71" s="1169"/>
      <c r="V71" s="1169"/>
      <c r="W71" s="1170"/>
      <c r="Y71" s="1232" t="s">
        <v>269</v>
      </c>
      <c r="Z71" s="1233"/>
    </row>
    <row r="72" spans="1:36" ht="21.6" hidden="1" thickBot="1">
      <c r="A72" s="62">
        <v>121</v>
      </c>
      <c r="B72" s="13"/>
      <c r="C72" s="466"/>
      <c r="D72" s="467"/>
      <c r="E72" s="517"/>
      <c r="F72" s="490"/>
      <c r="G72" s="535"/>
      <c r="H72" s="534"/>
      <c r="I72" s="188"/>
      <c r="J72" s="8"/>
      <c r="K72" s="8"/>
      <c r="L72" s="8"/>
      <c r="O72" s="1190" t="s">
        <v>298</v>
      </c>
      <c r="P72" s="1191"/>
      <c r="Q72" s="1192"/>
      <c r="R72" s="223">
        <v>0</v>
      </c>
      <c r="T72" s="1165" t="s">
        <v>299</v>
      </c>
      <c r="U72" s="1166"/>
      <c r="V72" s="1167"/>
      <c r="W72" s="309">
        <v>0</v>
      </c>
      <c r="Y72" s="1234" t="s">
        <v>270</v>
      </c>
      <c r="Z72" s="1235"/>
      <c r="AA72" s="1238" t="s">
        <v>271</v>
      </c>
      <c r="AB72" s="319"/>
      <c r="AC72" s="321"/>
      <c r="AD72" s="321"/>
    </row>
    <row r="73" spans="1:36" ht="22.2" hidden="1" thickTop="1" thickBot="1">
      <c r="A73" s="62">
        <v>122</v>
      </c>
      <c r="B73" s="13"/>
      <c r="C73" s="466"/>
      <c r="D73" s="467"/>
      <c r="E73" s="517"/>
      <c r="F73" s="490"/>
      <c r="G73" s="535"/>
      <c r="H73" s="534"/>
      <c r="I73" s="188"/>
      <c r="J73" s="8"/>
      <c r="K73" s="8"/>
      <c r="L73" s="8"/>
      <c r="O73" s="1165" t="s">
        <v>299</v>
      </c>
      <c r="P73" s="1166"/>
      <c r="Q73" s="1167"/>
      <c r="R73" s="224">
        <v>0</v>
      </c>
      <c r="Y73" s="1236"/>
      <c r="Z73" s="1237"/>
      <c r="AA73" s="1239"/>
      <c r="AB73" s="319"/>
      <c r="AC73" s="1240" t="s">
        <v>272</v>
      </c>
      <c r="AD73" s="1241"/>
    </row>
    <row r="74" spans="1:36" ht="22.2" hidden="1" thickTop="1" thickBot="1">
      <c r="A74" s="62"/>
      <c r="B74" s="13"/>
      <c r="C74" s="466"/>
      <c r="D74" s="467"/>
      <c r="E74" s="517"/>
      <c r="F74" s="490"/>
      <c r="G74" s="535"/>
      <c r="H74" s="534"/>
      <c r="I74" s="188"/>
      <c r="J74" s="8"/>
      <c r="K74" s="8"/>
      <c r="L74" s="8"/>
      <c r="O74" s="1187" t="s">
        <v>242</v>
      </c>
      <c r="P74" s="1188"/>
      <c r="Q74" s="1189"/>
      <c r="R74" s="221">
        <f>SUM(R72:R73)</f>
        <v>0</v>
      </c>
      <c r="Y74" s="1182">
        <f>R72+W72</f>
        <v>0</v>
      </c>
      <c r="Z74" s="1183"/>
      <c r="AA74" s="318">
        <v>100</v>
      </c>
      <c r="AC74" s="1292">
        <f>Y74/AA74</f>
        <v>0</v>
      </c>
      <c r="AD74" s="1293"/>
    </row>
    <row r="75" spans="1:36" ht="21.6" hidden="1" thickBot="1">
      <c r="B75" s="13"/>
      <c r="C75" s="466"/>
      <c r="D75" s="467"/>
      <c r="E75" s="536"/>
      <c r="F75" s="474">
        <f>SUM(F72:F74)</f>
        <v>0</v>
      </c>
      <c r="G75" s="475">
        <f>SUM(G72:G73)</f>
        <v>0</v>
      </c>
      <c r="H75" s="534"/>
      <c r="I75" s="62"/>
      <c r="J75" s="8"/>
      <c r="K75" s="8"/>
      <c r="L75" s="8"/>
      <c r="O75" s="1247" t="s">
        <v>243</v>
      </c>
      <c r="P75" s="1248"/>
      <c r="Q75" s="1249"/>
      <c r="R75" s="222">
        <f>$G$75-R74</f>
        <v>0</v>
      </c>
    </row>
    <row r="76" spans="1:36" ht="21.6" hidden="1" thickBot="1">
      <c r="B76" s="17"/>
      <c r="C76" s="469"/>
      <c r="D76" s="469"/>
      <c r="E76" s="527"/>
      <c r="F76" s="469"/>
      <c r="G76" s="469"/>
      <c r="H76" s="469"/>
      <c r="I76" s="8"/>
      <c r="J76" s="8"/>
      <c r="K76" s="8"/>
      <c r="L76" s="8"/>
      <c r="O76" s="8"/>
      <c r="W76" s="8" t="s">
        <v>301</v>
      </c>
      <c r="X76" s="117"/>
      <c r="Y76" s="391" t="e">
        <f>R75/Y74</f>
        <v>#DIV/0!</v>
      </c>
      <c r="Z76" s="392" t="s">
        <v>302</v>
      </c>
    </row>
    <row r="77" spans="1:36" ht="21.6" thickBot="1">
      <c r="B77" s="17"/>
      <c r="C77" s="469"/>
      <c r="D77" s="469"/>
      <c r="E77" s="527"/>
      <c r="F77" s="469"/>
      <c r="G77" s="469"/>
      <c r="H77" s="469"/>
      <c r="I77" s="8"/>
      <c r="J77" s="8"/>
      <c r="K77" s="8"/>
      <c r="L77" s="8"/>
      <c r="O77" s="8"/>
      <c r="X77" s="117"/>
      <c r="AF77" s="1224" t="s">
        <v>366</v>
      </c>
      <c r="AG77" s="1225"/>
      <c r="AH77" s="1225"/>
      <c r="AI77" s="1226"/>
    </row>
    <row r="78" spans="1:36" ht="39" customHeight="1" thickBot="1">
      <c r="A78" s="41">
        <v>166</v>
      </c>
      <c r="B78" s="42" t="s">
        <v>50</v>
      </c>
      <c r="C78" s="456"/>
      <c r="D78" s="457"/>
      <c r="E78" s="516" t="s">
        <v>885</v>
      </c>
      <c r="F78" s="1274" t="s">
        <v>203</v>
      </c>
      <c r="G78" s="1274"/>
      <c r="H78" s="533"/>
      <c r="I78" s="293"/>
      <c r="J78" s="50"/>
      <c r="K78" s="50"/>
      <c r="L78" s="66"/>
      <c r="M78" s="152"/>
      <c r="N78" s="1058" t="s">
        <v>542</v>
      </c>
      <c r="O78" s="1275"/>
      <c r="P78" s="1275"/>
      <c r="Q78" s="1275"/>
      <c r="R78" s="1275"/>
      <c r="AF78" s="1227"/>
      <c r="AG78" s="1228"/>
      <c r="AH78" s="1228"/>
      <c r="AI78" s="1229"/>
    </row>
    <row r="79" spans="1:36" ht="29.25" customHeight="1" thickTop="1" thickBot="1">
      <c r="A79" s="69" t="s">
        <v>52</v>
      </c>
      <c r="B79" s="13"/>
      <c r="C79" s="479" t="s">
        <v>635</v>
      </c>
      <c r="D79" s="480" t="s">
        <v>219</v>
      </c>
      <c r="E79" s="517" t="s">
        <v>636</v>
      </c>
      <c r="F79" s="490">
        <v>150</v>
      </c>
      <c r="G79" s="1006">
        <v>40</v>
      </c>
      <c r="H79" s="469">
        <v>60</v>
      </c>
      <c r="I79" s="8"/>
      <c r="J79" s="996"/>
      <c r="K79" s="996"/>
      <c r="L79" s="996"/>
      <c r="M79" s="996"/>
      <c r="N79" s="150" t="s">
        <v>866</v>
      </c>
      <c r="O79" s="1250" t="s">
        <v>50</v>
      </c>
      <c r="P79" s="1251"/>
      <c r="Q79" s="1252"/>
      <c r="R79" s="279" t="s">
        <v>262</v>
      </c>
      <c r="T79" s="1168" t="s">
        <v>268</v>
      </c>
      <c r="U79" s="1169"/>
      <c r="V79" s="1169"/>
      <c r="W79" s="1170"/>
      <c r="Y79" s="1232" t="s">
        <v>269</v>
      </c>
      <c r="Z79" s="1233"/>
      <c r="AC79" s="1240" t="s">
        <v>272</v>
      </c>
      <c r="AD79" s="1241"/>
      <c r="AF79" s="999" t="s">
        <v>679</v>
      </c>
      <c r="AG79" s="960" t="s">
        <v>680</v>
      </c>
      <c r="AH79" s="1003" t="s">
        <v>268</v>
      </c>
      <c r="AI79" s="959" t="s">
        <v>681</v>
      </c>
      <c r="AJ79" s="8" t="s">
        <v>618</v>
      </c>
    </row>
    <row r="80" spans="1:36" ht="29.25" customHeight="1" thickTop="1" thickBot="1">
      <c r="A80" s="69">
        <v>1665</v>
      </c>
      <c r="B80" s="13"/>
      <c r="C80" s="479" t="s">
        <v>687</v>
      </c>
      <c r="D80" s="480" t="s">
        <v>219</v>
      </c>
      <c r="E80" s="517" t="s">
        <v>756</v>
      </c>
      <c r="F80" s="490">
        <v>150</v>
      </c>
      <c r="G80" s="1101">
        <v>100</v>
      </c>
      <c r="H80" s="469"/>
      <c r="I80" s="8"/>
      <c r="J80" s="996"/>
      <c r="K80" s="996"/>
      <c r="L80" s="996"/>
      <c r="M80" s="996"/>
      <c r="N80" s="996"/>
      <c r="O80" s="1190" t="s">
        <v>298</v>
      </c>
      <c r="P80" s="1191"/>
      <c r="Q80" s="1192"/>
      <c r="R80" s="223">
        <v>2</v>
      </c>
      <c r="T80" s="1165" t="s">
        <v>299</v>
      </c>
      <c r="U80" s="1166"/>
      <c r="V80" s="1167"/>
      <c r="W80" s="309">
        <v>0</v>
      </c>
      <c r="Y80" s="1234" t="s">
        <v>270</v>
      </c>
      <c r="Z80" s="1235"/>
      <c r="AA80" s="1238" t="s">
        <v>271</v>
      </c>
      <c r="AB80" s="319"/>
      <c r="AC80" s="1292">
        <f>Y82/AA82</f>
        <v>0.02</v>
      </c>
      <c r="AD80" s="1293"/>
      <c r="AF80" s="1004">
        <v>0.12770000000000001</v>
      </c>
      <c r="AG80" s="1005">
        <v>0</v>
      </c>
      <c r="AH80" s="1005">
        <v>0.02</v>
      </c>
      <c r="AI80" s="1001">
        <v>0.02</v>
      </c>
      <c r="AJ80" s="229">
        <f>AVERAGE(AF80:AI80)</f>
        <v>4.1924999999999997E-2</v>
      </c>
    </row>
    <row r="81" spans="1:36" ht="22.2" thickTop="1" thickBot="1">
      <c r="A81" s="69" t="s">
        <v>51</v>
      </c>
      <c r="B81" s="13"/>
      <c r="C81" s="479"/>
      <c r="D81" s="480"/>
      <c r="E81" s="517"/>
      <c r="F81" s="490"/>
      <c r="G81" s="1102"/>
      <c r="H81" s="469"/>
      <c r="I81" s="8"/>
      <c r="J81" s="996"/>
      <c r="K81" s="996"/>
      <c r="L81" s="996"/>
      <c r="M81" s="996"/>
      <c r="N81" s="996"/>
      <c r="O81" s="1165" t="s">
        <v>299</v>
      </c>
      <c r="P81" s="1166"/>
      <c r="Q81" s="1167"/>
      <c r="R81" s="1115"/>
      <c r="T81" s="299"/>
      <c r="Y81" s="1236"/>
      <c r="Z81" s="1237"/>
      <c r="AA81" s="1239"/>
      <c r="AB81" s="319"/>
    </row>
    <row r="82" spans="1:36" ht="21.6" thickBot="1">
      <c r="A82" s="69"/>
      <c r="B82" s="13"/>
      <c r="C82" s="479"/>
      <c r="D82" s="480"/>
      <c r="E82" s="517"/>
      <c r="F82" s="490"/>
      <c r="G82" s="537"/>
      <c r="H82" s="469"/>
      <c r="I82" s="8"/>
      <c r="J82" s="996"/>
      <c r="K82" s="996"/>
      <c r="L82" s="996"/>
      <c r="M82" s="996"/>
      <c r="N82" s="996"/>
      <c r="O82" s="1187" t="s">
        <v>242</v>
      </c>
      <c r="P82" s="1188"/>
      <c r="Q82" s="1189"/>
      <c r="R82" s="221">
        <f>SUM(R80:R81)</f>
        <v>2</v>
      </c>
      <c r="Y82" s="1182">
        <f>R80+W80</f>
        <v>2</v>
      </c>
      <c r="Z82" s="1183"/>
      <c r="AA82" s="318">
        <v>100</v>
      </c>
      <c r="AJ82" s="1135">
        <f>(R83-(AJ80*AA82))/(AJ80*AA82)</f>
        <v>31.915921288014314</v>
      </c>
    </row>
    <row r="83" spans="1:36" ht="21.6" thickBot="1">
      <c r="B83" s="13"/>
      <c r="C83" s="466"/>
      <c r="D83" s="467"/>
      <c r="E83" s="536"/>
      <c r="F83" s="474">
        <f>SUM(F79:F82)</f>
        <v>300</v>
      </c>
      <c r="G83" s="475">
        <f>SUM(G79:G81)</f>
        <v>140</v>
      </c>
      <c r="H83" s="469"/>
      <c r="I83" s="8"/>
      <c r="J83" s="996"/>
      <c r="K83" s="996"/>
      <c r="L83" s="996"/>
      <c r="M83" s="996"/>
      <c r="N83" s="996"/>
      <c r="O83" s="1247" t="s">
        <v>243</v>
      </c>
      <c r="P83" s="1248"/>
      <c r="Q83" s="1249"/>
      <c r="R83" s="222">
        <f>$G$83-R82</f>
        <v>138</v>
      </c>
      <c r="S83" s="434"/>
      <c r="T83" s="299"/>
      <c r="W83" s="8" t="s">
        <v>301</v>
      </c>
      <c r="X83" s="117"/>
      <c r="Y83" s="391">
        <f>R83/Y82</f>
        <v>69</v>
      </c>
      <c r="Z83" s="392" t="s">
        <v>302</v>
      </c>
      <c r="AA83" s="299">
        <f>T81+R81</f>
        <v>0</v>
      </c>
      <c r="AF83" s="1224" t="s">
        <v>366</v>
      </c>
      <c r="AG83" s="1225"/>
      <c r="AH83" s="1225"/>
      <c r="AI83" s="1226"/>
    </row>
    <row r="84" spans="1:36" ht="42.75" customHeight="1" thickBot="1">
      <c r="B84" s="17"/>
      <c r="C84" s="469"/>
      <c r="D84" s="469"/>
      <c r="E84" s="527"/>
      <c r="F84" s="469"/>
      <c r="G84" s="469"/>
      <c r="H84" s="469"/>
      <c r="I84" s="8"/>
      <c r="J84" s="8"/>
      <c r="K84" s="8"/>
      <c r="L84" s="8"/>
      <c r="O84" s="8"/>
      <c r="W84" s="8" t="s">
        <v>303</v>
      </c>
      <c r="Y84" s="394">
        <f>(R83-Y82)/Y82</f>
        <v>68</v>
      </c>
      <c r="Z84" s="392" t="s">
        <v>302</v>
      </c>
      <c r="AF84" s="1227"/>
      <c r="AG84" s="1228"/>
      <c r="AH84" s="1228"/>
      <c r="AI84" s="1229"/>
    </row>
    <row r="85" spans="1:36" ht="29.25" customHeight="1" thickTop="1" thickBot="1">
      <c r="A85" s="41">
        <v>300</v>
      </c>
      <c r="B85" s="42" t="s">
        <v>174</v>
      </c>
      <c r="C85" s="456"/>
      <c r="D85" s="1253" t="s">
        <v>177</v>
      </c>
      <c r="E85" s="1254"/>
      <c r="F85" s="1255" t="s">
        <v>230</v>
      </c>
      <c r="G85" s="1255"/>
      <c r="H85" s="522"/>
      <c r="I85" s="190"/>
      <c r="J85" s="50"/>
      <c r="K85" s="50">
        <v>24</v>
      </c>
      <c r="L85" s="66" t="s">
        <v>39</v>
      </c>
      <c r="M85" s="152"/>
      <c r="N85" s="150" t="s">
        <v>540</v>
      </c>
      <c r="O85" s="1251" t="s">
        <v>174</v>
      </c>
      <c r="P85" s="1251"/>
      <c r="Q85" s="1252"/>
      <c r="R85" s="279" t="s">
        <v>262</v>
      </c>
      <c r="T85" s="1168" t="s">
        <v>268</v>
      </c>
      <c r="U85" s="1169"/>
      <c r="V85" s="1169"/>
      <c r="W85" s="1170"/>
      <c r="Y85" s="1232" t="s">
        <v>269</v>
      </c>
      <c r="Z85" s="1233"/>
      <c r="AC85" s="1240" t="s">
        <v>272</v>
      </c>
      <c r="AD85" s="1241"/>
      <c r="AF85" s="999" t="s">
        <v>679</v>
      </c>
      <c r="AG85" s="960" t="s">
        <v>680</v>
      </c>
      <c r="AH85" s="1003" t="s">
        <v>268</v>
      </c>
      <c r="AI85" s="959" t="s">
        <v>681</v>
      </c>
    </row>
    <row r="86" spans="1:36" ht="29.25" customHeight="1" thickTop="1" thickBot="1">
      <c r="B86" s="13"/>
      <c r="C86" s="466"/>
      <c r="D86" s="467"/>
      <c r="E86" s="517"/>
      <c r="F86" s="463"/>
      <c r="G86" s="529">
        <f t="shared" ref="G86" si="53">J86*0.4</f>
        <v>0</v>
      </c>
      <c r="H86" s="528">
        <f t="shared" ref="H86" si="54">G86/0.4</f>
        <v>0</v>
      </c>
      <c r="I86" s="191"/>
      <c r="J86" s="27">
        <f t="shared" ref="J86" si="55">(K86*$K$21)+L86</f>
        <v>0</v>
      </c>
      <c r="K86" s="80"/>
      <c r="L86" s="81"/>
      <c r="M86" s="398"/>
      <c r="N86" s="150" t="s">
        <v>867</v>
      </c>
      <c r="O86" s="1190" t="s">
        <v>298</v>
      </c>
      <c r="P86" s="1191"/>
      <c r="Q86" s="1192"/>
      <c r="R86" s="223">
        <v>0</v>
      </c>
      <c r="T86" s="1165" t="s">
        <v>299</v>
      </c>
      <c r="U86" s="1166"/>
      <c r="V86" s="1167"/>
      <c r="W86" s="309">
        <v>0</v>
      </c>
      <c r="Y86" s="1234" t="s">
        <v>270</v>
      </c>
      <c r="Z86" s="1235"/>
      <c r="AA86" s="1238" t="s">
        <v>271</v>
      </c>
      <c r="AB86" s="319"/>
      <c r="AC86" s="1292">
        <f>Y88/AA88</f>
        <v>0</v>
      </c>
      <c r="AD86" s="1293"/>
      <c r="AF86" s="1004">
        <v>0</v>
      </c>
      <c r="AG86" s="1005">
        <v>0</v>
      </c>
      <c r="AH86" s="1005">
        <v>0</v>
      </c>
      <c r="AI86" s="1001">
        <v>0</v>
      </c>
    </row>
    <row r="87" spans="1:36" ht="22.2" thickTop="1" thickBot="1">
      <c r="B87" s="13"/>
      <c r="C87" s="466"/>
      <c r="D87" s="467"/>
      <c r="E87" s="517"/>
      <c r="F87" s="463"/>
      <c r="G87" s="529"/>
      <c r="H87" s="528"/>
      <c r="I87" s="191"/>
      <c r="J87" s="27"/>
      <c r="K87" s="80"/>
      <c r="L87" s="81"/>
      <c r="M87" s="398"/>
      <c r="O87" s="1165" t="s">
        <v>299</v>
      </c>
      <c r="P87" s="1166"/>
      <c r="Q87" s="1167"/>
      <c r="R87" s="224"/>
      <c r="Y87" s="1236"/>
      <c r="Z87" s="1237"/>
      <c r="AA87" s="1239"/>
      <c r="AB87" s="319"/>
    </row>
    <row r="88" spans="1:36" ht="21.6" thickBot="1">
      <c r="B88" s="13"/>
      <c r="C88" s="466"/>
      <c r="D88" s="467"/>
      <c r="E88" s="517"/>
      <c r="F88" s="463"/>
      <c r="G88" s="529">
        <f>J88*0.4</f>
        <v>0</v>
      </c>
      <c r="H88" s="528">
        <f>G88/0.4</f>
        <v>0</v>
      </c>
      <c r="I88" s="191"/>
      <c r="J88" s="27">
        <f>(K88*$K$85)+L88</f>
        <v>0</v>
      </c>
      <c r="K88" s="80"/>
      <c r="L88" s="81"/>
      <c r="M88" s="398"/>
      <c r="O88" s="1187" t="s">
        <v>242</v>
      </c>
      <c r="P88" s="1188"/>
      <c r="Q88" s="1189"/>
      <c r="R88" s="221">
        <f>SUM(R86:R87)</f>
        <v>0</v>
      </c>
      <c r="Y88" s="1182">
        <f>R86+W86</f>
        <v>0</v>
      </c>
      <c r="Z88" s="1183"/>
      <c r="AA88" s="318">
        <v>90</v>
      </c>
    </row>
    <row r="89" spans="1:36" ht="21.6" thickBot="1">
      <c r="B89" s="40"/>
      <c r="C89" s="518"/>
      <c r="D89" s="519"/>
      <c r="E89" s="526"/>
      <c r="F89" s="474">
        <f>SUM(F86:F88)</f>
        <v>0</v>
      </c>
      <c r="G89" s="475">
        <f>SUM(G86:G88)</f>
        <v>0</v>
      </c>
      <c r="H89" s="474">
        <f>SUM(H86:H88)</f>
        <v>0</v>
      </c>
      <c r="I89" s="184"/>
      <c r="J89" s="25">
        <f>SUM(J86:J88)</f>
        <v>0</v>
      </c>
      <c r="K89" s="85"/>
      <c r="L89" s="86"/>
      <c r="M89" s="425"/>
      <c r="O89" s="1247" t="s">
        <v>243</v>
      </c>
      <c r="P89" s="1248"/>
      <c r="Q89" s="1249"/>
      <c r="R89" s="222">
        <f>$G$89-R88</f>
        <v>0</v>
      </c>
      <c r="AA89" s="332">
        <v>117.5</v>
      </c>
    </row>
    <row r="90" spans="1:36" ht="21.6" thickBot="1">
      <c r="B90" s="17"/>
      <c r="C90" s="469"/>
      <c r="D90" s="469"/>
      <c r="E90" s="527"/>
      <c r="F90" s="469"/>
      <c r="G90" s="469"/>
      <c r="H90" s="469"/>
      <c r="I90" s="8"/>
      <c r="J90" s="8"/>
      <c r="K90" s="8"/>
      <c r="L90" s="8"/>
      <c r="O90" s="8"/>
      <c r="W90" s="8" t="s">
        <v>301</v>
      </c>
      <c r="X90" s="117"/>
      <c r="Y90" s="391" t="e">
        <f>R89/Y88</f>
        <v>#DIV/0!</v>
      </c>
      <c r="Z90" s="392" t="s">
        <v>302</v>
      </c>
    </row>
    <row r="91" spans="1:36" ht="21.6" hidden="1" thickBot="1">
      <c r="A91" s="70" t="s">
        <v>54</v>
      </c>
      <c r="B91" s="65" t="s">
        <v>53</v>
      </c>
      <c r="C91" s="538"/>
      <c r="D91" s="539"/>
      <c r="E91" s="540"/>
      <c r="F91" s="1261" t="s">
        <v>56</v>
      </c>
      <c r="G91" s="1261"/>
      <c r="H91" s="541"/>
      <c r="I91" s="194"/>
      <c r="J91" s="71"/>
      <c r="K91" s="50">
        <v>28</v>
      </c>
      <c r="L91" s="66" t="s">
        <v>39</v>
      </c>
      <c r="M91" s="426"/>
      <c r="O91" s="1281" t="s">
        <v>53</v>
      </c>
      <c r="P91" s="1282"/>
      <c r="Q91" s="1282"/>
      <c r="R91" s="1282"/>
    </row>
    <row r="92" spans="1:36" ht="21.6" hidden="1" thickBot="1">
      <c r="B92" s="72"/>
      <c r="C92" s="466"/>
      <c r="D92" s="467"/>
      <c r="E92" s="517"/>
      <c r="F92" s="463"/>
      <c r="G92" s="529">
        <f t="shared" ref="G92:G93" si="56">J92*0.25</f>
        <v>0</v>
      </c>
      <c r="H92" s="528">
        <f t="shared" ref="H92:H93" si="57">G92/0.25</f>
        <v>0</v>
      </c>
      <c r="I92" s="191"/>
      <c r="J92" s="27">
        <f t="shared" ref="J92:J93" si="58">(K92*$K$91)+L92</f>
        <v>0</v>
      </c>
      <c r="K92" s="80"/>
      <c r="L92" s="81"/>
      <c r="M92" s="398"/>
      <c r="R92" s="279" t="s">
        <v>262</v>
      </c>
      <c r="T92" s="1168" t="s">
        <v>268</v>
      </c>
      <c r="U92" s="1169"/>
      <c r="V92" s="1169"/>
      <c r="W92" s="1170"/>
      <c r="Y92" s="1232" t="s">
        <v>269</v>
      </c>
      <c r="Z92" s="1233"/>
    </row>
    <row r="93" spans="1:36" ht="21.6" hidden="1" thickBot="1">
      <c r="B93" s="72"/>
      <c r="C93" s="466"/>
      <c r="D93" s="467"/>
      <c r="E93" s="517"/>
      <c r="F93" s="463"/>
      <c r="G93" s="529">
        <f t="shared" si="56"/>
        <v>0</v>
      </c>
      <c r="H93" s="528">
        <f t="shared" si="57"/>
        <v>0</v>
      </c>
      <c r="I93" s="191"/>
      <c r="J93" s="27">
        <f t="shared" si="58"/>
        <v>0</v>
      </c>
      <c r="K93" s="80"/>
      <c r="L93" s="81"/>
      <c r="M93" s="398"/>
      <c r="O93" s="1190" t="s">
        <v>295</v>
      </c>
      <c r="P93" s="1191"/>
      <c r="Q93" s="1192"/>
      <c r="R93" s="223"/>
      <c r="T93" s="1258" t="s">
        <v>296</v>
      </c>
      <c r="U93" s="1259"/>
      <c r="V93" s="1260"/>
      <c r="W93" s="309"/>
      <c r="Y93" s="1234" t="s">
        <v>270</v>
      </c>
      <c r="Z93" s="1235"/>
      <c r="AA93" s="1238" t="s">
        <v>271</v>
      </c>
      <c r="AB93" s="319"/>
      <c r="AC93" s="321"/>
      <c r="AD93" s="321"/>
    </row>
    <row r="94" spans="1:36" ht="22.2" hidden="1" thickTop="1" thickBot="1">
      <c r="B94" s="13"/>
      <c r="C94" s="466"/>
      <c r="D94" s="467"/>
      <c r="E94" s="517"/>
      <c r="F94" s="463"/>
      <c r="G94" s="529">
        <f>J94*0.25</f>
        <v>0</v>
      </c>
      <c r="H94" s="528">
        <f>G94/0.25</f>
        <v>0</v>
      </c>
      <c r="I94" s="191"/>
      <c r="J94" s="27">
        <f>(K94*$K$91)+L94</f>
        <v>0</v>
      </c>
      <c r="K94" s="80"/>
      <c r="L94" s="81"/>
      <c r="M94" s="398"/>
      <c r="O94" s="1258" t="s">
        <v>296</v>
      </c>
      <c r="P94" s="1259"/>
      <c r="Q94" s="1260"/>
      <c r="R94" s="224"/>
      <c r="Y94" s="1236"/>
      <c r="Z94" s="1237"/>
      <c r="AA94" s="1239"/>
      <c r="AB94" s="319"/>
      <c r="AC94" s="1240" t="s">
        <v>272</v>
      </c>
      <c r="AD94" s="1241"/>
    </row>
    <row r="95" spans="1:36" ht="22.2" hidden="1" thickTop="1" thickBot="1">
      <c r="B95" s="13"/>
      <c r="C95" s="466"/>
      <c r="D95" s="467"/>
      <c r="E95" s="517"/>
      <c r="F95" s="463"/>
      <c r="G95" s="529">
        <f>J95*0.25</f>
        <v>0</v>
      </c>
      <c r="H95" s="528">
        <f>G95/0.25</f>
        <v>0</v>
      </c>
      <c r="I95" s="191"/>
      <c r="J95" s="27">
        <f>(K95*$K$91)+L95</f>
        <v>0</v>
      </c>
      <c r="K95" s="80"/>
      <c r="L95" s="81"/>
      <c r="M95" s="398"/>
      <c r="O95" s="1187" t="s">
        <v>242</v>
      </c>
      <c r="P95" s="1188"/>
      <c r="Q95" s="1189"/>
      <c r="R95" s="221"/>
      <c r="Y95" s="1182">
        <f>R93+W93</f>
        <v>0</v>
      </c>
      <c r="Z95" s="1183"/>
      <c r="AA95" s="318">
        <v>91</v>
      </c>
      <c r="AC95" s="1292">
        <f>Y95/AA95</f>
        <v>0</v>
      </c>
      <c r="AD95" s="1293"/>
    </row>
    <row r="96" spans="1:36" ht="21.6" hidden="1" thickBot="1">
      <c r="B96" s="40"/>
      <c r="C96" s="518"/>
      <c r="D96" s="519"/>
      <c r="E96" s="526"/>
      <c r="F96" s="474">
        <f>SUM(F92:F95)</f>
        <v>0</v>
      </c>
      <c r="G96" s="475">
        <f>SUM(G92:G95)</f>
        <v>0</v>
      </c>
      <c r="H96" s="474">
        <f>SUM(H92:H95)</f>
        <v>0</v>
      </c>
      <c r="I96" s="184"/>
      <c r="J96" s="25">
        <f>SUM(J92:J95)</f>
        <v>0</v>
      </c>
      <c r="K96" s="85"/>
      <c r="L96" s="86"/>
      <c r="M96" s="425"/>
      <c r="O96" s="1247" t="s">
        <v>243</v>
      </c>
      <c r="P96" s="1248"/>
      <c r="Q96" s="1249"/>
      <c r="R96" s="222">
        <f>$G$96-R95</f>
        <v>0</v>
      </c>
      <c r="AA96" s="332">
        <v>91.75</v>
      </c>
    </row>
    <row r="97" spans="1:30" ht="21.6" hidden="1" thickBot="1">
      <c r="B97" s="17"/>
      <c r="C97" s="469"/>
      <c r="D97" s="469"/>
      <c r="E97" s="527"/>
      <c r="F97" s="469"/>
      <c r="G97" s="469"/>
      <c r="H97" s="469"/>
      <c r="I97" s="8"/>
      <c r="J97" s="8"/>
      <c r="K97" s="8"/>
      <c r="L97" s="8"/>
      <c r="O97" s="8"/>
    </row>
    <row r="98" spans="1:30" ht="21.6" hidden="1" thickBot="1">
      <c r="A98" s="73">
        <v>125</v>
      </c>
      <c r="B98" s="74" t="s">
        <v>55</v>
      </c>
      <c r="C98" s="542"/>
      <c r="D98" s="543"/>
      <c r="E98" s="544"/>
      <c r="F98" s="1280" t="s">
        <v>57</v>
      </c>
      <c r="G98" s="1280"/>
      <c r="H98" s="545"/>
      <c r="I98" s="194"/>
      <c r="J98" s="75"/>
      <c r="K98" s="33">
        <v>30</v>
      </c>
      <c r="L98" s="34" t="s">
        <v>39</v>
      </c>
      <c r="M98" s="427"/>
      <c r="N98" s="430"/>
      <c r="O98" s="1283" t="s">
        <v>55</v>
      </c>
      <c r="P98" s="1284"/>
      <c r="Q98" s="1285"/>
      <c r="R98" s="279" t="s">
        <v>262</v>
      </c>
      <c r="T98" s="1168" t="s">
        <v>268</v>
      </c>
      <c r="U98" s="1169"/>
      <c r="V98" s="1169"/>
      <c r="W98" s="1170"/>
      <c r="Y98" s="1232" t="s">
        <v>269</v>
      </c>
      <c r="Z98" s="1233"/>
    </row>
    <row r="99" spans="1:30" ht="21.6" hidden="1" thickBot="1">
      <c r="B99" s="72"/>
      <c r="C99" s="546"/>
      <c r="D99" s="547"/>
      <c r="E99" s="548"/>
      <c r="F99" s="549"/>
      <c r="G99" s="550">
        <f t="shared" ref="G99" si="59">J99*0.2</f>
        <v>0</v>
      </c>
      <c r="H99" s="524">
        <f t="shared" ref="H99" si="60">G99/0.2</f>
        <v>0</v>
      </c>
      <c r="I99" s="191"/>
      <c r="J99" s="27">
        <f t="shared" ref="J99" si="61">(K99*$K$98)+L99</f>
        <v>0</v>
      </c>
      <c r="K99" s="87"/>
      <c r="L99" s="88"/>
      <c r="M99" s="428"/>
      <c r="O99" s="1190" t="s">
        <v>295</v>
      </c>
      <c r="P99" s="1191"/>
      <c r="Q99" s="1192"/>
      <c r="R99" s="223"/>
      <c r="T99" s="1258" t="s">
        <v>296</v>
      </c>
      <c r="U99" s="1259"/>
      <c r="V99" s="1260"/>
      <c r="W99" s="309"/>
      <c r="Y99" s="1234" t="s">
        <v>270</v>
      </c>
      <c r="Z99" s="1235"/>
      <c r="AA99" s="1238" t="s">
        <v>271</v>
      </c>
      <c r="AB99" s="319"/>
      <c r="AC99" s="321"/>
      <c r="AD99" s="321"/>
    </row>
    <row r="100" spans="1:30" ht="22.2" hidden="1" thickTop="1" thickBot="1">
      <c r="B100" s="72"/>
      <c r="C100" s="546"/>
      <c r="D100" s="547"/>
      <c r="E100" s="548"/>
      <c r="F100" s="549"/>
      <c r="G100" s="550">
        <f t="shared" ref="G100" si="62">J100*0.2</f>
        <v>0</v>
      </c>
      <c r="H100" s="524">
        <f t="shared" ref="H100" si="63">G100/0.2</f>
        <v>0</v>
      </c>
      <c r="I100" s="191"/>
      <c r="J100" s="27">
        <f t="shared" ref="J100" si="64">(K100*$K$98)+L100</f>
        <v>0</v>
      </c>
      <c r="K100" s="87"/>
      <c r="L100" s="88"/>
      <c r="M100" s="428"/>
      <c r="O100" s="1258" t="s">
        <v>296</v>
      </c>
      <c r="P100" s="1259"/>
      <c r="Q100" s="1260"/>
      <c r="R100" s="224"/>
      <c r="Y100" s="1236"/>
      <c r="Z100" s="1237"/>
      <c r="AA100" s="1239"/>
      <c r="AB100" s="319"/>
      <c r="AC100" s="1240" t="s">
        <v>272</v>
      </c>
      <c r="AD100" s="1241"/>
    </row>
    <row r="101" spans="1:30" ht="22.2" hidden="1" thickTop="1" thickBot="1">
      <c r="B101" s="13"/>
      <c r="C101" s="466"/>
      <c r="D101" s="467"/>
      <c r="E101" s="517"/>
      <c r="F101" s="463"/>
      <c r="G101" s="550">
        <f t="shared" ref="G101" si="65">J101*0.2</f>
        <v>0</v>
      </c>
      <c r="H101" s="524">
        <f>G101/0.2</f>
        <v>0</v>
      </c>
      <c r="I101" s="191"/>
      <c r="J101" s="27">
        <f>(K101*$K$98)+L101</f>
        <v>0</v>
      </c>
      <c r="K101" s="80"/>
      <c r="L101" s="81"/>
      <c r="M101" s="398"/>
      <c r="O101" s="1289" t="s">
        <v>242</v>
      </c>
      <c r="P101" s="1290"/>
      <c r="Q101" s="1291"/>
      <c r="R101" s="221">
        <f>SUM(R99:R100)</f>
        <v>0</v>
      </c>
      <c r="Y101" s="1182">
        <f>R99+W99</f>
        <v>0</v>
      </c>
      <c r="Z101" s="1183"/>
      <c r="AA101" s="318">
        <v>90</v>
      </c>
      <c r="AC101" s="1292">
        <f>Y101/AA101</f>
        <v>0</v>
      </c>
      <c r="AD101" s="1293"/>
    </row>
    <row r="102" spans="1:30" ht="21.6" hidden="1" thickBot="1">
      <c r="B102" s="13"/>
      <c r="C102" s="466"/>
      <c r="D102" s="467"/>
      <c r="E102" s="536"/>
      <c r="F102" s="474">
        <f>SUM(F99:F101)</f>
        <v>0</v>
      </c>
      <c r="G102" s="475">
        <f>SUM(G99:G101)</f>
        <v>0</v>
      </c>
      <c r="H102" s="474">
        <f>SUM(H99:H101)</f>
        <v>0</v>
      </c>
      <c r="I102" s="184"/>
      <c r="J102" s="25">
        <f>SUM(J99:J101)</f>
        <v>0</v>
      </c>
      <c r="K102" s="80"/>
      <c r="L102" s="81"/>
      <c r="M102" s="398"/>
      <c r="O102" s="1247" t="s">
        <v>243</v>
      </c>
      <c r="P102" s="1248"/>
      <c r="Q102" s="1249"/>
      <c r="R102" s="222">
        <f>$G$102-R101</f>
        <v>0</v>
      </c>
      <c r="AA102" s="332">
        <v>92</v>
      </c>
    </row>
    <row r="103" spans="1:30" ht="21.6" hidden="1" thickBot="1">
      <c r="B103" s="17"/>
      <c r="C103" s="469"/>
      <c r="D103" s="469"/>
      <c r="E103" s="527"/>
      <c r="F103" s="469"/>
      <c r="G103" s="469"/>
      <c r="H103" s="469"/>
      <c r="I103" s="8"/>
      <c r="J103" s="8"/>
      <c r="K103" s="8"/>
      <c r="L103" s="8"/>
      <c r="O103" s="8"/>
    </row>
    <row r="104" spans="1:30" ht="21.6" thickBot="1">
      <c r="A104" s="76">
        <v>107</v>
      </c>
      <c r="B104" s="77" t="s">
        <v>181</v>
      </c>
      <c r="C104" s="551"/>
      <c r="D104" s="1278" t="s">
        <v>178</v>
      </c>
      <c r="E104" s="1279"/>
      <c r="F104" s="1277" t="s">
        <v>313</v>
      </c>
      <c r="G104" s="1277"/>
      <c r="H104" s="552"/>
      <c r="I104" s="194"/>
      <c r="J104" s="78"/>
      <c r="K104" s="78">
        <v>12</v>
      </c>
      <c r="L104" s="79" t="s">
        <v>39</v>
      </c>
      <c r="M104" s="429"/>
      <c r="N104" s="150" t="s">
        <v>543</v>
      </c>
      <c r="W104" s="8" t="s">
        <v>303</v>
      </c>
      <c r="Y104" s="394" t="e">
        <f>(R104-Y101)/Y101</f>
        <v>#DIV/0!</v>
      </c>
      <c r="Z104" s="392" t="s">
        <v>302</v>
      </c>
    </row>
    <row r="105" spans="1:30">
      <c r="A105" s="53">
        <v>107</v>
      </c>
      <c r="B105" s="13"/>
      <c r="C105" s="479" t="s">
        <v>654</v>
      </c>
      <c r="D105" s="480" t="s">
        <v>218</v>
      </c>
      <c r="E105" s="548" t="s">
        <v>670</v>
      </c>
      <c r="F105" s="463">
        <v>300</v>
      </c>
      <c r="G105" s="529">
        <f>H105*0.83</f>
        <v>0.83</v>
      </c>
      <c r="H105" s="528">
        <v>1</v>
      </c>
      <c r="I105" s="191"/>
      <c r="J105" s="27">
        <v>243</v>
      </c>
      <c r="K105" s="80">
        <v>20</v>
      </c>
      <c r="L105" s="81">
        <v>3</v>
      </c>
      <c r="M105" s="398">
        <v>171</v>
      </c>
      <c r="N105" s="150" t="s">
        <v>865</v>
      </c>
    </row>
    <row r="106" spans="1:30">
      <c r="A106" s="53">
        <v>1071</v>
      </c>
      <c r="B106" s="13"/>
      <c r="C106" s="479" t="s">
        <v>695</v>
      </c>
      <c r="D106" s="480" t="s">
        <v>699</v>
      </c>
      <c r="E106" s="548" t="s">
        <v>700</v>
      </c>
      <c r="F106" s="463">
        <v>247</v>
      </c>
      <c r="G106" s="529">
        <f>H106*0.83</f>
        <v>146.07999999999998</v>
      </c>
      <c r="H106" s="528">
        <v>176</v>
      </c>
      <c r="I106" s="191"/>
      <c r="J106" s="27">
        <v>187</v>
      </c>
      <c r="K106" s="80">
        <v>15</v>
      </c>
      <c r="L106" s="81">
        <v>7</v>
      </c>
      <c r="M106" s="1156" t="s">
        <v>883</v>
      </c>
    </row>
    <row r="107" spans="1:30">
      <c r="A107" s="53">
        <v>1075</v>
      </c>
      <c r="B107" s="13"/>
      <c r="C107" s="479" t="s">
        <v>755</v>
      </c>
      <c r="D107" s="480" t="s">
        <v>218</v>
      </c>
      <c r="E107" s="548" t="s">
        <v>762</v>
      </c>
      <c r="F107" s="463">
        <v>300</v>
      </c>
      <c r="G107" s="529">
        <f t="shared" ref="G107:G115" si="66">J107*0.83</f>
        <v>191.73</v>
      </c>
      <c r="H107" s="528">
        <f t="shared" ref="H107:H115" si="67">G107/0.83</f>
        <v>231</v>
      </c>
      <c r="I107" s="191"/>
      <c r="J107" s="27">
        <f t="shared" ref="J107:J115" si="68">(K107*$K$104)+L107</f>
        <v>231</v>
      </c>
      <c r="K107" s="80">
        <f>16+3</f>
        <v>19</v>
      </c>
      <c r="L107" s="81">
        <v>3</v>
      </c>
      <c r="M107" s="398"/>
    </row>
    <row r="108" spans="1:30">
      <c r="A108" s="53">
        <v>1073</v>
      </c>
      <c r="B108" s="13"/>
      <c r="C108" s="479" t="s">
        <v>785</v>
      </c>
      <c r="D108" s="480" t="s">
        <v>690</v>
      </c>
      <c r="E108" s="548" t="s">
        <v>802</v>
      </c>
      <c r="F108" s="463">
        <v>600</v>
      </c>
      <c r="G108" s="529">
        <f t="shared" si="66"/>
        <v>199.2</v>
      </c>
      <c r="H108" s="528">
        <f t="shared" si="67"/>
        <v>240</v>
      </c>
      <c r="I108" s="191"/>
      <c r="J108" s="27">
        <f t="shared" si="68"/>
        <v>240</v>
      </c>
      <c r="K108" s="80">
        <f>7+13</f>
        <v>20</v>
      </c>
      <c r="L108" s="81"/>
      <c r="M108" s="398"/>
    </row>
    <row r="109" spans="1:30">
      <c r="A109" s="53">
        <v>1074</v>
      </c>
      <c r="B109" s="13"/>
      <c r="C109" s="479" t="s">
        <v>785</v>
      </c>
      <c r="D109" s="480" t="s">
        <v>804</v>
      </c>
      <c r="E109" s="548" t="s">
        <v>803</v>
      </c>
      <c r="F109" s="463"/>
      <c r="G109" s="529">
        <f t="shared" si="66"/>
        <v>195.04999999999998</v>
      </c>
      <c r="H109" s="528">
        <f t="shared" si="67"/>
        <v>235</v>
      </c>
      <c r="I109" s="191"/>
      <c r="J109" s="27">
        <f t="shared" si="68"/>
        <v>235</v>
      </c>
      <c r="K109" s="80">
        <v>19</v>
      </c>
      <c r="L109" s="81">
        <v>7</v>
      </c>
      <c r="M109" s="398"/>
      <c r="O109" s="17">
        <v>170</v>
      </c>
    </row>
    <row r="110" spans="1:30">
      <c r="A110" s="53"/>
      <c r="B110" s="13"/>
      <c r="C110" s="479" t="s">
        <v>839</v>
      </c>
      <c r="D110" s="480" t="s">
        <v>218</v>
      </c>
      <c r="E110" s="548" t="s">
        <v>840</v>
      </c>
      <c r="F110" s="463">
        <v>264</v>
      </c>
      <c r="G110" s="529">
        <f>H110*0.83</f>
        <v>168.48999999999998</v>
      </c>
      <c r="H110" s="528">
        <v>203</v>
      </c>
      <c r="I110" s="191"/>
      <c r="J110" s="27">
        <f t="shared" si="68"/>
        <v>203</v>
      </c>
      <c r="K110" s="80">
        <v>16</v>
      </c>
      <c r="L110" s="81">
        <v>11</v>
      </c>
      <c r="M110" s="398"/>
      <c r="O110" s="17">
        <v>11</v>
      </c>
    </row>
    <row r="111" spans="1:30">
      <c r="A111" s="53"/>
      <c r="B111" s="13"/>
      <c r="C111" s="479"/>
      <c r="D111" s="480"/>
      <c r="E111" s="548"/>
      <c r="F111" s="463"/>
      <c r="G111" s="529">
        <f t="shared" si="66"/>
        <v>0</v>
      </c>
      <c r="H111" s="528">
        <f t="shared" si="67"/>
        <v>0</v>
      </c>
      <c r="I111" s="191"/>
      <c r="J111" s="27">
        <f t="shared" si="68"/>
        <v>0</v>
      </c>
      <c r="K111" s="80"/>
      <c r="L111" s="81"/>
      <c r="M111" s="398"/>
      <c r="O111" s="17">
        <f>181*0.83</f>
        <v>150.22999999999999</v>
      </c>
    </row>
    <row r="112" spans="1:30" ht="21.6" thickBot="1">
      <c r="B112" s="13"/>
      <c r="C112" s="479"/>
      <c r="D112" s="480"/>
      <c r="E112" s="548"/>
      <c r="F112" s="463"/>
      <c r="G112" s="529">
        <f t="shared" si="66"/>
        <v>0</v>
      </c>
      <c r="H112" s="528">
        <f t="shared" si="67"/>
        <v>0</v>
      </c>
      <c r="I112" s="191"/>
      <c r="J112" s="27">
        <f t="shared" si="68"/>
        <v>0</v>
      </c>
      <c r="K112" s="80"/>
      <c r="L112" s="81"/>
      <c r="M112" s="398"/>
    </row>
    <row r="113" spans="1:38" ht="38.25" customHeight="1">
      <c r="B113" s="13"/>
      <c r="C113" s="479"/>
      <c r="D113" s="480"/>
      <c r="E113" s="548"/>
      <c r="F113" s="463"/>
      <c r="G113" s="529">
        <f t="shared" si="66"/>
        <v>0</v>
      </c>
      <c r="H113" s="528">
        <f t="shared" si="67"/>
        <v>0</v>
      </c>
      <c r="I113" s="191"/>
      <c r="J113" s="27">
        <f t="shared" si="68"/>
        <v>0</v>
      </c>
      <c r="K113" s="80"/>
      <c r="L113" s="81"/>
      <c r="M113" s="398"/>
      <c r="AF113" s="1224" t="s">
        <v>366</v>
      </c>
      <c r="AG113" s="1225"/>
      <c r="AH113" s="1225"/>
      <c r="AI113" s="1226"/>
    </row>
    <row r="114" spans="1:38" ht="21.6" thickBot="1">
      <c r="B114" s="13"/>
      <c r="C114" s="479"/>
      <c r="D114" s="480"/>
      <c r="E114" s="548"/>
      <c r="F114" s="463"/>
      <c r="G114" s="529">
        <f t="shared" si="66"/>
        <v>0</v>
      </c>
      <c r="H114" s="528">
        <f t="shared" si="67"/>
        <v>0</v>
      </c>
      <c r="I114" s="191"/>
      <c r="J114" s="27">
        <f t="shared" si="68"/>
        <v>0</v>
      </c>
      <c r="K114" s="80"/>
      <c r="L114" s="81"/>
      <c r="M114" s="398"/>
      <c r="AF114" s="1227"/>
      <c r="AG114" s="1228"/>
      <c r="AH114" s="1228"/>
      <c r="AI114" s="1229"/>
    </row>
    <row r="115" spans="1:38" ht="29.25" customHeight="1" thickTop="1" thickBot="1">
      <c r="B115" s="13"/>
      <c r="C115" s="479"/>
      <c r="D115" s="480"/>
      <c r="E115" s="548"/>
      <c r="F115" s="463"/>
      <c r="G115" s="529">
        <f t="shared" si="66"/>
        <v>0</v>
      </c>
      <c r="H115" s="528">
        <f t="shared" si="67"/>
        <v>0</v>
      </c>
      <c r="I115" s="191"/>
      <c r="J115" s="27">
        <f t="shared" si="68"/>
        <v>0</v>
      </c>
      <c r="K115" s="80"/>
      <c r="L115" s="81"/>
      <c r="M115" s="398"/>
      <c r="O115" s="1286" t="s">
        <v>181</v>
      </c>
      <c r="P115" s="1287"/>
      <c r="Q115" s="1288"/>
      <c r="R115" s="279" t="s">
        <v>262</v>
      </c>
      <c r="T115" s="1168" t="s">
        <v>268</v>
      </c>
      <c r="U115" s="1169"/>
      <c r="V115" s="1169"/>
      <c r="W115" s="1170"/>
      <c r="Y115" s="1232" t="s">
        <v>269</v>
      </c>
      <c r="Z115" s="1233"/>
      <c r="AC115" s="1240" t="s">
        <v>272</v>
      </c>
      <c r="AD115" s="1241"/>
      <c r="AF115" s="999" t="s">
        <v>679</v>
      </c>
      <c r="AG115" s="960" t="s">
        <v>680</v>
      </c>
      <c r="AH115" s="1003" t="s">
        <v>268</v>
      </c>
      <c r="AI115" s="959" t="s">
        <v>681</v>
      </c>
      <c r="AJ115" s="8" t="s">
        <v>618</v>
      </c>
    </row>
    <row r="116" spans="1:38" ht="29.25" customHeight="1" thickTop="1" thickBot="1">
      <c r="B116" s="13"/>
      <c r="C116" s="479"/>
      <c r="D116" s="480"/>
      <c r="E116" s="548"/>
      <c r="F116" s="463"/>
      <c r="G116" s="529">
        <f t="shared" ref="G116" si="69">J116*0.83</f>
        <v>0</v>
      </c>
      <c r="H116" s="528">
        <f t="shared" ref="H116" si="70">G116/0.83</f>
        <v>0</v>
      </c>
      <c r="I116" s="191"/>
      <c r="J116" s="27">
        <f t="shared" ref="J116" si="71">(K116*$K$104)+L116</f>
        <v>0</v>
      </c>
      <c r="K116" s="80"/>
      <c r="L116" s="81"/>
      <c r="M116" s="398"/>
      <c r="O116" s="1190" t="s">
        <v>298</v>
      </c>
      <c r="P116" s="1191"/>
      <c r="Q116" s="1192"/>
      <c r="R116" s="1113">
        <v>91.956000000000003</v>
      </c>
      <c r="T116" s="1165" t="s">
        <v>299</v>
      </c>
      <c r="U116" s="1166"/>
      <c r="V116" s="1167"/>
      <c r="W116" s="309">
        <v>127.848</v>
      </c>
      <c r="Y116" s="1234" t="s">
        <v>270</v>
      </c>
      <c r="Z116" s="1235"/>
      <c r="AA116" s="1238" t="s">
        <v>271</v>
      </c>
      <c r="AB116" s="319"/>
      <c r="AC116" s="1292">
        <f>Y118/AA118</f>
        <v>2.3383404255319151</v>
      </c>
      <c r="AD116" s="1293"/>
      <c r="AF116" s="1004">
        <v>4.0571276595744683</v>
      </c>
      <c r="AG116" s="1005">
        <v>1.0480851063829788</v>
      </c>
      <c r="AH116" s="1005">
        <v>1.3307234042553193</v>
      </c>
      <c r="AI116" s="1001">
        <v>2.3383404255319151</v>
      </c>
      <c r="AJ116" s="229">
        <f>AVERAGE(AF116:AI116)</f>
        <v>2.1935691489361702</v>
      </c>
    </row>
    <row r="117" spans="1:38" ht="22.2" thickTop="1" thickBot="1">
      <c r="B117" s="13"/>
      <c r="C117" s="479"/>
      <c r="D117" s="480"/>
      <c r="E117" s="548"/>
      <c r="F117" s="463"/>
      <c r="G117" s="529">
        <f t="shared" ref="G117:G118" si="72">J117*0.83</f>
        <v>0</v>
      </c>
      <c r="H117" s="528">
        <f t="shared" ref="H117:H118" si="73">G117/0.83</f>
        <v>0</v>
      </c>
      <c r="I117" s="191"/>
      <c r="J117" s="27">
        <f t="shared" ref="J117" si="74">(K117*$K$104)+L117</f>
        <v>0</v>
      </c>
      <c r="K117" s="80"/>
      <c r="L117" s="81"/>
      <c r="M117" s="398"/>
      <c r="O117" s="1165" t="s">
        <v>299</v>
      </c>
      <c r="P117" s="1166"/>
      <c r="Q117" s="1167"/>
      <c r="R117" s="1113"/>
      <c r="T117" s="939"/>
      <c r="Y117" s="1236"/>
      <c r="Z117" s="1237"/>
      <c r="AA117" s="1239"/>
      <c r="AB117" s="319"/>
    </row>
    <row r="118" spans="1:38" ht="21.6" thickBot="1">
      <c r="B118" s="13"/>
      <c r="C118" s="479"/>
      <c r="D118" s="480"/>
      <c r="E118" s="548"/>
      <c r="F118" s="463"/>
      <c r="G118" s="529">
        <f t="shared" si="72"/>
        <v>0</v>
      </c>
      <c r="H118" s="528">
        <f t="shared" si="73"/>
        <v>0</v>
      </c>
      <c r="I118" s="191"/>
      <c r="J118" s="27">
        <f>(K118*$K$104)+L118</f>
        <v>0</v>
      </c>
      <c r="K118" s="80"/>
      <c r="L118" s="81"/>
      <c r="M118" s="398"/>
      <c r="O118" s="1187" t="s">
        <v>242</v>
      </c>
      <c r="P118" s="1188"/>
      <c r="Q118" s="1189"/>
      <c r="R118" s="221">
        <f>SUM(R116:R117)</f>
        <v>91.956000000000003</v>
      </c>
      <c r="Y118" s="1182">
        <f>R116+W116</f>
        <v>219.804</v>
      </c>
      <c r="Z118" s="1183"/>
      <c r="AA118" s="318">
        <v>94</v>
      </c>
      <c r="AJ118" s="1135">
        <f>(R119-(AJ116*AA118))/(AJ116*AA118)</f>
        <v>2.9255172882046407</v>
      </c>
    </row>
    <row r="119" spans="1:38" ht="21.6" thickBot="1">
      <c r="B119" s="40"/>
      <c r="C119" s="518"/>
      <c r="D119" s="519"/>
      <c r="E119" s="526"/>
      <c r="F119" s="474">
        <f>SUM(F105:F118)</f>
        <v>1711</v>
      </c>
      <c r="G119" s="475">
        <f>SUM(G105:G118)</f>
        <v>901.37999999999988</v>
      </c>
      <c r="H119" s="476">
        <f>SUM(H105:H118)</f>
        <v>1086</v>
      </c>
      <c r="I119" s="183"/>
      <c r="J119" s="25">
        <f>SUM(J105:J118)</f>
        <v>1339</v>
      </c>
      <c r="K119" s="85"/>
      <c r="L119" s="86"/>
      <c r="M119" s="1155">
        <f>883-732</f>
        <v>151</v>
      </c>
      <c r="O119" s="1247" t="s">
        <v>243</v>
      </c>
      <c r="P119" s="1248"/>
      <c r="Q119" s="1249"/>
      <c r="R119" s="222">
        <f>$G$119-R118</f>
        <v>809.42399999999986</v>
      </c>
      <c r="T119" s="299"/>
      <c r="Y119" s="1256"/>
      <c r="Z119" s="1162"/>
      <c r="AA119" s="332">
        <v>94.71</v>
      </c>
    </row>
    <row r="120" spans="1:38" ht="21.6" thickBot="1">
      <c r="B120" s="17"/>
      <c r="C120" s="469"/>
      <c r="D120" s="469"/>
      <c r="E120" s="527"/>
      <c r="F120" s="469"/>
      <c r="G120" s="469"/>
      <c r="H120" s="469"/>
      <c r="I120" s="8"/>
      <c r="J120" s="8"/>
      <c r="K120" s="8"/>
      <c r="L120" s="8"/>
      <c r="O120" s="8"/>
      <c r="U120" s="299"/>
      <c r="W120" s="8" t="s">
        <v>301</v>
      </c>
      <c r="X120" s="117"/>
      <c r="Y120" s="396">
        <f>R119/Y118</f>
        <v>3.6824807555822452</v>
      </c>
      <c r="Z120" s="392" t="s">
        <v>302</v>
      </c>
    </row>
    <row r="121" spans="1:38" ht="21.6" thickBot="1">
      <c r="B121" s="17"/>
      <c r="C121" s="469"/>
      <c r="D121" s="469"/>
      <c r="E121" s="527"/>
      <c r="F121" s="469"/>
      <c r="G121" s="469"/>
      <c r="H121" s="469"/>
      <c r="I121" s="8"/>
      <c r="J121" s="8"/>
      <c r="K121" s="8"/>
      <c r="L121" s="8"/>
      <c r="O121" s="8"/>
      <c r="U121" s="299"/>
      <c r="X121" s="117"/>
      <c r="Y121" s="396">
        <f>(R119-Y118)/Y118</f>
        <v>2.6824807555822456</v>
      </c>
      <c r="Z121" s="392" t="s">
        <v>302</v>
      </c>
    </row>
    <row r="122" spans="1:38" ht="28.5" customHeight="1" thickBot="1">
      <c r="A122" s="148">
        <v>400</v>
      </c>
      <c r="B122" s="36" t="s">
        <v>545</v>
      </c>
      <c r="C122" s="1297" t="s">
        <v>372</v>
      </c>
      <c r="D122" s="1298"/>
      <c r="E122" s="1299" t="s">
        <v>197</v>
      </c>
      <c r="F122" s="1300"/>
      <c r="G122" s="1301" t="s">
        <v>196</v>
      </c>
      <c r="H122" s="1302"/>
      <c r="I122" s="177"/>
      <c r="J122" s="247"/>
      <c r="K122" s="248"/>
      <c r="L122" s="249" t="s">
        <v>39</v>
      </c>
      <c r="M122" s="250"/>
      <c r="N122" s="1132" t="s">
        <v>754</v>
      </c>
      <c r="O122" s="1303" t="s">
        <v>546</v>
      </c>
      <c r="P122" s="1304"/>
      <c r="Q122" s="1305"/>
      <c r="R122" s="278" t="s">
        <v>259</v>
      </c>
      <c r="S122" s="8"/>
      <c r="T122" s="1168" t="s">
        <v>268</v>
      </c>
      <c r="U122" s="1169"/>
      <c r="V122" s="1169"/>
      <c r="W122" s="1170"/>
      <c r="X122" s="469"/>
      <c r="Y122" s="1306" t="s">
        <v>269</v>
      </c>
      <c r="Z122" s="1183"/>
      <c r="AB122" s="469"/>
      <c r="AF122" s="1224" t="s">
        <v>617</v>
      </c>
      <c r="AG122" s="1225"/>
      <c r="AH122" s="1225"/>
      <c r="AI122" s="1226"/>
      <c r="AJ122" s="1135">
        <f>(R126-AJ125)/AJ125</f>
        <v>26.611913027589985</v>
      </c>
    </row>
    <row r="123" spans="1:38" ht="28.5" customHeight="1" thickBot="1">
      <c r="A123" s="11">
        <v>4005</v>
      </c>
      <c r="B123" s="12"/>
      <c r="C123" s="590" t="s">
        <v>507</v>
      </c>
      <c r="D123" s="731"/>
      <c r="E123" s="708" t="s">
        <v>508</v>
      </c>
      <c r="F123" s="755">
        <v>99.4</v>
      </c>
      <c r="G123" s="759">
        <v>20</v>
      </c>
      <c r="H123" s="761"/>
      <c r="I123" s="164"/>
      <c r="J123" s="28">
        <v>101</v>
      </c>
      <c r="K123" s="24"/>
      <c r="L123" s="24">
        <v>101</v>
      </c>
      <c r="M123" s="432"/>
      <c r="N123" s="1077" t="s">
        <v>868</v>
      </c>
      <c r="O123" s="1190" t="s">
        <v>298</v>
      </c>
      <c r="P123" s="1191"/>
      <c r="Q123" s="1192"/>
      <c r="R123" s="295">
        <v>0</v>
      </c>
      <c r="S123" s="8"/>
      <c r="T123" s="1190" t="s">
        <v>299</v>
      </c>
      <c r="U123" s="1191"/>
      <c r="V123" s="1192"/>
      <c r="W123" s="309">
        <v>2.1880000000000002</v>
      </c>
      <c r="X123" s="469"/>
      <c r="Y123" s="1234" t="s">
        <v>270</v>
      </c>
      <c r="Z123" s="1235"/>
      <c r="AB123" s="469"/>
      <c r="AF123" s="1227"/>
      <c r="AG123" s="1228"/>
      <c r="AH123" s="1228"/>
      <c r="AI123" s="1229"/>
    </row>
    <row r="124" spans="1:38" ht="21.6" thickBot="1">
      <c r="A124" s="11"/>
      <c r="B124" s="13"/>
      <c r="C124" s="590" t="s">
        <v>517</v>
      </c>
      <c r="D124" s="731"/>
      <c r="E124" s="708" t="s">
        <v>523</v>
      </c>
      <c r="F124" s="755">
        <v>102.7</v>
      </c>
      <c r="G124" s="759">
        <v>62.76</v>
      </c>
      <c r="H124" s="761"/>
      <c r="I124" s="164"/>
      <c r="J124" s="28">
        <v>100</v>
      </c>
      <c r="K124" s="24"/>
      <c r="L124" s="24">
        <v>100</v>
      </c>
      <c r="M124" s="432" t="s">
        <v>630</v>
      </c>
      <c r="N124" s="1077"/>
      <c r="O124" s="1258" t="s">
        <v>299</v>
      </c>
      <c r="P124" s="1259"/>
      <c r="Q124" s="1260"/>
      <c r="R124" s="1120"/>
      <c r="S124" s="8"/>
      <c r="U124" s="17"/>
      <c r="X124" s="469"/>
      <c r="Y124" s="1236"/>
      <c r="Z124" s="1237"/>
      <c r="AB124" s="469"/>
      <c r="AC124" s="1294"/>
      <c r="AD124" s="1294"/>
      <c r="AF124" s="999" t="s">
        <v>679</v>
      </c>
      <c r="AG124" s="960" t="s">
        <v>680</v>
      </c>
      <c r="AH124" s="1003" t="s">
        <v>268</v>
      </c>
      <c r="AI124" s="959" t="s">
        <v>681</v>
      </c>
      <c r="AJ124" s="8" t="s">
        <v>618</v>
      </c>
      <c r="AK124" s="8" t="s">
        <v>620</v>
      </c>
      <c r="AL124" s="8" t="s">
        <v>619</v>
      </c>
    </row>
    <row r="125" spans="1:38" ht="21.6" thickBot="1">
      <c r="A125" s="11"/>
      <c r="B125" s="13"/>
      <c r="C125" s="590" t="s">
        <v>549</v>
      </c>
      <c r="D125" s="731"/>
      <c r="E125" s="708" t="s">
        <v>551</v>
      </c>
      <c r="F125" s="755">
        <v>100</v>
      </c>
      <c r="G125" s="759">
        <v>68.36</v>
      </c>
      <c r="H125" s="761"/>
      <c r="I125" s="164"/>
      <c r="J125" s="28">
        <v>62</v>
      </c>
      <c r="K125" s="24"/>
      <c r="L125" s="24">
        <v>62</v>
      </c>
      <c r="M125" s="1094" t="s">
        <v>631</v>
      </c>
      <c r="N125" s="1077"/>
      <c r="O125" s="1187" t="s">
        <v>242</v>
      </c>
      <c r="P125" s="1188"/>
      <c r="Q125" s="1189"/>
      <c r="R125" s="296">
        <f>SUM(R123:R124)</f>
        <v>0</v>
      </c>
      <c r="S125" s="8"/>
      <c r="U125" s="17"/>
      <c r="X125" s="469"/>
      <c r="Y125" s="1182">
        <f>W123+R123</f>
        <v>2.1880000000000002</v>
      </c>
      <c r="Z125" s="1295"/>
      <c r="AA125" s="1111"/>
      <c r="AB125" s="469"/>
      <c r="AC125" s="1296"/>
      <c r="AD125" s="1296"/>
      <c r="AF125" s="1004">
        <v>8.9760000000000009</v>
      </c>
      <c r="AG125" s="1005">
        <v>0</v>
      </c>
      <c r="AH125" s="1005">
        <v>10.728</v>
      </c>
      <c r="AI125" s="1001">
        <v>2.1880000000000002</v>
      </c>
      <c r="AJ125" s="229">
        <f>AVERAGE(AF125:AI125)</f>
        <v>5.4729999999999999</v>
      </c>
      <c r="AK125" s="229">
        <f>SUM(AF125:AI125)</f>
        <v>21.891999999999999</v>
      </c>
      <c r="AL125" s="8">
        <f>R126/AK125</f>
        <v>6.9029782568974971</v>
      </c>
    </row>
    <row r="126" spans="1:38" ht="21.6" thickBot="1">
      <c r="A126" s="11"/>
      <c r="B126" s="13"/>
      <c r="C126" s="590"/>
      <c r="D126" s="731"/>
      <c r="E126" s="708"/>
      <c r="F126" s="755"/>
      <c r="G126" s="759"/>
      <c r="H126" s="761"/>
      <c r="I126" s="164"/>
      <c r="J126" s="28">
        <f>(K126*$K$77)+L126</f>
        <v>0</v>
      </c>
      <c r="K126" s="24"/>
      <c r="L126" s="24"/>
      <c r="M126" s="432"/>
      <c r="N126" s="1077"/>
      <c r="O126" s="1247" t="s">
        <v>243</v>
      </c>
      <c r="P126" s="1248"/>
      <c r="Q126" s="1249"/>
      <c r="R126" s="297">
        <f>$G$128-R125</f>
        <v>151.12</v>
      </c>
      <c r="S126" s="8"/>
      <c r="U126" s="17"/>
      <c r="X126" s="469"/>
      <c r="Y126" s="1162"/>
      <c r="Z126" s="1162"/>
      <c r="AB126" s="469"/>
    </row>
    <row r="127" spans="1:38" ht="21.6" thickBot="1">
      <c r="A127" s="11"/>
      <c r="B127" s="13"/>
      <c r="C127" s="590"/>
      <c r="D127" s="731"/>
      <c r="E127" s="708"/>
      <c r="F127" s="755"/>
      <c r="G127" s="759"/>
      <c r="H127" s="761"/>
      <c r="I127" s="164"/>
      <c r="J127" s="28">
        <f>(K127*$K$77)+L127</f>
        <v>0</v>
      </c>
      <c r="K127" s="24"/>
      <c r="L127" s="24"/>
      <c r="M127" s="432"/>
      <c r="N127" s="1077"/>
      <c r="O127" s="8" t="s">
        <v>319</v>
      </c>
      <c r="S127" s="8"/>
      <c r="U127" s="17"/>
      <c r="W127" s="8" t="s">
        <v>301</v>
      </c>
      <c r="X127" s="469"/>
      <c r="Y127" s="396">
        <f>R126/Y125</f>
        <v>69.067641681901279</v>
      </c>
      <c r="Z127" s="392" t="s">
        <v>302</v>
      </c>
      <c r="AB127" s="469"/>
    </row>
    <row r="128" spans="1:38" ht="21.6" thickBot="1">
      <c r="A128" s="8"/>
      <c r="C128" s="453"/>
      <c r="D128" s="711"/>
      <c r="E128" s="613"/>
      <c r="F128" s="712"/>
      <c r="G128" s="885">
        <f>SUM(G123:G127)</f>
        <v>151.12</v>
      </c>
      <c r="H128" s="762"/>
      <c r="I128" s="184"/>
      <c r="J128" s="29">
        <f>SUM(J123:J127)</f>
        <v>263</v>
      </c>
      <c r="M128" s="17"/>
      <c r="N128" s="17"/>
      <c r="O128" s="8" t="s">
        <v>320</v>
      </c>
      <c r="S128" s="8"/>
      <c r="U128" s="17"/>
      <c r="W128" s="8" t="s">
        <v>303</v>
      </c>
      <c r="X128" s="469"/>
      <c r="Y128" s="395">
        <f>(R126-Y125)/Y125</f>
        <v>68.067641681901279</v>
      </c>
      <c r="Z128" s="392" t="s">
        <v>302</v>
      </c>
      <c r="AB128" s="469"/>
    </row>
    <row r="129" spans="1:28">
      <c r="B129" s="17"/>
      <c r="C129" s="758"/>
      <c r="D129" s="758"/>
      <c r="E129" s="632"/>
      <c r="F129" s="758"/>
      <c r="G129" s="758"/>
      <c r="H129" s="453"/>
      <c r="I129" s="181"/>
      <c r="J129" s="8"/>
      <c r="K129" s="8"/>
      <c r="L129" s="8"/>
      <c r="M129" s="277" t="s">
        <v>261</v>
      </c>
      <c r="N129" s="277"/>
      <c r="O129" s="8" t="s">
        <v>373</v>
      </c>
      <c r="S129" s="8"/>
      <c r="U129" s="17"/>
      <c r="W129" s="469"/>
      <c r="X129" s="469"/>
      <c r="Y129" s="469"/>
      <c r="Z129" s="469"/>
      <c r="AA129" s="469"/>
      <c r="AB129" s="469"/>
    </row>
    <row r="130" spans="1:28">
      <c r="B130" s="17"/>
      <c r="C130" s="758"/>
      <c r="D130" s="758"/>
      <c r="E130" s="632"/>
      <c r="F130" s="758"/>
      <c r="G130" s="758"/>
      <c r="H130" s="453"/>
      <c r="I130" s="181"/>
      <c r="J130" s="8"/>
      <c r="K130" s="8"/>
      <c r="L130" s="8"/>
      <c r="M130" s="8"/>
      <c r="N130" s="8"/>
      <c r="O130" s="8"/>
      <c r="S130" s="8"/>
      <c r="U130" s="17"/>
      <c r="W130" s="469"/>
      <c r="X130" s="469"/>
      <c r="Y130" s="469"/>
      <c r="Z130" s="469"/>
      <c r="AA130" s="469"/>
      <c r="AB130" s="469"/>
    </row>
    <row r="131" spans="1:28">
      <c r="B131" s="17"/>
      <c r="C131" s="758"/>
      <c r="D131" s="758"/>
      <c r="E131" s="632"/>
      <c r="F131" s="758"/>
      <c r="G131" s="758"/>
      <c r="H131" s="453"/>
      <c r="I131" s="181"/>
      <c r="J131" s="8"/>
      <c r="K131" s="8"/>
      <c r="L131" s="8"/>
      <c r="M131" s="8"/>
      <c r="N131" s="8"/>
      <c r="O131" s="8"/>
      <c r="S131" s="8"/>
      <c r="U131" s="17"/>
      <c r="W131" s="469"/>
      <c r="X131" s="469"/>
      <c r="Y131" s="469"/>
      <c r="Z131" s="469"/>
      <c r="AA131" s="469"/>
      <c r="AB131" s="469"/>
    </row>
    <row r="132" spans="1:28">
      <c r="A132" s="8"/>
      <c r="C132" s="453"/>
      <c r="D132" s="711"/>
      <c r="E132" s="613"/>
      <c r="F132" s="758"/>
      <c r="G132" s="763"/>
      <c r="H132" s="453"/>
      <c r="I132" s="181"/>
      <c r="J132" s="8"/>
      <c r="M132" s="17"/>
      <c r="N132" s="17"/>
      <c r="O132" s="8"/>
      <c r="S132" s="8"/>
      <c r="U132" s="17"/>
      <c r="W132" s="469"/>
      <c r="X132" s="469"/>
      <c r="Y132" s="469"/>
      <c r="Z132" s="469"/>
      <c r="AA132" s="469"/>
      <c r="AB132" s="469"/>
    </row>
    <row r="133" spans="1:28">
      <c r="A133" s="8"/>
      <c r="C133" s="453"/>
      <c r="D133" s="711"/>
      <c r="E133" s="613"/>
      <c r="F133" s="758"/>
      <c r="G133" s="763"/>
      <c r="H133" s="453"/>
      <c r="I133" s="181"/>
      <c r="J133" s="8"/>
      <c r="M133" s="17"/>
      <c r="N133" s="17"/>
      <c r="O133" s="8"/>
      <c r="S133" s="8"/>
      <c r="U133" s="17"/>
    </row>
    <row r="134" spans="1:28">
      <c r="A134" s="8"/>
      <c r="C134" s="453"/>
      <c r="D134" s="711"/>
      <c r="E134" s="613"/>
      <c r="F134" s="758"/>
      <c r="G134" s="763"/>
      <c r="H134" s="453"/>
      <c r="I134" s="181"/>
      <c r="J134" s="8"/>
      <c r="M134" s="17"/>
      <c r="N134" s="17"/>
      <c r="O134" s="8"/>
      <c r="S134" s="8"/>
      <c r="U134" s="17"/>
    </row>
    <row r="135" spans="1:28">
      <c r="A135" s="8"/>
      <c r="C135" s="453"/>
      <c r="D135" s="711"/>
      <c r="E135" s="613"/>
      <c r="F135" s="758"/>
      <c r="G135" s="763"/>
      <c r="H135" s="453"/>
      <c r="I135" s="181"/>
      <c r="J135" s="8"/>
      <c r="M135" s="17"/>
      <c r="N135" s="17"/>
      <c r="O135" s="8"/>
      <c r="R135" s="277"/>
      <c r="S135" s="8"/>
    </row>
    <row r="136" spans="1:28">
      <c r="B136" s="13"/>
      <c r="C136" s="466"/>
      <c r="D136" s="467"/>
      <c r="E136" s="536"/>
      <c r="F136" s="463"/>
      <c r="G136" s="554"/>
      <c r="H136" s="554"/>
      <c r="I136" s="195"/>
      <c r="J136" s="15"/>
      <c r="K136" s="67"/>
      <c r="L136" s="68"/>
      <c r="M136" s="398"/>
    </row>
    <row r="137" spans="1:28">
      <c r="B137" s="13"/>
      <c r="C137" s="466"/>
      <c r="D137" s="467"/>
      <c r="E137" s="536"/>
      <c r="F137" s="463"/>
      <c r="G137" s="554"/>
      <c r="H137" s="554"/>
      <c r="I137" s="195"/>
      <c r="J137" s="15"/>
      <c r="K137" s="67"/>
      <c r="L137" s="68"/>
      <c r="M137" s="398"/>
    </row>
    <row r="138" spans="1:28">
      <c r="B138" s="13"/>
      <c r="C138" s="466"/>
      <c r="D138" s="467"/>
      <c r="E138" s="536"/>
      <c r="F138" s="463"/>
      <c r="G138" s="554"/>
      <c r="H138" s="554"/>
      <c r="I138" s="195"/>
      <c r="J138" s="15"/>
      <c r="K138" s="67"/>
      <c r="L138" s="68"/>
      <c r="M138" s="398"/>
    </row>
    <row r="139" spans="1:28">
      <c r="B139" s="13"/>
      <c r="C139" s="466"/>
      <c r="D139" s="467"/>
      <c r="E139" s="536"/>
      <c r="F139" s="463"/>
      <c r="G139" s="554"/>
      <c r="H139" s="554"/>
      <c r="I139" s="195"/>
      <c r="J139" s="15"/>
      <c r="K139" s="67"/>
      <c r="L139" s="68"/>
      <c r="M139" s="398"/>
    </row>
    <row r="140" spans="1:28">
      <c r="B140" s="13"/>
      <c r="C140" s="466"/>
      <c r="D140" s="467"/>
      <c r="E140" s="536"/>
      <c r="F140" s="463"/>
      <c r="G140" s="554"/>
      <c r="H140" s="554"/>
      <c r="I140" s="195"/>
      <c r="J140" s="15"/>
      <c r="K140" s="67"/>
      <c r="L140" s="68"/>
      <c r="M140" s="398"/>
    </row>
    <row r="141" spans="1:28">
      <c r="B141" s="13"/>
      <c r="C141" s="466"/>
      <c r="D141" s="467"/>
      <c r="E141" s="536"/>
      <c r="F141" s="463"/>
      <c r="G141" s="554"/>
      <c r="H141" s="554"/>
      <c r="I141" s="195"/>
      <c r="J141" s="15"/>
      <c r="K141" s="67"/>
      <c r="L141" s="68"/>
      <c r="M141" s="398"/>
    </row>
    <row r="142" spans="1:28">
      <c r="B142" s="13"/>
      <c r="C142" s="466"/>
      <c r="D142" s="467"/>
      <c r="E142" s="536"/>
      <c r="F142" s="463"/>
      <c r="G142" s="554"/>
      <c r="H142" s="554"/>
      <c r="I142" s="195"/>
      <c r="J142" s="15"/>
      <c r="K142" s="67"/>
      <c r="L142" s="68"/>
      <c r="M142" s="398"/>
    </row>
    <row r="143" spans="1:28">
      <c r="B143" s="13"/>
      <c r="C143" s="466"/>
      <c r="D143" s="467"/>
      <c r="E143" s="536"/>
      <c r="F143" s="463"/>
      <c r="G143" s="554"/>
      <c r="H143" s="554"/>
      <c r="I143" s="195"/>
      <c r="J143" s="15"/>
      <c r="K143" s="67"/>
      <c r="L143" s="68"/>
      <c r="M143" s="398"/>
    </row>
    <row r="144" spans="1:28">
      <c r="B144" s="13"/>
      <c r="C144" s="466"/>
      <c r="D144" s="467"/>
      <c r="E144" s="536"/>
      <c r="F144" s="463"/>
      <c r="G144" s="554"/>
      <c r="H144" s="554"/>
      <c r="I144" s="195"/>
      <c r="J144" s="15"/>
      <c r="K144" s="67"/>
      <c r="L144" s="68"/>
      <c r="M144" s="398"/>
    </row>
    <row r="145" spans="2:13">
      <c r="B145" s="13"/>
      <c r="C145" s="466"/>
      <c r="D145" s="467"/>
      <c r="E145" s="536"/>
      <c r="F145" s="463"/>
      <c r="G145" s="554"/>
      <c r="H145" s="554"/>
      <c r="I145" s="195"/>
      <c r="J145" s="15"/>
      <c r="K145" s="67"/>
      <c r="L145" s="68"/>
      <c r="M145" s="398"/>
    </row>
    <row r="146" spans="2:13">
      <c r="B146" s="13"/>
      <c r="C146" s="466"/>
      <c r="D146" s="467"/>
      <c r="E146" s="536"/>
      <c r="F146" s="463"/>
      <c r="G146" s="554"/>
      <c r="H146" s="554"/>
      <c r="I146" s="195"/>
      <c r="J146" s="15"/>
      <c r="K146" s="67"/>
      <c r="L146" s="68"/>
      <c r="M146" s="398"/>
    </row>
    <row r="147" spans="2:13">
      <c r="B147" s="13"/>
      <c r="C147" s="466"/>
      <c r="D147" s="467"/>
      <c r="E147" s="536"/>
      <c r="F147" s="463"/>
      <c r="G147" s="554"/>
      <c r="H147" s="554"/>
      <c r="I147" s="195"/>
      <c r="J147" s="15"/>
      <c r="K147" s="67"/>
      <c r="L147" s="68"/>
      <c r="M147" s="398"/>
    </row>
    <row r="148" spans="2:13">
      <c r="B148" s="13"/>
      <c r="C148" s="466"/>
      <c r="D148" s="467"/>
      <c r="E148" s="536"/>
      <c r="F148" s="463"/>
      <c r="G148" s="554"/>
      <c r="H148" s="554"/>
      <c r="I148" s="195"/>
      <c r="J148" s="15"/>
      <c r="K148" s="67"/>
      <c r="L148" s="68"/>
      <c r="M148" s="398"/>
    </row>
    <row r="149" spans="2:13">
      <c r="B149" s="13"/>
      <c r="C149" s="466"/>
      <c r="D149" s="467"/>
      <c r="E149" s="536"/>
      <c r="F149" s="463"/>
      <c r="G149" s="554"/>
      <c r="H149" s="554"/>
      <c r="I149" s="195"/>
      <c r="J149" s="15"/>
      <c r="K149" s="67"/>
      <c r="L149" s="68"/>
      <c r="M149" s="398"/>
    </row>
    <row r="150" spans="2:13">
      <c r="B150" s="13"/>
      <c r="C150" s="466"/>
      <c r="D150" s="467"/>
      <c r="E150" s="536"/>
      <c r="F150" s="463"/>
      <c r="G150" s="554"/>
      <c r="H150" s="554"/>
      <c r="I150" s="195"/>
      <c r="J150" s="15"/>
      <c r="K150" s="67"/>
      <c r="L150" s="68"/>
      <c r="M150" s="398"/>
    </row>
    <row r="151" spans="2:13">
      <c r="B151" s="13"/>
      <c r="C151" s="466"/>
      <c r="D151" s="467"/>
      <c r="E151" s="536"/>
      <c r="F151" s="463"/>
      <c r="G151" s="554"/>
      <c r="H151" s="554"/>
      <c r="I151" s="195"/>
      <c r="J151" s="15"/>
      <c r="K151" s="67"/>
      <c r="L151" s="68"/>
      <c r="M151" s="398"/>
    </row>
    <row r="152" spans="2:13">
      <c r="B152" s="13"/>
      <c r="C152" s="466"/>
      <c r="D152" s="467"/>
      <c r="E152" s="536"/>
      <c r="F152" s="463"/>
      <c r="G152" s="554"/>
      <c r="H152" s="554"/>
      <c r="I152" s="195"/>
      <c r="J152" s="15"/>
      <c r="K152" s="67"/>
      <c r="L152" s="68"/>
      <c r="M152" s="398"/>
    </row>
    <row r="153" spans="2:13">
      <c r="B153" s="13"/>
      <c r="C153" s="466"/>
      <c r="D153" s="467"/>
      <c r="E153" s="536"/>
      <c r="F153" s="463"/>
      <c r="G153" s="554"/>
      <c r="H153" s="554"/>
      <c r="I153" s="195"/>
      <c r="J153" s="15"/>
      <c r="K153" s="67"/>
      <c r="L153" s="68"/>
      <c r="M153" s="398"/>
    </row>
    <row r="154" spans="2:13">
      <c r="B154" s="13"/>
      <c r="C154" s="466"/>
      <c r="D154" s="467"/>
      <c r="E154" s="536"/>
      <c r="F154" s="463"/>
      <c r="G154" s="554"/>
      <c r="H154" s="554"/>
      <c r="I154" s="195"/>
      <c r="J154" s="15"/>
      <c r="K154" s="67"/>
      <c r="L154" s="68"/>
      <c r="M154" s="398"/>
    </row>
    <row r="155" spans="2:13">
      <c r="B155" s="13"/>
      <c r="C155" s="466"/>
      <c r="D155" s="467"/>
      <c r="E155" s="536"/>
      <c r="F155" s="463"/>
      <c r="G155" s="554"/>
      <c r="H155" s="554"/>
      <c r="I155" s="195"/>
      <c r="J155" s="15"/>
      <c r="K155" s="67"/>
      <c r="L155" s="68"/>
      <c r="M155" s="398"/>
    </row>
    <row r="156" spans="2:13">
      <c r="B156" s="13"/>
      <c r="C156" s="466"/>
      <c r="D156" s="467"/>
      <c r="E156" s="536"/>
      <c r="F156" s="463"/>
      <c r="G156" s="554"/>
      <c r="H156" s="554"/>
      <c r="I156" s="195"/>
      <c r="J156" s="15"/>
      <c r="K156" s="67"/>
      <c r="L156" s="68"/>
      <c r="M156" s="398"/>
    </row>
    <row r="157" spans="2:13">
      <c r="B157" s="13"/>
      <c r="C157" s="466"/>
      <c r="D157" s="467"/>
      <c r="E157" s="536"/>
      <c r="F157" s="463"/>
      <c r="G157" s="554"/>
      <c r="H157" s="554"/>
      <c r="I157" s="195"/>
      <c r="J157" s="15"/>
      <c r="K157" s="67"/>
      <c r="L157" s="68"/>
      <c r="M157" s="398"/>
    </row>
    <row r="158" spans="2:13">
      <c r="B158" s="13"/>
      <c r="C158" s="466"/>
      <c r="D158" s="467"/>
      <c r="E158" s="536"/>
      <c r="F158" s="463"/>
      <c r="G158" s="554"/>
      <c r="H158" s="554"/>
      <c r="I158" s="195"/>
      <c r="J158" s="15"/>
      <c r="K158" s="67"/>
      <c r="L158" s="68"/>
      <c r="M158" s="398"/>
    </row>
    <row r="159" spans="2:13">
      <c r="B159" s="13"/>
      <c r="C159" s="466"/>
      <c r="D159" s="467"/>
      <c r="E159" s="536"/>
      <c r="F159" s="463"/>
      <c r="G159" s="554"/>
      <c r="H159" s="554"/>
      <c r="I159" s="195"/>
      <c r="J159" s="15"/>
      <c r="K159" s="67"/>
      <c r="L159" s="68"/>
      <c r="M159" s="398"/>
    </row>
    <row r="160" spans="2:13">
      <c r="B160" s="13"/>
      <c r="C160" s="466"/>
      <c r="D160" s="467"/>
      <c r="E160" s="536"/>
      <c r="F160" s="463"/>
      <c r="G160" s="554"/>
      <c r="H160" s="554"/>
      <c r="I160" s="195"/>
      <c r="J160" s="15"/>
      <c r="K160" s="67"/>
      <c r="L160" s="68"/>
      <c r="M160" s="398"/>
    </row>
    <row r="161" spans="2:13">
      <c r="B161" s="13"/>
      <c r="C161" s="466"/>
      <c r="D161" s="467"/>
      <c r="E161" s="536"/>
      <c r="F161" s="463"/>
      <c r="G161" s="554"/>
      <c r="H161" s="554"/>
      <c r="I161" s="195"/>
      <c r="J161" s="15"/>
      <c r="K161" s="67"/>
      <c r="L161" s="68"/>
      <c r="M161" s="398"/>
    </row>
    <row r="162" spans="2:13">
      <c r="B162" s="13"/>
      <c r="C162" s="466"/>
      <c r="D162" s="467"/>
      <c r="E162" s="536"/>
      <c r="F162" s="463"/>
      <c r="G162" s="554"/>
      <c r="H162" s="554"/>
      <c r="I162" s="195"/>
      <c r="J162" s="15"/>
      <c r="K162" s="67"/>
      <c r="L162" s="68"/>
      <c r="M162" s="398"/>
    </row>
    <row r="163" spans="2:13">
      <c r="B163" s="13"/>
      <c r="C163" s="466"/>
      <c r="D163" s="467"/>
      <c r="E163" s="536"/>
      <c r="F163" s="463"/>
      <c r="G163" s="554"/>
      <c r="H163" s="554"/>
      <c r="I163" s="195"/>
      <c r="J163" s="15"/>
      <c r="K163" s="67"/>
      <c r="L163" s="68"/>
      <c r="M163" s="398"/>
    </row>
    <row r="164" spans="2:13">
      <c r="B164" s="13"/>
      <c r="C164" s="466"/>
      <c r="D164" s="467"/>
      <c r="E164" s="536"/>
      <c r="F164" s="463"/>
      <c r="G164" s="554"/>
      <c r="H164" s="554"/>
      <c r="I164" s="195"/>
      <c r="J164" s="15"/>
      <c r="K164" s="67"/>
      <c r="L164" s="68"/>
      <c r="M164" s="398"/>
    </row>
    <row r="165" spans="2:13">
      <c r="B165" s="13"/>
      <c r="C165" s="466"/>
      <c r="D165" s="467"/>
      <c r="E165" s="536"/>
      <c r="F165" s="463"/>
      <c r="G165" s="554"/>
      <c r="H165" s="554"/>
      <c r="I165" s="195"/>
      <c r="J165" s="15"/>
      <c r="K165" s="67"/>
      <c r="L165" s="68"/>
      <c r="M165" s="398"/>
    </row>
    <row r="166" spans="2:13">
      <c r="B166" s="13"/>
      <c r="C166" s="466"/>
      <c r="D166" s="467"/>
      <c r="E166" s="536"/>
      <c r="F166" s="463"/>
      <c r="G166" s="554"/>
      <c r="H166" s="554"/>
      <c r="I166" s="195"/>
      <c r="J166" s="15"/>
      <c r="K166" s="67"/>
      <c r="L166" s="68"/>
      <c r="M166" s="398"/>
    </row>
    <row r="167" spans="2:13">
      <c r="B167" s="13"/>
      <c r="C167" s="466"/>
      <c r="D167" s="467"/>
      <c r="E167" s="536"/>
      <c r="F167" s="463"/>
      <c r="G167" s="554"/>
      <c r="H167" s="554"/>
      <c r="I167" s="195"/>
      <c r="J167" s="15"/>
      <c r="K167" s="67"/>
      <c r="L167" s="68"/>
      <c r="M167" s="398"/>
    </row>
    <row r="168" spans="2:13">
      <c r="B168" s="13"/>
      <c r="C168" s="466"/>
      <c r="D168" s="467"/>
      <c r="E168" s="536"/>
      <c r="F168" s="463"/>
      <c r="G168" s="554"/>
      <c r="H168" s="554"/>
      <c r="I168" s="195"/>
      <c r="J168" s="15"/>
      <c r="K168" s="67"/>
      <c r="L168" s="68"/>
      <c r="M168" s="398"/>
    </row>
    <row r="169" spans="2:13">
      <c r="B169" s="13"/>
      <c r="C169" s="466"/>
      <c r="D169" s="467"/>
      <c r="E169" s="536"/>
      <c r="F169" s="463"/>
      <c r="G169" s="554"/>
      <c r="H169" s="554"/>
      <c r="I169" s="195"/>
      <c r="J169" s="15"/>
      <c r="K169" s="67"/>
      <c r="L169" s="68"/>
      <c r="M169" s="398"/>
    </row>
    <row r="170" spans="2:13">
      <c r="B170" s="13"/>
      <c r="C170" s="466"/>
      <c r="D170" s="467"/>
      <c r="E170" s="536"/>
      <c r="F170" s="463"/>
      <c r="G170" s="554"/>
      <c r="H170" s="554"/>
      <c r="I170" s="195"/>
      <c r="J170" s="15"/>
      <c r="K170" s="67"/>
      <c r="L170" s="68"/>
      <c r="M170" s="398"/>
    </row>
    <row r="171" spans="2:13">
      <c r="B171" s="13"/>
      <c r="C171" s="466"/>
      <c r="D171" s="467"/>
      <c r="E171" s="536"/>
      <c r="F171" s="463"/>
      <c r="G171" s="554"/>
      <c r="H171" s="554"/>
      <c r="I171" s="195"/>
      <c r="J171" s="15"/>
      <c r="K171" s="67"/>
      <c r="L171" s="68"/>
      <c r="M171" s="398"/>
    </row>
    <row r="172" spans="2:13">
      <c r="B172" s="13"/>
      <c r="C172" s="466"/>
      <c r="D172" s="467"/>
      <c r="E172" s="536"/>
      <c r="F172" s="463"/>
      <c r="G172" s="554"/>
      <c r="H172" s="554"/>
      <c r="I172" s="195"/>
      <c r="J172" s="15"/>
      <c r="K172" s="67"/>
      <c r="L172" s="68"/>
      <c r="M172" s="398"/>
    </row>
    <row r="173" spans="2:13">
      <c r="B173" s="13"/>
      <c r="C173" s="466"/>
      <c r="D173" s="467"/>
      <c r="E173" s="536"/>
      <c r="F173" s="463"/>
      <c r="G173" s="554"/>
      <c r="H173" s="554"/>
      <c r="I173" s="195"/>
      <c r="J173" s="15"/>
      <c r="K173" s="67"/>
      <c r="L173" s="68"/>
      <c r="M173" s="398"/>
    </row>
    <row r="174" spans="2:13">
      <c r="B174" s="13"/>
      <c r="C174" s="466"/>
      <c r="D174" s="467"/>
      <c r="E174" s="536"/>
      <c r="F174" s="463"/>
      <c r="G174" s="554"/>
      <c r="H174" s="554"/>
      <c r="I174" s="195"/>
      <c r="J174" s="15"/>
      <c r="K174" s="67"/>
      <c r="L174" s="68"/>
      <c r="M174" s="398"/>
    </row>
    <row r="175" spans="2:13">
      <c r="B175" s="13"/>
      <c r="C175" s="466"/>
      <c r="D175" s="467"/>
      <c r="E175" s="536"/>
      <c r="F175" s="463"/>
      <c r="G175" s="554"/>
      <c r="H175" s="554"/>
      <c r="I175" s="195"/>
      <c r="J175" s="15"/>
      <c r="K175" s="67"/>
      <c r="L175" s="68"/>
      <c r="M175" s="398"/>
    </row>
    <row r="176" spans="2:13">
      <c r="B176" s="13"/>
      <c r="C176" s="466"/>
      <c r="D176" s="467"/>
      <c r="E176" s="536"/>
      <c r="F176" s="463"/>
      <c r="G176" s="554"/>
      <c r="H176" s="554"/>
      <c r="I176" s="195"/>
      <c r="J176" s="15"/>
      <c r="K176" s="67"/>
      <c r="L176" s="68"/>
      <c r="M176" s="398"/>
    </row>
    <row r="177" spans="2:13">
      <c r="B177" s="13"/>
      <c r="C177" s="466"/>
      <c r="D177" s="467"/>
      <c r="E177" s="536"/>
      <c r="F177" s="463"/>
      <c r="G177" s="554"/>
      <c r="H177" s="554"/>
      <c r="I177" s="195"/>
      <c r="J177" s="15"/>
      <c r="K177" s="67"/>
      <c r="L177" s="68"/>
      <c r="M177" s="398"/>
    </row>
    <row r="178" spans="2:13">
      <c r="B178" s="13"/>
      <c r="C178" s="466"/>
      <c r="D178" s="467"/>
      <c r="E178" s="536"/>
      <c r="F178" s="463"/>
      <c r="G178" s="554"/>
      <c r="H178" s="554"/>
      <c r="I178" s="195"/>
      <c r="J178" s="15"/>
      <c r="K178" s="67"/>
      <c r="L178" s="68"/>
      <c r="M178" s="398"/>
    </row>
    <row r="179" spans="2:13">
      <c r="B179" s="13"/>
      <c r="C179" s="466"/>
      <c r="D179" s="467"/>
      <c r="E179" s="536"/>
      <c r="F179" s="463"/>
      <c r="G179" s="554"/>
      <c r="H179" s="554"/>
      <c r="I179" s="195"/>
      <c r="J179" s="15"/>
      <c r="K179" s="67"/>
      <c r="L179" s="68"/>
      <c r="M179" s="398"/>
    </row>
    <row r="180" spans="2:13">
      <c r="B180" s="13"/>
      <c r="C180" s="466"/>
      <c r="D180" s="467"/>
      <c r="E180" s="536"/>
      <c r="F180" s="463"/>
      <c r="G180" s="554"/>
      <c r="H180" s="554"/>
      <c r="I180" s="195"/>
      <c r="J180" s="15"/>
      <c r="K180" s="67"/>
      <c r="L180" s="68"/>
      <c r="M180" s="398"/>
    </row>
    <row r="181" spans="2:13">
      <c r="B181" s="13"/>
      <c r="C181" s="466"/>
      <c r="D181" s="467"/>
      <c r="E181" s="536"/>
      <c r="F181" s="463"/>
      <c r="G181" s="554"/>
      <c r="H181" s="554"/>
      <c r="I181" s="195"/>
      <c r="J181" s="15"/>
      <c r="K181" s="67"/>
      <c r="L181" s="68"/>
      <c r="M181" s="398"/>
    </row>
    <row r="182" spans="2:13">
      <c r="B182" s="13"/>
      <c r="C182" s="466"/>
      <c r="D182" s="467"/>
      <c r="E182" s="536"/>
      <c r="F182" s="463"/>
      <c r="G182" s="554"/>
      <c r="H182" s="554"/>
      <c r="I182" s="195"/>
      <c r="J182" s="15"/>
      <c r="K182" s="67"/>
      <c r="L182" s="68"/>
      <c r="M182" s="398"/>
    </row>
    <row r="183" spans="2:13">
      <c r="B183" s="13"/>
      <c r="C183" s="466"/>
      <c r="D183" s="467"/>
      <c r="E183" s="536"/>
      <c r="F183" s="463"/>
      <c r="G183" s="554"/>
      <c r="H183" s="554"/>
      <c r="I183" s="195"/>
      <c r="J183" s="15"/>
      <c r="K183" s="67"/>
      <c r="L183" s="68"/>
      <c r="M183" s="398"/>
    </row>
    <row r="184" spans="2:13">
      <c r="B184" s="13"/>
      <c r="C184" s="466"/>
      <c r="D184" s="467"/>
      <c r="E184" s="536"/>
      <c r="F184" s="463"/>
      <c r="G184" s="554"/>
      <c r="H184" s="554"/>
      <c r="I184" s="195"/>
      <c r="J184" s="15"/>
      <c r="K184" s="67"/>
      <c r="L184" s="68"/>
      <c r="M184" s="398"/>
    </row>
    <row r="185" spans="2:13">
      <c r="B185" s="13"/>
      <c r="C185" s="466"/>
      <c r="D185" s="467"/>
      <c r="E185" s="536"/>
      <c r="F185" s="463"/>
      <c r="G185" s="554"/>
      <c r="H185" s="554"/>
      <c r="I185" s="195"/>
      <c r="J185" s="15"/>
      <c r="K185" s="67"/>
      <c r="L185" s="68"/>
      <c r="M185" s="398"/>
    </row>
    <row r="186" spans="2:13">
      <c r="B186" s="13"/>
      <c r="C186" s="466"/>
      <c r="D186" s="467"/>
      <c r="E186" s="536"/>
      <c r="F186" s="463"/>
      <c r="G186" s="554"/>
      <c r="H186" s="554"/>
      <c r="I186" s="195"/>
      <c r="J186" s="15"/>
      <c r="K186" s="67"/>
      <c r="L186" s="68"/>
      <c r="M186" s="398"/>
    </row>
    <row r="187" spans="2:13">
      <c r="B187" s="13"/>
      <c r="C187" s="466"/>
      <c r="D187" s="467"/>
      <c r="E187" s="536"/>
      <c r="F187" s="463"/>
      <c r="G187" s="554"/>
      <c r="H187" s="554"/>
      <c r="I187" s="195"/>
      <c r="J187" s="15"/>
      <c r="K187" s="67"/>
      <c r="L187" s="68"/>
      <c r="M187" s="398"/>
    </row>
    <row r="188" spans="2:13">
      <c r="B188" s="13"/>
      <c r="C188" s="466"/>
      <c r="D188" s="467"/>
      <c r="E188" s="536"/>
      <c r="F188" s="463"/>
      <c r="G188" s="554"/>
      <c r="H188" s="554"/>
      <c r="I188" s="195"/>
      <c r="J188" s="15"/>
      <c r="K188" s="67"/>
      <c r="L188" s="68"/>
      <c r="M188" s="398"/>
    </row>
    <row r="189" spans="2:13">
      <c r="B189" s="13"/>
      <c r="C189" s="466"/>
      <c r="D189" s="467"/>
      <c r="E189" s="536"/>
      <c r="F189" s="463"/>
      <c r="G189" s="554"/>
      <c r="H189" s="554"/>
      <c r="I189" s="195"/>
      <c r="J189" s="15"/>
      <c r="K189" s="67"/>
      <c r="L189" s="68"/>
      <c r="M189" s="398"/>
    </row>
    <row r="190" spans="2:13">
      <c r="B190" s="13"/>
      <c r="C190" s="466"/>
      <c r="D190" s="467"/>
      <c r="E190" s="536"/>
      <c r="F190" s="463"/>
      <c r="G190" s="554"/>
      <c r="H190" s="554"/>
      <c r="I190" s="195"/>
      <c r="J190" s="15"/>
      <c r="K190" s="67"/>
      <c r="L190" s="68"/>
      <c r="M190" s="398"/>
    </row>
    <row r="191" spans="2:13">
      <c r="B191" s="13"/>
      <c r="C191" s="466"/>
      <c r="D191" s="467"/>
      <c r="E191" s="536"/>
      <c r="F191" s="463"/>
      <c r="G191" s="554"/>
      <c r="H191" s="554"/>
      <c r="I191" s="195"/>
      <c r="J191" s="15"/>
      <c r="K191" s="67"/>
      <c r="L191" s="68"/>
      <c r="M191" s="398"/>
    </row>
    <row r="192" spans="2:13">
      <c r="B192" s="13"/>
      <c r="C192" s="466"/>
      <c r="D192" s="467"/>
      <c r="E192" s="536"/>
      <c r="F192" s="463"/>
      <c r="G192" s="554"/>
      <c r="H192" s="554"/>
      <c r="I192" s="195"/>
      <c r="J192" s="15"/>
      <c r="K192" s="67"/>
      <c r="L192" s="68"/>
      <c r="M192" s="398"/>
    </row>
    <row r="193" spans="2:13">
      <c r="B193" s="13"/>
      <c r="C193" s="466"/>
      <c r="D193" s="467"/>
      <c r="E193" s="536"/>
      <c r="F193" s="463"/>
      <c r="G193" s="554"/>
      <c r="H193" s="554"/>
      <c r="I193" s="195"/>
      <c r="J193" s="15"/>
      <c r="K193" s="67"/>
      <c r="L193" s="68"/>
      <c r="M193" s="398"/>
    </row>
    <row r="194" spans="2:13">
      <c r="B194" s="13"/>
      <c r="C194" s="466"/>
      <c r="D194" s="467"/>
      <c r="E194" s="536"/>
      <c r="F194" s="463"/>
      <c r="G194" s="554"/>
      <c r="H194" s="554"/>
      <c r="I194" s="195"/>
      <c r="J194" s="15"/>
      <c r="K194" s="67"/>
      <c r="L194" s="68"/>
      <c r="M194" s="398"/>
    </row>
    <row r="195" spans="2:13">
      <c r="B195" s="13"/>
      <c r="C195" s="466"/>
      <c r="D195" s="467"/>
      <c r="E195" s="536"/>
      <c r="F195" s="463"/>
      <c r="G195" s="554"/>
      <c r="H195" s="554"/>
      <c r="I195" s="195"/>
      <c r="J195" s="15"/>
      <c r="K195" s="67"/>
      <c r="L195" s="68"/>
      <c r="M195" s="398"/>
    </row>
    <row r="196" spans="2:13">
      <c r="B196" s="13"/>
      <c r="C196" s="466"/>
      <c r="D196" s="467"/>
      <c r="E196" s="536"/>
      <c r="F196" s="463"/>
      <c r="G196" s="554"/>
      <c r="H196" s="554"/>
      <c r="I196" s="195"/>
      <c r="J196" s="15"/>
      <c r="K196" s="67"/>
      <c r="L196" s="68"/>
      <c r="M196" s="398"/>
    </row>
    <row r="197" spans="2:13">
      <c r="B197" s="13"/>
      <c r="C197" s="466"/>
      <c r="D197" s="467"/>
      <c r="E197" s="536"/>
      <c r="F197" s="463"/>
      <c r="G197" s="554"/>
      <c r="H197" s="554"/>
      <c r="I197" s="195"/>
      <c r="J197" s="15"/>
      <c r="K197" s="67"/>
      <c r="L197" s="68"/>
      <c r="M197" s="398"/>
    </row>
    <row r="198" spans="2:13">
      <c r="B198" s="13"/>
      <c r="C198" s="466"/>
      <c r="D198" s="467"/>
      <c r="E198" s="536"/>
      <c r="F198" s="463"/>
      <c r="G198" s="554"/>
      <c r="H198" s="554"/>
      <c r="I198" s="195"/>
      <c r="J198" s="15"/>
      <c r="K198" s="67"/>
      <c r="L198" s="68"/>
      <c r="M198" s="398"/>
    </row>
    <row r="199" spans="2:13">
      <c r="B199" s="13"/>
      <c r="C199" s="466"/>
      <c r="D199" s="467"/>
      <c r="E199" s="536"/>
      <c r="F199" s="463"/>
      <c r="G199" s="554"/>
      <c r="H199" s="554"/>
      <c r="I199" s="195"/>
      <c r="J199" s="15"/>
      <c r="K199" s="67"/>
      <c r="L199" s="68"/>
      <c r="M199" s="398"/>
    </row>
    <row r="200" spans="2:13">
      <c r="B200" s="13"/>
      <c r="C200" s="466"/>
      <c r="D200" s="467"/>
      <c r="E200" s="536"/>
      <c r="F200" s="463"/>
      <c r="G200" s="554"/>
      <c r="H200" s="554"/>
      <c r="I200" s="195"/>
      <c r="J200" s="15"/>
      <c r="K200" s="67"/>
      <c r="L200" s="68"/>
      <c r="M200" s="398"/>
    </row>
    <row r="201" spans="2:13">
      <c r="B201" s="13"/>
      <c r="C201" s="466"/>
      <c r="D201" s="467"/>
      <c r="E201" s="536"/>
      <c r="F201" s="463"/>
      <c r="G201" s="554"/>
      <c r="H201" s="554"/>
      <c r="I201" s="195"/>
      <c r="J201" s="15"/>
      <c r="K201" s="67"/>
      <c r="L201" s="68"/>
      <c r="M201" s="398"/>
    </row>
    <row r="202" spans="2:13">
      <c r="B202" s="13"/>
      <c r="C202" s="466"/>
      <c r="D202" s="467"/>
      <c r="E202" s="536"/>
      <c r="F202" s="463"/>
      <c r="G202" s="554"/>
      <c r="H202" s="554"/>
      <c r="I202" s="195"/>
      <c r="J202" s="15"/>
      <c r="K202" s="67"/>
      <c r="L202" s="68"/>
      <c r="M202" s="398"/>
    </row>
    <row r="203" spans="2:13">
      <c r="B203" s="13"/>
      <c r="C203" s="466"/>
      <c r="D203" s="467"/>
      <c r="E203" s="536"/>
      <c r="F203" s="463"/>
      <c r="G203" s="554"/>
      <c r="H203" s="554"/>
      <c r="I203" s="195"/>
      <c r="J203" s="15"/>
      <c r="K203" s="67"/>
      <c r="L203" s="68"/>
      <c r="M203" s="398"/>
    </row>
    <row r="204" spans="2:13">
      <c r="B204" s="13"/>
      <c r="C204" s="466"/>
      <c r="D204" s="467"/>
      <c r="E204" s="536"/>
      <c r="F204" s="463"/>
      <c r="G204" s="554"/>
      <c r="H204" s="554"/>
      <c r="I204" s="195"/>
      <c r="J204" s="15"/>
      <c r="K204" s="67"/>
      <c r="L204" s="68"/>
      <c r="M204" s="398"/>
    </row>
    <row r="205" spans="2:13">
      <c r="B205" s="13"/>
      <c r="C205" s="466"/>
      <c r="D205" s="467"/>
      <c r="E205" s="536"/>
      <c r="F205" s="463"/>
      <c r="G205" s="554"/>
      <c r="H205" s="554"/>
      <c r="I205" s="195"/>
      <c r="J205" s="15"/>
      <c r="K205" s="67"/>
      <c r="L205" s="68"/>
      <c r="M205" s="398"/>
    </row>
    <row r="206" spans="2:13">
      <c r="B206" s="13"/>
      <c r="C206" s="466"/>
      <c r="D206" s="467"/>
      <c r="E206" s="536"/>
      <c r="F206" s="463"/>
      <c r="G206" s="554"/>
      <c r="H206" s="554"/>
      <c r="I206" s="195"/>
      <c r="J206" s="15"/>
      <c r="K206" s="67"/>
      <c r="L206" s="68"/>
      <c r="M206" s="398"/>
    </row>
    <row r="207" spans="2:13">
      <c r="B207" s="13"/>
      <c r="C207" s="466"/>
      <c r="D207" s="467"/>
      <c r="E207" s="536"/>
      <c r="F207" s="463"/>
      <c r="G207" s="554"/>
      <c r="H207" s="554"/>
      <c r="I207" s="195"/>
      <c r="J207" s="15"/>
      <c r="K207" s="67"/>
      <c r="L207" s="68"/>
      <c r="M207" s="398"/>
    </row>
    <row r="208" spans="2:13">
      <c r="B208" s="13"/>
      <c r="C208" s="466"/>
      <c r="D208" s="467"/>
      <c r="E208" s="536"/>
      <c r="F208" s="463"/>
      <c r="G208" s="554"/>
      <c r="H208" s="554"/>
      <c r="I208" s="195"/>
      <c r="J208" s="15"/>
      <c r="K208" s="67"/>
      <c r="L208" s="68"/>
      <c r="M208" s="398"/>
    </row>
    <row r="209" spans="2:13">
      <c r="B209" s="13"/>
      <c r="C209" s="466"/>
      <c r="D209" s="467"/>
      <c r="E209" s="536"/>
      <c r="F209" s="463"/>
      <c r="G209" s="554"/>
      <c r="H209" s="554"/>
      <c r="I209" s="195"/>
      <c r="J209" s="15"/>
      <c r="K209" s="67"/>
      <c r="L209" s="68"/>
      <c r="M209" s="398"/>
    </row>
    <row r="210" spans="2:13">
      <c r="B210" s="13"/>
      <c r="C210" s="466"/>
      <c r="D210" s="467"/>
      <c r="E210" s="536"/>
      <c r="F210" s="463"/>
      <c r="G210" s="554"/>
      <c r="H210" s="554"/>
      <c r="I210" s="195"/>
      <c r="J210" s="15"/>
      <c r="K210" s="67"/>
      <c r="L210" s="68"/>
      <c r="M210" s="398"/>
    </row>
    <row r="211" spans="2:13">
      <c r="B211" s="13"/>
      <c r="C211" s="466"/>
      <c r="D211" s="467"/>
      <c r="E211" s="536"/>
      <c r="F211" s="463"/>
      <c r="G211" s="554"/>
      <c r="H211" s="554"/>
      <c r="I211" s="195"/>
      <c r="J211" s="15"/>
      <c r="K211" s="67"/>
      <c r="L211" s="68"/>
      <c r="M211" s="398"/>
    </row>
    <row r="212" spans="2:13">
      <c r="B212" s="13"/>
      <c r="C212" s="466"/>
      <c r="D212" s="467"/>
      <c r="E212" s="536"/>
      <c r="F212" s="463"/>
      <c r="G212" s="554"/>
      <c r="H212" s="554"/>
      <c r="I212" s="195"/>
      <c r="J212" s="15"/>
      <c r="K212" s="67"/>
      <c r="L212" s="68"/>
      <c r="M212" s="398"/>
    </row>
    <row r="213" spans="2:13">
      <c r="B213" s="13"/>
      <c r="C213" s="466"/>
      <c r="D213" s="467"/>
      <c r="E213" s="536"/>
      <c r="F213" s="463"/>
      <c r="G213" s="554"/>
      <c r="H213" s="554"/>
      <c r="I213" s="195"/>
      <c r="J213" s="15"/>
      <c r="K213" s="67"/>
      <c r="L213" s="68"/>
      <c r="M213" s="398"/>
    </row>
    <row r="214" spans="2:13">
      <c r="B214" s="13"/>
      <c r="C214" s="466"/>
      <c r="D214" s="467"/>
      <c r="E214" s="536"/>
      <c r="F214" s="463"/>
      <c r="G214" s="554"/>
      <c r="H214" s="554"/>
      <c r="I214" s="195"/>
      <c r="J214" s="15"/>
      <c r="K214" s="67"/>
      <c r="L214" s="68"/>
      <c r="M214" s="398"/>
    </row>
    <row r="215" spans="2:13">
      <c r="B215" s="13"/>
      <c r="C215" s="466"/>
      <c r="D215" s="467"/>
      <c r="E215" s="536"/>
      <c r="F215" s="463"/>
      <c r="G215" s="554"/>
      <c r="H215" s="554"/>
      <c r="I215" s="195"/>
      <c r="J215" s="15"/>
      <c r="K215" s="67"/>
      <c r="L215" s="68"/>
      <c r="M215" s="398"/>
    </row>
    <row r="216" spans="2:13">
      <c r="B216" s="13"/>
      <c r="C216" s="466"/>
      <c r="D216" s="467"/>
      <c r="E216" s="536"/>
      <c r="F216" s="463"/>
      <c r="G216" s="554"/>
      <c r="H216" s="554"/>
      <c r="I216" s="195"/>
      <c r="J216" s="15"/>
      <c r="K216" s="67"/>
      <c r="L216" s="68"/>
      <c r="M216" s="398"/>
    </row>
    <row r="217" spans="2:13">
      <c r="B217" s="13"/>
      <c r="C217" s="466"/>
      <c r="D217" s="467"/>
      <c r="E217" s="536"/>
      <c r="F217" s="463"/>
      <c r="G217" s="554"/>
      <c r="H217" s="554"/>
      <c r="I217" s="195"/>
      <c r="J217" s="15"/>
      <c r="K217" s="67"/>
      <c r="L217" s="68"/>
      <c r="M217" s="398"/>
    </row>
    <row r="218" spans="2:13">
      <c r="B218" s="13"/>
      <c r="C218" s="466"/>
      <c r="D218" s="467"/>
      <c r="E218" s="536"/>
      <c r="F218" s="463"/>
      <c r="G218" s="554"/>
      <c r="H218" s="554"/>
      <c r="I218" s="195"/>
      <c r="J218" s="15"/>
      <c r="K218" s="67"/>
      <c r="L218" s="68"/>
      <c r="M218" s="398"/>
    </row>
    <row r="219" spans="2:13">
      <c r="B219" s="13"/>
      <c r="C219" s="466"/>
      <c r="D219" s="467"/>
      <c r="E219" s="536"/>
      <c r="F219" s="463"/>
      <c r="G219" s="554"/>
      <c r="H219" s="554"/>
      <c r="I219" s="195"/>
      <c r="J219" s="15"/>
      <c r="K219" s="67"/>
      <c r="L219" s="68"/>
      <c r="M219" s="398"/>
    </row>
    <row r="220" spans="2:13">
      <c r="B220" s="13"/>
      <c r="C220" s="466"/>
      <c r="D220" s="467"/>
      <c r="E220" s="536"/>
      <c r="F220" s="463"/>
      <c r="G220" s="554"/>
      <c r="H220" s="554"/>
      <c r="I220" s="195"/>
      <c r="J220" s="15"/>
      <c r="K220" s="67"/>
      <c r="L220" s="68"/>
      <c r="M220" s="398"/>
    </row>
    <row r="221" spans="2:13">
      <c r="B221" s="13"/>
      <c r="C221" s="466"/>
      <c r="D221" s="467"/>
      <c r="E221" s="536"/>
      <c r="F221" s="463"/>
      <c r="G221" s="554"/>
      <c r="H221" s="554"/>
      <c r="I221" s="195"/>
      <c r="J221" s="15"/>
      <c r="K221" s="67"/>
      <c r="L221" s="68"/>
      <c r="M221" s="398"/>
    </row>
    <row r="222" spans="2:13">
      <c r="B222" s="13"/>
      <c r="C222" s="466"/>
      <c r="D222" s="467"/>
      <c r="E222" s="536"/>
      <c r="F222" s="463"/>
      <c r="G222" s="554"/>
      <c r="H222" s="554"/>
      <c r="I222" s="195"/>
      <c r="J222" s="15"/>
      <c r="K222" s="67"/>
      <c r="L222" s="68"/>
      <c r="M222" s="398"/>
    </row>
    <row r="223" spans="2:13">
      <c r="B223" s="13"/>
      <c r="C223" s="466"/>
      <c r="D223" s="467"/>
      <c r="E223" s="536"/>
      <c r="F223" s="463"/>
      <c r="G223" s="554"/>
      <c r="H223" s="554"/>
      <c r="I223" s="195"/>
      <c r="J223" s="15"/>
      <c r="K223" s="67"/>
      <c r="L223" s="68"/>
      <c r="M223" s="398"/>
    </row>
    <row r="224" spans="2:13">
      <c r="B224" s="13"/>
      <c r="C224" s="466"/>
      <c r="D224" s="467"/>
      <c r="E224" s="536"/>
      <c r="F224" s="463"/>
      <c r="G224" s="554"/>
      <c r="H224" s="554"/>
      <c r="I224" s="195"/>
      <c r="J224" s="15"/>
      <c r="K224" s="67"/>
      <c r="L224" s="68"/>
      <c r="M224" s="398"/>
    </row>
    <row r="225" spans="2:13">
      <c r="B225" s="13"/>
      <c r="C225" s="466"/>
      <c r="D225" s="467"/>
      <c r="E225" s="536"/>
      <c r="F225" s="463"/>
      <c r="G225" s="554"/>
      <c r="H225" s="554"/>
      <c r="I225" s="195"/>
      <c r="J225" s="15"/>
      <c r="K225" s="67"/>
      <c r="L225" s="68"/>
      <c r="M225" s="398"/>
    </row>
    <row r="226" spans="2:13">
      <c r="B226" s="13"/>
      <c r="C226" s="466"/>
      <c r="D226" s="467"/>
      <c r="E226" s="536"/>
      <c r="F226" s="463"/>
      <c r="G226" s="554"/>
      <c r="H226" s="554"/>
      <c r="I226" s="195"/>
      <c r="J226" s="15"/>
      <c r="K226" s="67"/>
      <c r="L226" s="68"/>
      <c r="M226" s="398"/>
    </row>
    <row r="227" spans="2:13">
      <c r="B227" s="13"/>
      <c r="C227" s="466"/>
      <c r="D227" s="467"/>
      <c r="E227" s="536"/>
      <c r="F227" s="463"/>
      <c r="G227" s="554"/>
      <c r="H227" s="554"/>
      <c r="I227" s="195"/>
      <c r="J227" s="15"/>
      <c r="K227" s="67"/>
      <c r="L227" s="68"/>
      <c r="M227" s="398"/>
    </row>
    <row r="228" spans="2:13">
      <c r="B228" s="13"/>
      <c r="C228" s="466"/>
      <c r="D228" s="467"/>
      <c r="E228" s="536"/>
      <c r="F228" s="463"/>
      <c r="G228" s="554"/>
      <c r="H228" s="554"/>
      <c r="I228" s="195"/>
      <c r="J228" s="15"/>
      <c r="K228" s="67"/>
      <c r="L228" s="68"/>
      <c r="M228" s="398"/>
    </row>
    <row r="229" spans="2:13">
      <c r="B229" s="13"/>
      <c r="C229" s="466"/>
      <c r="D229" s="467"/>
      <c r="E229" s="536"/>
      <c r="F229" s="463"/>
      <c r="G229" s="554"/>
      <c r="H229" s="554"/>
      <c r="I229" s="195"/>
      <c r="J229" s="15"/>
      <c r="K229" s="67"/>
      <c r="L229" s="68"/>
      <c r="M229" s="398"/>
    </row>
    <row r="230" spans="2:13">
      <c r="B230" s="13"/>
      <c r="C230" s="466"/>
      <c r="D230" s="467"/>
      <c r="E230" s="536"/>
      <c r="F230" s="463"/>
      <c r="G230" s="554"/>
      <c r="H230" s="554"/>
      <c r="I230" s="195"/>
      <c r="J230" s="15"/>
      <c r="K230" s="67"/>
      <c r="L230" s="68"/>
      <c r="M230" s="398"/>
    </row>
    <row r="231" spans="2:13">
      <c r="B231" s="13"/>
      <c r="C231" s="466"/>
      <c r="D231" s="467"/>
      <c r="E231" s="536"/>
      <c r="F231" s="463"/>
      <c r="G231" s="554"/>
      <c r="H231" s="554"/>
      <c r="I231" s="195"/>
      <c r="J231" s="15"/>
      <c r="K231" s="67"/>
      <c r="L231" s="68"/>
      <c r="M231" s="398"/>
    </row>
    <row r="232" spans="2:13">
      <c r="B232" s="13"/>
      <c r="C232" s="466"/>
      <c r="D232" s="467"/>
      <c r="E232" s="536"/>
      <c r="F232" s="463"/>
      <c r="G232" s="554"/>
      <c r="H232" s="554"/>
      <c r="I232" s="195"/>
      <c r="J232" s="15"/>
      <c r="K232" s="67"/>
      <c r="L232" s="68"/>
      <c r="M232" s="398"/>
    </row>
    <row r="233" spans="2:13">
      <c r="B233" s="13"/>
      <c r="C233" s="466"/>
      <c r="D233" s="467"/>
      <c r="E233" s="536"/>
      <c r="F233" s="463"/>
      <c r="G233" s="554"/>
      <c r="H233" s="554"/>
      <c r="I233" s="195"/>
      <c r="J233" s="15"/>
      <c r="K233" s="67"/>
      <c r="L233" s="68"/>
      <c r="M233" s="398"/>
    </row>
    <row r="234" spans="2:13">
      <c r="B234" s="13"/>
      <c r="C234" s="466"/>
      <c r="D234" s="467"/>
      <c r="E234" s="536"/>
      <c r="F234" s="463"/>
      <c r="G234" s="554"/>
      <c r="H234" s="554"/>
      <c r="I234" s="195"/>
      <c r="J234" s="15"/>
      <c r="K234" s="67"/>
      <c r="L234" s="68"/>
      <c r="M234" s="398"/>
    </row>
    <row r="235" spans="2:13">
      <c r="B235" s="13"/>
      <c r="C235" s="466"/>
      <c r="D235" s="467"/>
      <c r="E235" s="536"/>
      <c r="F235" s="463"/>
      <c r="G235" s="554"/>
      <c r="H235" s="554"/>
      <c r="I235" s="195"/>
      <c r="J235" s="15"/>
      <c r="K235" s="67"/>
      <c r="L235" s="68"/>
      <c r="M235" s="398"/>
    </row>
    <row r="236" spans="2:13">
      <c r="B236" s="13"/>
      <c r="C236" s="466"/>
      <c r="D236" s="467"/>
      <c r="E236" s="536"/>
      <c r="F236" s="463"/>
      <c r="G236" s="554"/>
      <c r="H236" s="554"/>
      <c r="I236" s="195"/>
      <c r="J236" s="15"/>
      <c r="K236" s="67"/>
      <c r="L236" s="68"/>
      <c r="M236" s="398"/>
    </row>
    <row r="237" spans="2:13">
      <c r="B237" s="13"/>
      <c r="C237" s="466"/>
      <c r="D237" s="467"/>
      <c r="E237" s="536"/>
      <c r="F237" s="463"/>
      <c r="G237" s="554"/>
      <c r="H237" s="554"/>
      <c r="I237" s="195"/>
      <c r="J237" s="15"/>
      <c r="K237" s="67"/>
      <c r="L237" s="68"/>
      <c r="M237" s="398"/>
    </row>
    <row r="238" spans="2:13">
      <c r="B238" s="13"/>
      <c r="C238" s="466"/>
      <c r="D238" s="467"/>
      <c r="E238" s="536"/>
      <c r="F238" s="463"/>
      <c r="G238" s="554"/>
      <c r="H238" s="554"/>
      <c r="I238" s="195"/>
      <c r="J238" s="15"/>
      <c r="K238" s="67"/>
      <c r="L238" s="68"/>
      <c r="M238" s="398"/>
    </row>
    <row r="239" spans="2:13">
      <c r="B239" s="13"/>
      <c r="C239" s="466"/>
      <c r="D239" s="467"/>
      <c r="E239" s="536"/>
      <c r="F239" s="463"/>
      <c r="G239" s="554"/>
      <c r="H239" s="554"/>
      <c r="I239" s="195"/>
      <c r="J239" s="15"/>
      <c r="K239" s="67"/>
      <c r="L239" s="68"/>
      <c r="M239" s="398"/>
    </row>
    <row r="240" spans="2:13">
      <c r="B240" s="13"/>
      <c r="C240" s="466"/>
      <c r="D240" s="467"/>
      <c r="E240" s="536"/>
      <c r="F240" s="463"/>
      <c r="G240" s="554"/>
      <c r="H240" s="554"/>
      <c r="I240" s="195"/>
      <c r="J240" s="15"/>
      <c r="K240" s="67"/>
      <c r="L240" s="68"/>
      <c r="M240" s="398"/>
    </row>
    <row r="241" spans="2:13">
      <c r="B241" s="13"/>
      <c r="C241" s="466"/>
      <c r="D241" s="467"/>
      <c r="E241" s="536"/>
      <c r="F241" s="463"/>
      <c r="G241" s="554"/>
      <c r="H241" s="554"/>
      <c r="I241" s="195"/>
      <c r="J241" s="15"/>
      <c r="K241" s="67"/>
      <c r="L241" s="68"/>
      <c r="M241" s="398"/>
    </row>
    <row r="242" spans="2:13">
      <c r="B242" s="13"/>
      <c r="C242" s="466"/>
      <c r="D242" s="467"/>
      <c r="E242" s="536"/>
      <c r="F242" s="463"/>
      <c r="G242" s="554"/>
      <c r="H242" s="554"/>
      <c r="I242" s="195"/>
      <c r="J242" s="15"/>
      <c r="K242" s="67"/>
      <c r="L242" s="68"/>
      <c r="M242" s="398"/>
    </row>
    <row r="243" spans="2:13">
      <c r="B243" s="13"/>
      <c r="C243" s="466"/>
      <c r="D243" s="467"/>
      <c r="E243" s="536"/>
      <c r="F243" s="463"/>
      <c r="G243" s="554"/>
      <c r="H243" s="554"/>
      <c r="I243" s="195"/>
      <c r="J243" s="15"/>
      <c r="K243" s="67"/>
      <c r="L243" s="68"/>
      <c r="M243" s="398"/>
    </row>
  </sheetData>
  <protectedRanges>
    <protectedRange sqref="O16" name="Plage1_2_2_1"/>
    <protectedRange sqref="O35" name="Plage1_2_2_2"/>
    <protectedRange sqref="O58" name="Plage1_2_2_3"/>
    <protectedRange sqref="O65" name="Plage1_2_2_4"/>
    <protectedRange sqref="O72" name="Plage1_2_2_5"/>
    <protectedRange sqref="O80" name="Plage1_2_2_6"/>
    <protectedRange sqref="O86" name="Plage1_2_2_7"/>
    <protectedRange sqref="O116" name="Plage1_2_2_8"/>
    <protectedRange sqref="O117" name="Plage1_2_2_5_2"/>
    <protectedRange sqref="T116" name="Plage1_2_2_5_3"/>
    <protectedRange sqref="O87" name="Plage1_2_2_5_10"/>
    <protectedRange sqref="O81" name="Plage1_2_2_5_11"/>
    <protectedRange sqref="T80" name="Plage1_2_2_5_12"/>
    <protectedRange sqref="T86" name="Plage1_2_2_5_13"/>
    <protectedRange sqref="O73" name="Plage1_2_2_5_14"/>
    <protectedRange sqref="O66" name="Plage1_2_2_5_15"/>
    <protectedRange sqref="O59" name="Plage1_2_2_5_16"/>
    <protectedRange sqref="T58" name="Plage1_2_2_5_17"/>
    <protectedRange sqref="T65" name="Plage1_2_2_5_18"/>
    <protectedRange sqref="T72" name="Plage1_2_2_5_19"/>
    <protectedRange sqref="O36" name="Plage1_2_2_5_20"/>
    <protectedRange sqref="T35" name="Plage1_2_2_5_21"/>
    <protectedRange sqref="O17" name="Plage1_2_2_5_22"/>
    <protectedRange sqref="O9" name="Plage1_2_2_5_23"/>
    <protectedRange sqref="T8" name="Plage1_2_2_5_24"/>
    <protectedRange sqref="T16" name="Plage1_2_2_5_25"/>
    <protectedRange sqref="K128:L128 A123:E128 K123:N127" name="Plage1_1"/>
    <protectedRange sqref="T123" name="Plage1_2_2_1_1"/>
  </protectedRanges>
  <mergeCells count="200">
    <mergeCell ref="O125:Q125"/>
    <mergeCell ref="Y125:Z125"/>
    <mergeCell ref="AC125:AD125"/>
    <mergeCell ref="O126:Q126"/>
    <mergeCell ref="Y126:Z126"/>
    <mergeCell ref="C122:D122"/>
    <mergeCell ref="E122:F122"/>
    <mergeCell ref="G122:H122"/>
    <mergeCell ref="O122:Q122"/>
    <mergeCell ref="T122:W122"/>
    <mergeCell ref="Y122:Z122"/>
    <mergeCell ref="AF122:AI123"/>
    <mergeCell ref="O123:Q123"/>
    <mergeCell ref="T123:V123"/>
    <mergeCell ref="Y123:Z124"/>
    <mergeCell ref="O124:Q124"/>
    <mergeCell ref="AC124:AD124"/>
    <mergeCell ref="AF55:AI56"/>
    <mergeCell ref="AF77:AI78"/>
    <mergeCell ref="AF83:AI84"/>
    <mergeCell ref="AF113:AI114"/>
    <mergeCell ref="Y118:Z118"/>
    <mergeCell ref="AC116:AD116"/>
    <mergeCell ref="Y99:Z100"/>
    <mergeCell ref="AA99:AA100"/>
    <mergeCell ref="AC100:AD100"/>
    <mergeCell ref="Y101:Z101"/>
    <mergeCell ref="AC101:AD101"/>
    <mergeCell ref="Y115:Z115"/>
    <mergeCell ref="Y116:Z117"/>
    <mergeCell ref="AA116:AA117"/>
    <mergeCell ref="AC115:AD115"/>
    <mergeCell ref="AA58:AA59"/>
    <mergeCell ref="AC57:AD57"/>
    <mergeCell ref="Y60:Z60"/>
    <mergeCell ref="AF5:AI6"/>
    <mergeCell ref="AF13:AI14"/>
    <mergeCell ref="AF32:AI33"/>
    <mergeCell ref="Y95:Z95"/>
    <mergeCell ref="AC95:AD95"/>
    <mergeCell ref="Y98:Z98"/>
    <mergeCell ref="Y85:Z85"/>
    <mergeCell ref="Y86:Z87"/>
    <mergeCell ref="AA86:AA87"/>
    <mergeCell ref="AC85:AD85"/>
    <mergeCell ref="Y88:Z88"/>
    <mergeCell ref="AC86:AD86"/>
    <mergeCell ref="Y92:Z92"/>
    <mergeCell ref="Y93:Z94"/>
    <mergeCell ref="AA93:AA94"/>
    <mergeCell ref="AC94:AD94"/>
    <mergeCell ref="AA72:AA73"/>
    <mergeCell ref="AC73:AD73"/>
    <mergeCell ref="Y74:Z74"/>
    <mergeCell ref="AC74:AD74"/>
    <mergeCell ref="AA80:AA81"/>
    <mergeCell ref="AC79:AD79"/>
    <mergeCell ref="Y82:Z82"/>
    <mergeCell ref="AC80:AD80"/>
    <mergeCell ref="AC58:AD58"/>
    <mergeCell ref="Y64:Z64"/>
    <mergeCell ref="Y65:Z66"/>
    <mergeCell ref="AA65:AA66"/>
    <mergeCell ref="AC66:AD66"/>
    <mergeCell ref="Y67:Z67"/>
    <mergeCell ref="AC67:AD67"/>
    <mergeCell ref="AC16:AD16"/>
    <mergeCell ref="Y32:Z32"/>
    <mergeCell ref="Y33:Z34"/>
    <mergeCell ref="AA33:AA34"/>
    <mergeCell ref="AC34:AD34"/>
    <mergeCell ref="Y35:Z35"/>
    <mergeCell ref="AC35:AD35"/>
    <mergeCell ref="T8:V8"/>
    <mergeCell ref="T15:W15"/>
    <mergeCell ref="T16:V16"/>
    <mergeCell ref="T34:W34"/>
    <mergeCell ref="Y6:Z7"/>
    <mergeCell ref="AA6:AA7"/>
    <mergeCell ref="AC7:AD7"/>
    <mergeCell ref="Y8:Z8"/>
    <mergeCell ref="AC8:AD8"/>
    <mergeCell ref="Y13:Z13"/>
    <mergeCell ref="Y14:Z15"/>
    <mergeCell ref="AA14:AA15"/>
    <mergeCell ref="AC15:AD15"/>
    <mergeCell ref="O116:Q116"/>
    <mergeCell ref="O117:Q117"/>
    <mergeCell ref="F104:G104"/>
    <mergeCell ref="D104:E104"/>
    <mergeCell ref="F98:G98"/>
    <mergeCell ref="O85:Q85"/>
    <mergeCell ref="O91:R91"/>
    <mergeCell ref="O118:Q118"/>
    <mergeCell ref="O119:Q119"/>
    <mergeCell ref="O93:Q93"/>
    <mergeCell ref="O94:Q94"/>
    <mergeCell ref="O95:Q95"/>
    <mergeCell ref="O96:Q96"/>
    <mergeCell ref="O98:Q98"/>
    <mergeCell ref="O115:Q115"/>
    <mergeCell ref="O100:Q100"/>
    <mergeCell ref="O101:Q101"/>
    <mergeCell ref="O102:Q102"/>
    <mergeCell ref="O86:Q86"/>
    <mergeCell ref="O87:Q87"/>
    <mergeCell ref="O88:Q88"/>
    <mergeCell ref="O89:Q89"/>
    <mergeCell ref="O99:Q99"/>
    <mergeCell ref="D85:E85"/>
    <mergeCell ref="O83:Q83"/>
    <mergeCell ref="O79:Q79"/>
    <mergeCell ref="F44:G44"/>
    <mergeCell ref="F63:G63"/>
    <mergeCell ref="D44:E44"/>
    <mergeCell ref="O35:Q35"/>
    <mergeCell ref="O36:Q36"/>
    <mergeCell ref="O37:Q37"/>
    <mergeCell ref="O38:Q38"/>
    <mergeCell ref="F78:G78"/>
    <mergeCell ref="O78:R78"/>
    <mergeCell ref="F71:G71"/>
    <mergeCell ref="O58:Q58"/>
    <mergeCell ref="O59:Q59"/>
    <mergeCell ref="O60:Q60"/>
    <mergeCell ref="O61:Q61"/>
    <mergeCell ref="O64:Q64"/>
    <mergeCell ref="O63:R63"/>
    <mergeCell ref="O57:Q57"/>
    <mergeCell ref="M1:M2"/>
    <mergeCell ref="C1:C2"/>
    <mergeCell ref="B1:B2"/>
    <mergeCell ref="A1:A2"/>
    <mergeCell ref="J1:L1"/>
    <mergeCell ref="D1:D2"/>
    <mergeCell ref="F3:G3"/>
    <mergeCell ref="E1:E2"/>
    <mergeCell ref="H1:H2"/>
    <mergeCell ref="G1:G2"/>
    <mergeCell ref="F1:F2"/>
    <mergeCell ref="F13:G13"/>
    <mergeCell ref="O16:Q16"/>
    <mergeCell ref="O8:Q8"/>
    <mergeCell ref="Y119:Z119"/>
    <mergeCell ref="Y9:Z9"/>
    <mergeCell ref="Y36:Z36"/>
    <mergeCell ref="Y61:Z61"/>
    <mergeCell ref="Y17:Z17"/>
    <mergeCell ref="T98:W98"/>
    <mergeCell ref="T99:V99"/>
    <mergeCell ref="T115:W115"/>
    <mergeCell ref="T116:V116"/>
    <mergeCell ref="T92:W92"/>
    <mergeCell ref="T93:V93"/>
    <mergeCell ref="T85:W85"/>
    <mergeCell ref="T86:V86"/>
    <mergeCell ref="T71:W71"/>
    <mergeCell ref="T72:V72"/>
    <mergeCell ref="T79:W79"/>
    <mergeCell ref="F85:G85"/>
    <mergeCell ref="F91:G91"/>
    <mergeCell ref="O72:Q72"/>
    <mergeCell ref="O81:Q81"/>
    <mergeCell ref="O82:Q82"/>
    <mergeCell ref="D21:E21"/>
    <mergeCell ref="F21:G21"/>
    <mergeCell ref="O19:Q19"/>
    <mergeCell ref="O73:Q73"/>
    <mergeCell ref="O74:Q74"/>
    <mergeCell ref="O75:Q75"/>
    <mergeCell ref="O65:Q65"/>
    <mergeCell ref="O66:Q66"/>
    <mergeCell ref="O67:Q67"/>
    <mergeCell ref="O68:Q68"/>
    <mergeCell ref="O71:Q71"/>
    <mergeCell ref="O34:Q34"/>
    <mergeCell ref="N1:N2"/>
    <mergeCell ref="T80:V80"/>
    <mergeCell ref="T35:V35"/>
    <mergeCell ref="T57:W57"/>
    <mergeCell ref="T58:V58"/>
    <mergeCell ref="T64:W64"/>
    <mergeCell ref="T65:V65"/>
    <mergeCell ref="Y16:Z16"/>
    <mergeCell ref="Y57:Z57"/>
    <mergeCell ref="O80:Q80"/>
    <mergeCell ref="Y58:Z59"/>
    <mergeCell ref="Y71:Z71"/>
    <mergeCell ref="Y72:Z73"/>
    <mergeCell ref="Y79:Z79"/>
    <mergeCell ref="O9:Q9"/>
    <mergeCell ref="O10:Q10"/>
    <mergeCell ref="O11:Q11"/>
    <mergeCell ref="O17:Q17"/>
    <mergeCell ref="O18:Q18"/>
    <mergeCell ref="O7:Q7"/>
    <mergeCell ref="O15:Q15"/>
    <mergeCell ref="Y5:Z5"/>
    <mergeCell ref="Y80:Z81"/>
    <mergeCell ref="T7:W7"/>
  </mergeCells>
  <phoneticPr fontId="46" type="noConversion"/>
  <pageMargins left="0.23622047244094491" right="0.23622047244094491" top="0.55118110236220474" bottom="0.35433070866141736" header="0.31496062992125984" footer="0.31496062992125984"/>
  <pageSetup paperSize="9" scale="63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B8734-DE0A-44E9-B803-14BB996CBD98}">
  <sheetPr codeName="Feuil3">
    <pageSetUpPr fitToPage="1"/>
  </sheetPr>
  <dimension ref="A1:AR126"/>
  <sheetViews>
    <sheetView showGridLines="0" zoomScale="70" zoomScaleNormal="70" workbookViewId="0">
      <pane ySplit="2" topLeftCell="A3" activePane="bottomLeft" state="frozen"/>
      <selection activeCell="H4" sqref="H4"/>
      <selection pane="bottomLeft" activeCell="Q14" sqref="Q14"/>
    </sheetView>
  </sheetViews>
  <sheetFormatPr defaultColWidth="11.5546875" defaultRowHeight="21"/>
  <cols>
    <col min="1" max="1" width="11.44140625" style="3"/>
    <col min="2" max="2" width="27" customWidth="1"/>
    <col min="3" max="3" width="14.6640625" style="510" customWidth="1"/>
    <col min="4" max="4" width="23.5546875" style="511" customWidth="1"/>
    <col min="5" max="5" width="22.88671875" style="512" customWidth="1"/>
    <col min="6" max="6" width="11.44140625" style="513" customWidth="1"/>
    <col min="7" max="7" width="18.44140625" style="514" customWidth="1"/>
    <col min="8" max="8" width="11.44140625" style="515" customWidth="1"/>
    <col min="9" max="9" width="1.5546875" style="174" customWidth="1"/>
    <col min="10" max="10" width="11.44140625" style="90" customWidth="1"/>
    <col min="11" max="11" width="11.44140625" customWidth="1"/>
    <col min="12" max="12" width="13.33203125" customWidth="1"/>
    <col min="13" max="13" width="46.6640625" customWidth="1"/>
    <col min="14" max="14" width="14.33203125" style="1061" customWidth="1"/>
    <col min="15" max="15" width="12" style="90" customWidth="1"/>
    <col min="16" max="17" width="12" customWidth="1"/>
    <col min="18" max="18" width="13.5546875" customWidth="1"/>
    <col min="19" max="19" width="13.6640625" customWidth="1"/>
    <col min="27" max="27" width="14.109375" customWidth="1"/>
    <col min="28" max="28" width="6.6640625" customWidth="1"/>
    <col min="30" max="30" width="12.6640625" customWidth="1"/>
    <col min="39" max="39" width="64.5546875" bestFit="1" customWidth="1"/>
    <col min="40" max="44" width="14.6640625" customWidth="1"/>
  </cols>
  <sheetData>
    <row r="1" spans="1:23" ht="39" customHeight="1">
      <c r="A1" s="1311" t="s">
        <v>0</v>
      </c>
      <c r="B1" s="1309" t="s">
        <v>16</v>
      </c>
      <c r="C1" s="1309" t="s">
        <v>8</v>
      </c>
      <c r="D1" s="1314" t="s">
        <v>11</v>
      </c>
      <c r="E1" s="1316" t="s">
        <v>1</v>
      </c>
      <c r="F1" s="1309" t="s">
        <v>9</v>
      </c>
      <c r="G1" s="1318" t="s">
        <v>239</v>
      </c>
      <c r="H1" s="1320" t="s">
        <v>228</v>
      </c>
      <c r="I1" s="159"/>
      <c r="J1" s="1310" t="s">
        <v>222</v>
      </c>
      <c r="K1" s="1310"/>
      <c r="L1" s="1310"/>
      <c r="M1" s="1246" t="s">
        <v>14</v>
      </c>
      <c r="N1" s="1309" t="s">
        <v>535</v>
      </c>
    </row>
    <row r="2" spans="1:23" ht="39" customHeight="1" thickBot="1">
      <c r="A2" s="1312"/>
      <c r="B2" s="1313"/>
      <c r="C2" s="1313"/>
      <c r="D2" s="1315"/>
      <c r="E2" s="1317"/>
      <c r="F2" s="1313"/>
      <c r="G2" s="1319"/>
      <c r="H2" s="1321"/>
      <c r="I2" s="159"/>
      <c r="J2" s="91" t="s">
        <v>229</v>
      </c>
      <c r="K2" s="91" t="s">
        <v>13</v>
      </c>
      <c r="L2" s="91" t="s">
        <v>17</v>
      </c>
      <c r="M2" s="1307"/>
      <c r="N2" s="1309"/>
    </row>
    <row r="3" spans="1:23" ht="21.6" thickBot="1">
      <c r="A3" s="41">
        <v>174</v>
      </c>
      <c r="B3" s="42" t="s">
        <v>58</v>
      </c>
      <c r="C3" s="456"/>
      <c r="D3" s="457"/>
      <c r="E3" s="516" t="s">
        <v>885</v>
      </c>
      <c r="F3" s="455"/>
      <c r="G3" s="493" t="s">
        <v>35</v>
      </c>
      <c r="H3" s="494"/>
      <c r="I3" s="172"/>
      <c r="J3" s="50"/>
      <c r="K3" s="55">
        <v>30</v>
      </c>
      <c r="L3" s="94" t="s">
        <v>39</v>
      </c>
      <c r="M3" s="92"/>
      <c r="N3" s="1055" t="s">
        <v>538</v>
      </c>
      <c r="O3" s="101"/>
      <c r="P3" s="1308"/>
      <c r="Q3" s="1308"/>
      <c r="R3" s="1308"/>
      <c r="S3" s="1308"/>
    </row>
    <row r="4" spans="1:23" ht="27" customHeight="1">
      <c r="A4" s="89"/>
      <c r="B4" s="39" t="s">
        <v>836</v>
      </c>
      <c r="C4" s="496" t="s">
        <v>610</v>
      </c>
      <c r="D4" s="480" t="s">
        <v>625</v>
      </c>
      <c r="E4" s="483" t="s">
        <v>628</v>
      </c>
      <c r="F4" s="495"/>
      <c r="G4" s="468">
        <v>396</v>
      </c>
      <c r="H4" s="465">
        <f t="shared" ref="H4:H67" si="0">G4/0.2</f>
        <v>1980</v>
      </c>
      <c r="I4" s="167"/>
      <c r="J4" s="27">
        <v>1980</v>
      </c>
      <c r="K4" s="97">
        <v>66</v>
      </c>
      <c r="L4" s="98"/>
      <c r="M4" s="908"/>
      <c r="N4" s="1055" t="s">
        <v>864</v>
      </c>
      <c r="O4" s="101"/>
      <c r="P4" s="90"/>
      <c r="Q4" s="90"/>
      <c r="R4" s="90"/>
      <c r="S4" s="90"/>
    </row>
    <row r="5" spans="1:23" ht="27" customHeight="1">
      <c r="A5" s="64" t="s">
        <v>59</v>
      </c>
      <c r="B5" s="39" t="s">
        <v>836</v>
      </c>
      <c r="C5" s="496" t="s">
        <v>610</v>
      </c>
      <c r="D5" s="480" t="s">
        <v>626</v>
      </c>
      <c r="E5" s="483" t="s">
        <v>629</v>
      </c>
      <c r="F5" s="495"/>
      <c r="G5" s="468">
        <v>204</v>
      </c>
      <c r="H5" s="465">
        <f t="shared" si="0"/>
        <v>1020</v>
      </c>
      <c r="I5" s="167"/>
      <c r="J5" s="27">
        <v>1020</v>
      </c>
      <c r="K5" s="97">
        <v>34</v>
      </c>
      <c r="L5" s="98"/>
      <c r="M5" s="908"/>
      <c r="N5" s="1055"/>
      <c r="O5" s="347"/>
      <c r="P5" s="347"/>
      <c r="Q5" s="347"/>
      <c r="R5" s="400"/>
      <c r="S5" s="406"/>
      <c r="V5" s="401"/>
      <c r="W5" s="403"/>
    </row>
    <row r="6" spans="1:23">
      <c r="A6" s="48" t="s">
        <v>60</v>
      </c>
      <c r="B6" s="39" t="s">
        <v>836</v>
      </c>
      <c r="C6" s="496" t="s">
        <v>627</v>
      </c>
      <c r="D6" s="480" t="s">
        <v>514</v>
      </c>
      <c r="E6" s="483" t="s">
        <v>632</v>
      </c>
      <c r="F6" s="495"/>
      <c r="G6" s="468">
        <v>506</v>
      </c>
      <c r="H6" s="465">
        <f t="shared" si="0"/>
        <v>2530</v>
      </c>
      <c r="I6" s="167"/>
      <c r="J6" s="27">
        <v>2530</v>
      </c>
      <c r="K6" s="97">
        <v>84</v>
      </c>
      <c r="L6" s="98">
        <v>10</v>
      </c>
      <c r="M6" s="908"/>
      <c r="N6" s="1055"/>
      <c r="O6" s="347"/>
      <c r="P6" s="347"/>
      <c r="Q6" s="347"/>
      <c r="R6" s="400"/>
      <c r="S6" s="400"/>
      <c r="V6" s="401"/>
      <c r="W6" s="403"/>
    </row>
    <row r="7" spans="1:23" ht="27" customHeight="1">
      <c r="A7" s="99" t="s">
        <v>61</v>
      </c>
      <c r="B7" s="346"/>
      <c r="C7" s="496" t="s">
        <v>635</v>
      </c>
      <c r="D7" s="480" t="s">
        <v>878</v>
      </c>
      <c r="E7" s="483" t="s">
        <v>879</v>
      </c>
      <c r="F7" s="495"/>
      <c r="G7" s="468">
        <f>H7*0.2</f>
        <v>70.600000000000009</v>
      </c>
      <c r="H7" s="465">
        <v>353</v>
      </c>
      <c r="I7" s="167"/>
      <c r="J7" s="27">
        <v>990</v>
      </c>
      <c r="K7" s="97">
        <v>33</v>
      </c>
      <c r="L7" s="98"/>
      <c r="M7" s="908" t="s">
        <v>880</v>
      </c>
      <c r="N7" s="1055"/>
      <c r="O7" s="347">
        <v>154</v>
      </c>
      <c r="P7" s="347"/>
      <c r="Q7" s="347"/>
      <c r="R7" s="347"/>
      <c r="S7" s="347"/>
      <c r="T7" s="347"/>
      <c r="V7" s="401"/>
      <c r="W7" s="403"/>
    </row>
    <row r="8" spans="1:23">
      <c r="A8" s="99" t="s">
        <v>62</v>
      </c>
      <c r="B8" s="39"/>
      <c r="C8" s="496" t="s">
        <v>635</v>
      </c>
      <c r="D8" s="480" t="s">
        <v>624</v>
      </c>
      <c r="E8" s="483" t="s">
        <v>644</v>
      </c>
      <c r="F8" s="495"/>
      <c r="G8" s="468">
        <f>H8*0.2</f>
        <v>141.6</v>
      </c>
      <c r="H8" s="465">
        <v>708</v>
      </c>
      <c r="I8" s="167"/>
      <c r="J8" s="27">
        <v>990</v>
      </c>
      <c r="K8" s="97">
        <v>33</v>
      </c>
      <c r="L8" s="98"/>
      <c r="M8" s="908"/>
      <c r="N8" s="1055"/>
      <c r="O8" s="347"/>
      <c r="P8" s="347"/>
      <c r="Q8" s="347"/>
      <c r="R8" s="347"/>
      <c r="S8" s="347"/>
      <c r="T8" s="347"/>
      <c r="V8" s="401"/>
      <c r="W8" s="403"/>
    </row>
    <row r="9" spans="1:23" ht="22.5" customHeight="1">
      <c r="A9" s="99" t="s">
        <v>84</v>
      </c>
      <c r="B9" s="39"/>
      <c r="C9" s="496" t="s">
        <v>635</v>
      </c>
      <c r="D9" s="480" t="s">
        <v>638</v>
      </c>
      <c r="E9" s="483" t="s">
        <v>645</v>
      </c>
      <c r="F9" s="495"/>
      <c r="G9" s="468">
        <v>197</v>
      </c>
      <c r="H9" s="465">
        <f t="shared" ref="H9:H24" si="1">G9/0.2</f>
        <v>985</v>
      </c>
      <c r="I9" s="167"/>
      <c r="J9" s="27">
        <v>985</v>
      </c>
      <c r="K9" s="97">
        <v>32</v>
      </c>
      <c r="L9" s="98">
        <v>25</v>
      </c>
      <c r="M9" s="908"/>
      <c r="N9" s="1055"/>
      <c r="O9" s="347"/>
      <c r="P9" s="347"/>
      <c r="Q9" s="347"/>
      <c r="R9" s="347"/>
      <c r="S9" s="347"/>
      <c r="T9" s="347"/>
      <c r="V9" s="401"/>
      <c r="W9" s="403"/>
    </row>
    <row r="10" spans="1:23">
      <c r="A10" s="99"/>
      <c r="B10" s="346"/>
      <c r="C10" s="496" t="s">
        <v>646</v>
      </c>
      <c r="D10" s="480" t="s">
        <v>606</v>
      </c>
      <c r="E10" s="483" t="s">
        <v>649</v>
      </c>
      <c r="F10" s="495">
        <v>900</v>
      </c>
      <c r="G10" s="468">
        <v>402</v>
      </c>
      <c r="H10" s="465">
        <f t="shared" si="1"/>
        <v>2010</v>
      </c>
      <c r="I10" s="167"/>
      <c r="J10" s="27">
        <v>2010</v>
      </c>
      <c r="K10" s="97">
        <v>67</v>
      </c>
      <c r="L10" s="98"/>
      <c r="M10" s="908"/>
      <c r="N10" s="1055"/>
      <c r="O10" s="347"/>
      <c r="P10" s="347"/>
      <c r="Q10" s="347"/>
      <c r="R10" s="347"/>
      <c r="S10" s="347"/>
      <c r="T10" s="347"/>
      <c r="V10" s="401"/>
      <c r="W10" s="403"/>
    </row>
    <row r="11" spans="1:23">
      <c r="A11" s="99" t="s">
        <v>63</v>
      </c>
      <c r="B11" s="39"/>
      <c r="C11" s="496" t="s">
        <v>646</v>
      </c>
      <c r="D11" s="480" t="s">
        <v>607</v>
      </c>
      <c r="E11" s="483" t="s">
        <v>650</v>
      </c>
      <c r="F11" s="495"/>
      <c r="G11" s="468">
        <v>198</v>
      </c>
      <c r="H11" s="465">
        <f t="shared" si="1"/>
        <v>990</v>
      </c>
      <c r="I11" s="167"/>
      <c r="J11" s="27">
        <v>990</v>
      </c>
      <c r="K11" s="97">
        <v>33</v>
      </c>
      <c r="L11" s="98"/>
      <c r="M11" s="908"/>
      <c r="N11" s="1055"/>
      <c r="O11" s="347"/>
      <c r="P11" s="347"/>
      <c r="Q11" s="347"/>
      <c r="R11" s="347"/>
      <c r="S11" s="347"/>
      <c r="T11" s="347"/>
      <c r="U11" s="402"/>
      <c r="V11" s="401"/>
      <c r="W11" s="403"/>
    </row>
    <row r="12" spans="1:23">
      <c r="A12" s="99"/>
      <c r="B12" s="39"/>
      <c r="C12" s="496" t="s">
        <v>646</v>
      </c>
      <c r="D12" s="480" t="s">
        <v>608</v>
      </c>
      <c r="E12" s="483" t="s">
        <v>651</v>
      </c>
      <c r="F12" s="495">
        <v>600</v>
      </c>
      <c r="G12" s="468">
        <v>198</v>
      </c>
      <c r="H12" s="465">
        <f t="shared" si="1"/>
        <v>990</v>
      </c>
      <c r="I12" s="167"/>
      <c r="J12" s="27">
        <v>990</v>
      </c>
      <c r="K12" s="97">
        <v>33</v>
      </c>
      <c r="L12" s="98"/>
      <c r="M12" s="908"/>
      <c r="N12" s="1055"/>
      <c r="O12" s="347"/>
      <c r="P12" s="347"/>
      <c r="Q12" s="347"/>
      <c r="R12" s="347"/>
      <c r="S12" s="347"/>
      <c r="T12" s="347"/>
      <c r="U12" s="402"/>
      <c r="V12" s="401"/>
      <c r="W12" s="403"/>
    </row>
    <row r="13" spans="1:23">
      <c r="A13" s="99" t="s">
        <v>64</v>
      </c>
      <c r="B13" s="346"/>
      <c r="C13" s="496" t="s">
        <v>653</v>
      </c>
      <c r="D13" s="480" t="s">
        <v>652</v>
      </c>
      <c r="E13" s="483" t="s">
        <v>658</v>
      </c>
      <c r="F13" s="495"/>
      <c r="G13" s="468">
        <f>694*0.2</f>
        <v>138.80000000000001</v>
      </c>
      <c r="H13" s="465">
        <f t="shared" si="1"/>
        <v>694</v>
      </c>
      <c r="I13" s="167"/>
      <c r="J13" s="27">
        <v>997</v>
      </c>
      <c r="K13" s="97">
        <v>33</v>
      </c>
      <c r="L13" s="98">
        <v>7</v>
      </c>
      <c r="M13" s="908">
        <v>694</v>
      </c>
      <c r="N13" s="1055"/>
      <c r="O13" s="347"/>
      <c r="P13" s="347"/>
      <c r="Q13" s="347"/>
      <c r="R13" s="347"/>
      <c r="S13" s="347"/>
      <c r="T13" s="347"/>
      <c r="U13" s="145"/>
      <c r="V13" s="401"/>
      <c r="W13" s="403"/>
    </row>
    <row r="14" spans="1:23">
      <c r="A14" s="99" t="s">
        <v>65</v>
      </c>
      <c r="B14" s="39"/>
      <c r="C14" s="496" t="s">
        <v>654</v>
      </c>
      <c r="D14" s="480" t="s">
        <v>659</v>
      </c>
      <c r="E14" s="483" t="s">
        <v>661</v>
      </c>
      <c r="F14" s="495">
        <v>1500</v>
      </c>
      <c r="G14" s="468">
        <v>570</v>
      </c>
      <c r="H14" s="465">
        <f t="shared" si="1"/>
        <v>2850</v>
      </c>
      <c r="I14" s="167"/>
      <c r="J14" s="27">
        <v>2850</v>
      </c>
      <c r="K14" s="97">
        <v>95</v>
      </c>
      <c r="L14" s="98"/>
      <c r="M14" s="908"/>
      <c r="N14" s="1055"/>
      <c r="O14" s="347"/>
      <c r="P14" s="347"/>
      <c r="Q14" s="347"/>
      <c r="R14" s="347"/>
      <c r="S14" s="347"/>
      <c r="T14" s="347"/>
      <c r="U14" s="145"/>
      <c r="V14" s="401"/>
      <c r="W14" s="403"/>
    </row>
    <row r="15" spans="1:23" ht="30" customHeight="1">
      <c r="A15" s="99" t="s">
        <v>66</v>
      </c>
      <c r="B15" s="39"/>
      <c r="C15" s="496" t="s">
        <v>654</v>
      </c>
      <c r="D15" s="480" t="s">
        <v>660</v>
      </c>
      <c r="E15" s="483" t="s">
        <v>672</v>
      </c>
      <c r="F15" s="495"/>
      <c r="G15" s="468">
        <v>198</v>
      </c>
      <c r="H15" s="465">
        <f t="shared" si="1"/>
        <v>990</v>
      </c>
      <c r="I15" s="167"/>
      <c r="J15" s="27">
        <v>990</v>
      </c>
      <c r="K15" s="97">
        <v>33</v>
      </c>
      <c r="L15" s="98"/>
      <c r="M15" s="908"/>
      <c r="N15" s="1055"/>
      <c r="O15" s="347"/>
      <c r="P15" s="347"/>
      <c r="Q15" s="347"/>
      <c r="R15" s="347"/>
      <c r="S15" s="347"/>
      <c r="T15" s="347"/>
      <c r="V15" s="404"/>
      <c r="W15" s="403"/>
    </row>
    <row r="16" spans="1:23">
      <c r="A16" s="99" t="s">
        <v>67</v>
      </c>
      <c r="B16" s="346" t="s">
        <v>662</v>
      </c>
      <c r="C16" s="496" t="s">
        <v>654</v>
      </c>
      <c r="D16" s="480" t="s">
        <v>553</v>
      </c>
      <c r="E16" s="483" t="s">
        <v>674</v>
      </c>
      <c r="F16" s="495"/>
      <c r="G16" s="468">
        <v>198</v>
      </c>
      <c r="H16" s="465">
        <f t="shared" si="1"/>
        <v>990</v>
      </c>
      <c r="I16" s="167"/>
      <c r="J16" s="27">
        <v>990</v>
      </c>
      <c r="K16" s="97">
        <v>33</v>
      </c>
      <c r="L16" s="98"/>
      <c r="M16" s="908"/>
      <c r="N16" s="1055"/>
      <c r="O16" s="347"/>
      <c r="P16" s="347"/>
      <c r="Q16" s="347"/>
      <c r="R16" s="347"/>
      <c r="S16" s="347"/>
      <c r="T16" s="347"/>
      <c r="U16" s="347"/>
      <c r="V16" s="401"/>
      <c r="W16" s="403"/>
    </row>
    <row r="17" spans="1:23">
      <c r="A17" s="99" t="s">
        <v>68</v>
      </c>
      <c r="B17" s="39"/>
      <c r="C17" s="496" t="s">
        <v>654</v>
      </c>
      <c r="D17" s="480" t="s">
        <v>668</v>
      </c>
      <c r="E17" s="483" t="s">
        <v>675</v>
      </c>
      <c r="F17" s="495">
        <v>1500</v>
      </c>
      <c r="G17" s="468">
        <v>396</v>
      </c>
      <c r="H17" s="465">
        <f t="shared" si="1"/>
        <v>1980</v>
      </c>
      <c r="I17" s="167"/>
      <c r="J17" s="27">
        <v>1980</v>
      </c>
      <c r="K17" s="97">
        <v>66</v>
      </c>
      <c r="L17" s="98"/>
      <c r="M17" s="908"/>
      <c r="N17" s="1055"/>
      <c r="O17" s="347"/>
      <c r="P17" s="347"/>
      <c r="Q17" s="347"/>
      <c r="R17" s="347"/>
      <c r="S17" s="347"/>
      <c r="T17" s="347"/>
      <c r="U17" s="347"/>
      <c r="V17" s="401"/>
      <c r="W17" s="403"/>
    </row>
    <row r="18" spans="1:23">
      <c r="A18" s="99" t="s">
        <v>69</v>
      </c>
      <c r="B18" s="346"/>
      <c r="C18" s="496" t="s">
        <v>654</v>
      </c>
      <c r="D18" s="480" t="s">
        <v>673</v>
      </c>
      <c r="E18" s="483" t="s">
        <v>677</v>
      </c>
      <c r="F18" s="495"/>
      <c r="G18" s="468">
        <v>396</v>
      </c>
      <c r="H18" s="465">
        <f t="shared" si="1"/>
        <v>1980</v>
      </c>
      <c r="I18" s="167"/>
      <c r="J18" s="27">
        <v>1980</v>
      </c>
      <c r="K18" s="97">
        <v>66</v>
      </c>
      <c r="L18" s="98"/>
      <c r="M18" s="908"/>
      <c r="N18" s="1055"/>
      <c r="O18" s="347"/>
      <c r="P18" s="347"/>
      <c r="Q18" s="347"/>
      <c r="R18" s="347"/>
      <c r="S18" s="347"/>
      <c r="T18" s="347"/>
      <c r="V18" s="401"/>
      <c r="W18" s="403"/>
    </row>
    <row r="19" spans="1:23">
      <c r="A19" s="99"/>
      <c r="B19" s="39"/>
      <c r="C19" s="496" t="s">
        <v>654</v>
      </c>
      <c r="D19" s="480" t="s">
        <v>669</v>
      </c>
      <c r="E19" s="483" t="s">
        <v>678</v>
      </c>
      <c r="F19" s="495"/>
      <c r="G19" s="468">
        <v>206.4</v>
      </c>
      <c r="H19" s="465">
        <f t="shared" si="1"/>
        <v>1032</v>
      </c>
      <c r="I19" s="167"/>
      <c r="J19" s="27">
        <v>1032</v>
      </c>
      <c r="K19" s="97">
        <v>34</v>
      </c>
      <c r="L19" s="98">
        <v>12</v>
      </c>
      <c r="M19" s="908"/>
      <c r="N19" s="1055"/>
      <c r="O19" s="347"/>
      <c r="P19" s="347"/>
      <c r="Q19" s="347"/>
      <c r="R19" s="347"/>
      <c r="S19" s="347"/>
      <c r="T19" s="347"/>
      <c r="V19" s="401"/>
    </row>
    <row r="20" spans="1:23">
      <c r="A20" s="99" t="s">
        <v>71</v>
      </c>
      <c r="B20" s="39"/>
      <c r="C20" s="496" t="s">
        <v>701</v>
      </c>
      <c r="D20" s="480" t="s">
        <v>702</v>
      </c>
      <c r="E20" s="483" t="s">
        <v>703</v>
      </c>
      <c r="F20" s="495"/>
      <c r="G20" s="468">
        <v>198</v>
      </c>
      <c r="H20" s="465">
        <f t="shared" si="1"/>
        <v>990</v>
      </c>
      <c r="I20" s="167"/>
      <c r="J20" s="27">
        <v>990</v>
      </c>
      <c r="K20" s="97">
        <v>33</v>
      </c>
      <c r="L20" s="98"/>
      <c r="M20" s="908"/>
      <c r="N20" s="1055"/>
      <c r="O20" s="347"/>
      <c r="P20" s="347"/>
      <c r="Q20" s="347"/>
      <c r="R20" s="347"/>
      <c r="S20" s="347"/>
      <c r="T20" s="347"/>
      <c r="V20" s="401"/>
    </row>
    <row r="21" spans="1:23">
      <c r="A21" s="99" t="s">
        <v>72</v>
      </c>
      <c r="B21" s="346"/>
      <c r="C21" s="496" t="s">
        <v>701</v>
      </c>
      <c r="D21" s="480" t="s">
        <v>704</v>
      </c>
      <c r="E21" s="483" t="s">
        <v>705</v>
      </c>
      <c r="F21" s="495"/>
      <c r="G21" s="468">
        <v>198</v>
      </c>
      <c r="H21" s="465">
        <f t="shared" si="1"/>
        <v>990</v>
      </c>
      <c r="I21" s="167"/>
      <c r="J21" s="27">
        <v>990</v>
      </c>
      <c r="K21" s="97">
        <v>33</v>
      </c>
      <c r="L21" s="98"/>
      <c r="M21" s="908"/>
      <c r="N21" s="1055"/>
      <c r="O21" s="347"/>
      <c r="P21" s="347"/>
      <c r="Q21" s="347"/>
      <c r="R21" s="347"/>
      <c r="S21" s="347"/>
      <c r="T21" s="347"/>
      <c r="V21" s="401"/>
    </row>
    <row r="22" spans="1:23">
      <c r="A22" s="99" t="s">
        <v>73</v>
      </c>
      <c r="B22" s="39"/>
      <c r="C22" s="496" t="s">
        <v>701</v>
      </c>
      <c r="D22" s="480" t="s">
        <v>706</v>
      </c>
      <c r="E22" s="483" t="s">
        <v>707</v>
      </c>
      <c r="F22" s="495"/>
      <c r="G22" s="468">
        <v>198</v>
      </c>
      <c r="H22" s="465">
        <f t="shared" si="1"/>
        <v>990</v>
      </c>
      <c r="I22" s="167"/>
      <c r="J22" s="27">
        <v>990</v>
      </c>
      <c r="K22" s="97">
        <v>33</v>
      </c>
      <c r="L22" s="98"/>
      <c r="M22" s="908"/>
      <c r="N22" s="1055"/>
      <c r="O22" s="347"/>
      <c r="P22" s="347"/>
      <c r="Q22" s="347"/>
      <c r="R22" s="347"/>
      <c r="S22" s="347"/>
      <c r="T22" s="347"/>
      <c r="V22" s="401"/>
    </row>
    <row r="23" spans="1:23" ht="28.5" customHeight="1">
      <c r="A23" s="99" t="s">
        <v>74</v>
      </c>
      <c r="B23" s="346"/>
      <c r="C23" s="496" t="s">
        <v>701</v>
      </c>
      <c r="D23" s="480" t="s">
        <v>708</v>
      </c>
      <c r="E23" s="483" t="s">
        <v>709</v>
      </c>
      <c r="F23" s="495"/>
      <c r="G23" s="468">
        <v>198</v>
      </c>
      <c r="H23" s="465">
        <f t="shared" si="1"/>
        <v>990</v>
      </c>
      <c r="I23" s="167"/>
      <c r="J23" s="27">
        <v>990</v>
      </c>
      <c r="K23" s="97">
        <v>33</v>
      </c>
      <c r="L23" s="98"/>
      <c r="M23" s="908"/>
      <c r="N23" s="1055"/>
      <c r="O23" s="347"/>
    </row>
    <row r="24" spans="1:23" ht="28.5" customHeight="1">
      <c r="A24" s="99" t="s">
        <v>75</v>
      </c>
      <c r="B24" s="39"/>
      <c r="C24" s="496" t="s">
        <v>701</v>
      </c>
      <c r="D24" s="480" t="s">
        <v>710</v>
      </c>
      <c r="E24" s="483" t="s">
        <v>711</v>
      </c>
      <c r="F24" s="495"/>
      <c r="G24" s="468">
        <v>198</v>
      </c>
      <c r="H24" s="465">
        <f t="shared" si="1"/>
        <v>990</v>
      </c>
      <c r="I24" s="167"/>
      <c r="J24" s="27">
        <v>990</v>
      </c>
      <c r="K24" s="97">
        <v>33</v>
      </c>
      <c r="L24" s="98"/>
      <c r="M24" s="908"/>
      <c r="N24" s="1055"/>
    </row>
    <row r="25" spans="1:23" ht="28.5" customHeight="1">
      <c r="A25" s="99" t="s">
        <v>76</v>
      </c>
      <c r="B25" s="346"/>
      <c r="C25" s="496" t="s">
        <v>701</v>
      </c>
      <c r="D25" s="480" t="s">
        <v>712</v>
      </c>
      <c r="E25" s="483" t="s">
        <v>713</v>
      </c>
      <c r="F25" s="495"/>
      <c r="G25" s="468">
        <f>H25*0.2</f>
        <v>375</v>
      </c>
      <c r="H25" s="465">
        <v>1875</v>
      </c>
      <c r="I25" s="167"/>
      <c r="J25" s="27">
        <v>2970</v>
      </c>
      <c r="K25" s="97">
        <v>99</v>
      </c>
      <c r="L25" s="98"/>
      <c r="M25" s="908"/>
      <c r="N25" s="1055"/>
    </row>
    <row r="26" spans="1:23" ht="28.5" customHeight="1">
      <c r="A26" s="99" t="s">
        <v>77</v>
      </c>
      <c r="B26" s="39"/>
      <c r="C26" s="496" t="s">
        <v>701</v>
      </c>
      <c r="D26" s="480" t="s">
        <v>714</v>
      </c>
      <c r="E26" s="483" t="s">
        <v>715</v>
      </c>
      <c r="F26" s="495"/>
      <c r="G26" s="468">
        <v>198</v>
      </c>
      <c r="H26" s="465">
        <f t="shared" ref="H26:H38" si="2">G26/0.2</f>
        <v>990</v>
      </c>
      <c r="I26" s="167"/>
      <c r="J26" s="27">
        <v>990</v>
      </c>
      <c r="K26" s="97">
        <v>33</v>
      </c>
      <c r="L26" s="98"/>
      <c r="M26" s="908"/>
      <c r="N26" s="1055"/>
    </row>
    <row r="27" spans="1:23">
      <c r="A27" s="99" t="s">
        <v>78</v>
      </c>
      <c r="B27" s="39" t="s">
        <v>740</v>
      </c>
      <c r="C27" s="496" t="s">
        <v>701</v>
      </c>
      <c r="D27" s="480" t="s">
        <v>716</v>
      </c>
      <c r="E27" s="483" t="s">
        <v>717</v>
      </c>
      <c r="F27" s="495"/>
      <c r="G27" s="468">
        <v>198</v>
      </c>
      <c r="H27" s="465">
        <f t="shared" si="2"/>
        <v>990</v>
      </c>
      <c r="I27" s="167"/>
      <c r="J27" s="27">
        <v>990</v>
      </c>
      <c r="K27" s="97">
        <v>33</v>
      </c>
      <c r="L27" s="98"/>
      <c r="M27" s="908"/>
      <c r="N27" s="1055"/>
    </row>
    <row r="28" spans="1:23">
      <c r="A28" s="99" t="s">
        <v>79</v>
      </c>
      <c r="B28" s="346" t="s">
        <v>740</v>
      </c>
      <c r="C28" s="496" t="s">
        <v>701</v>
      </c>
      <c r="D28" s="480" t="s">
        <v>718</v>
      </c>
      <c r="E28" s="483" t="s">
        <v>719</v>
      </c>
      <c r="F28" s="495"/>
      <c r="G28" s="468">
        <v>396</v>
      </c>
      <c r="H28" s="465">
        <f t="shared" si="2"/>
        <v>1980</v>
      </c>
      <c r="I28" s="167"/>
      <c r="J28" s="27">
        <v>1980</v>
      </c>
      <c r="K28" s="97">
        <v>66</v>
      </c>
      <c r="L28" s="98"/>
      <c r="M28" s="908"/>
      <c r="N28" s="1055"/>
    </row>
    <row r="29" spans="1:23" ht="24.75" customHeight="1">
      <c r="A29" s="99" t="s">
        <v>70</v>
      </c>
      <c r="B29" s="39" t="s">
        <v>740</v>
      </c>
      <c r="C29" s="496" t="s">
        <v>701</v>
      </c>
      <c r="D29" s="480" t="s">
        <v>720</v>
      </c>
      <c r="E29" s="483" t="s">
        <v>721</v>
      </c>
      <c r="F29" s="495"/>
      <c r="G29" s="468">
        <v>210</v>
      </c>
      <c r="H29" s="465">
        <f t="shared" si="2"/>
        <v>1050</v>
      </c>
      <c r="I29" s="167"/>
      <c r="J29" s="27">
        <v>1050</v>
      </c>
      <c r="K29" s="97">
        <v>35</v>
      </c>
      <c r="L29" s="98"/>
      <c r="M29" s="908"/>
      <c r="N29" s="1055"/>
    </row>
    <row r="30" spans="1:23">
      <c r="A30" s="100" t="s">
        <v>80</v>
      </c>
      <c r="B30" s="346"/>
      <c r="C30" s="496" t="s">
        <v>701</v>
      </c>
      <c r="D30" s="480" t="s">
        <v>722</v>
      </c>
      <c r="E30" s="483" t="s">
        <v>723</v>
      </c>
      <c r="F30" s="495"/>
      <c r="G30" s="468">
        <v>214.60000000000002</v>
      </c>
      <c r="H30" s="465">
        <f t="shared" si="2"/>
        <v>1073</v>
      </c>
      <c r="I30" s="167"/>
      <c r="J30" s="27">
        <v>1073</v>
      </c>
      <c r="K30" s="97">
        <v>35</v>
      </c>
      <c r="L30" s="98">
        <v>23</v>
      </c>
      <c r="M30" s="908"/>
      <c r="N30" s="1055"/>
    </row>
    <row r="31" spans="1:23">
      <c r="A31" s="100" t="s">
        <v>81</v>
      </c>
      <c r="B31" s="39" t="s">
        <v>740</v>
      </c>
      <c r="C31" s="496" t="s">
        <v>695</v>
      </c>
      <c r="D31" s="480" t="s">
        <v>702</v>
      </c>
      <c r="E31" s="483" t="s">
        <v>724</v>
      </c>
      <c r="F31" s="495">
        <v>900</v>
      </c>
      <c r="G31" s="468">
        <v>198</v>
      </c>
      <c r="H31" s="465">
        <f t="shared" si="2"/>
        <v>990</v>
      </c>
      <c r="I31" s="167"/>
      <c r="J31" s="27">
        <v>990</v>
      </c>
      <c r="K31" s="97">
        <v>33</v>
      </c>
      <c r="L31" s="98"/>
      <c r="M31" s="908"/>
      <c r="N31" s="1055"/>
    </row>
    <row r="32" spans="1:23">
      <c r="A32" s="100" t="s">
        <v>82</v>
      </c>
      <c r="B32" s="39"/>
      <c r="C32" s="496" t="s">
        <v>695</v>
      </c>
      <c r="D32" s="480" t="s">
        <v>704</v>
      </c>
      <c r="E32" s="483" t="s">
        <v>725</v>
      </c>
      <c r="F32" s="495"/>
      <c r="G32" s="468">
        <v>198</v>
      </c>
      <c r="H32" s="465">
        <f t="shared" si="2"/>
        <v>990</v>
      </c>
      <c r="I32" s="167"/>
      <c r="J32" s="27">
        <v>990</v>
      </c>
      <c r="K32" s="97">
        <v>33</v>
      </c>
      <c r="L32" s="98"/>
      <c r="M32" s="908"/>
      <c r="N32" s="1055"/>
    </row>
    <row r="33" spans="1:16">
      <c r="A33" s="99" t="s">
        <v>83</v>
      </c>
      <c r="B33" s="346" t="s">
        <v>740</v>
      </c>
      <c r="C33" s="496" t="s">
        <v>695</v>
      </c>
      <c r="D33" s="480" t="s">
        <v>706</v>
      </c>
      <c r="E33" s="483" t="s">
        <v>726</v>
      </c>
      <c r="F33" s="495"/>
      <c r="G33" s="468">
        <v>198</v>
      </c>
      <c r="H33" s="465">
        <f t="shared" si="2"/>
        <v>990</v>
      </c>
      <c r="I33" s="167"/>
      <c r="J33" s="27">
        <v>990</v>
      </c>
      <c r="K33" s="97">
        <v>33</v>
      </c>
      <c r="L33" s="98"/>
      <c r="M33" s="908"/>
      <c r="N33" s="1055"/>
    </row>
    <row r="34" spans="1:16">
      <c r="A34" s="99"/>
      <c r="B34" s="39"/>
      <c r="C34" s="496" t="s">
        <v>695</v>
      </c>
      <c r="D34" s="480" t="s">
        <v>708</v>
      </c>
      <c r="E34" s="483" t="s">
        <v>727</v>
      </c>
      <c r="F34" s="495">
        <v>900</v>
      </c>
      <c r="G34" s="468">
        <v>198</v>
      </c>
      <c r="H34" s="465">
        <f t="shared" si="2"/>
        <v>990</v>
      </c>
      <c r="I34" s="167"/>
      <c r="J34" s="27">
        <v>990</v>
      </c>
      <c r="K34" s="97">
        <v>33</v>
      </c>
      <c r="L34" s="98"/>
      <c r="M34" s="908"/>
      <c r="N34" s="1055"/>
    </row>
    <row r="35" spans="1:16">
      <c r="A35" s="39"/>
      <c r="B35" s="346"/>
      <c r="C35" s="496" t="s">
        <v>695</v>
      </c>
      <c r="D35" s="480" t="s">
        <v>728</v>
      </c>
      <c r="E35" s="483" t="s">
        <v>729</v>
      </c>
      <c r="F35" s="495"/>
      <c r="G35" s="468">
        <v>400.8</v>
      </c>
      <c r="H35" s="465">
        <f t="shared" si="2"/>
        <v>2004</v>
      </c>
      <c r="I35" s="167"/>
      <c r="J35" s="27">
        <v>2004</v>
      </c>
      <c r="K35" s="97">
        <v>66</v>
      </c>
      <c r="L35" s="98">
        <v>24</v>
      </c>
      <c r="M35" s="908"/>
      <c r="N35" s="1055"/>
    </row>
    <row r="36" spans="1:16">
      <c r="A36" s="99"/>
      <c r="B36" s="39"/>
      <c r="C36" s="496" t="s">
        <v>695</v>
      </c>
      <c r="D36" s="480" t="s">
        <v>730</v>
      </c>
      <c r="E36" s="483" t="s">
        <v>731</v>
      </c>
      <c r="F36" s="495">
        <v>1500</v>
      </c>
      <c r="G36" s="468">
        <v>200</v>
      </c>
      <c r="H36" s="465">
        <f t="shared" si="2"/>
        <v>1000</v>
      </c>
      <c r="I36" s="167"/>
      <c r="J36" s="27">
        <v>1000</v>
      </c>
      <c r="K36" s="97">
        <v>33</v>
      </c>
      <c r="L36" s="98">
        <v>10</v>
      </c>
      <c r="M36" s="908"/>
      <c r="N36" s="1055"/>
    </row>
    <row r="37" spans="1:16">
      <c r="A37" s="99"/>
      <c r="B37" s="39"/>
      <c r="C37" s="496" t="s">
        <v>695</v>
      </c>
      <c r="D37" s="480" t="s">
        <v>732</v>
      </c>
      <c r="E37" s="483" t="s">
        <v>733</v>
      </c>
      <c r="F37" s="495"/>
      <c r="G37" s="468">
        <v>198</v>
      </c>
      <c r="H37" s="465">
        <f t="shared" si="2"/>
        <v>990</v>
      </c>
      <c r="I37" s="167"/>
      <c r="J37" s="27">
        <v>990</v>
      </c>
      <c r="K37" s="97">
        <v>33</v>
      </c>
      <c r="L37" s="98"/>
      <c r="M37" s="908"/>
      <c r="N37" s="1055"/>
      <c r="O37" s="344"/>
    </row>
    <row r="38" spans="1:16">
      <c r="A38" s="99"/>
      <c r="B38" s="346"/>
      <c r="C38" s="496" t="s">
        <v>695</v>
      </c>
      <c r="D38" s="480" t="s">
        <v>734</v>
      </c>
      <c r="E38" s="483" t="s">
        <v>735</v>
      </c>
      <c r="F38" s="495"/>
      <c r="G38" s="468">
        <v>198</v>
      </c>
      <c r="H38" s="465">
        <f t="shared" si="2"/>
        <v>990</v>
      </c>
      <c r="I38" s="167"/>
      <c r="J38" s="27">
        <v>990</v>
      </c>
      <c r="K38" s="97">
        <v>33</v>
      </c>
      <c r="L38" s="98"/>
      <c r="M38" s="908"/>
      <c r="N38" s="1055"/>
    </row>
    <row r="39" spans="1:16">
      <c r="A39" s="99"/>
      <c r="B39" s="39"/>
      <c r="C39" s="496" t="s">
        <v>695</v>
      </c>
      <c r="D39" s="480" t="s">
        <v>736</v>
      </c>
      <c r="E39" s="483" t="s">
        <v>737</v>
      </c>
      <c r="F39" s="495"/>
      <c r="G39" s="468">
        <f>H39*0.2</f>
        <v>192.20000000000002</v>
      </c>
      <c r="H39" s="465">
        <v>961</v>
      </c>
      <c r="I39" s="167"/>
      <c r="J39" s="27">
        <v>2361</v>
      </c>
      <c r="K39" s="97">
        <v>78</v>
      </c>
      <c r="L39" s="98">
        <v>21</v>
      </c>
      <c r="M39" s="908"/>
      <c r="N39" s="1055"/>
    </row>
    <row r="40" spans="1:16">
      <c r="A40" s="99"/>
      <c r="B40" s="346"/>
      <c r="C40" s="496" t="s">
        <v>738</v>
      </c>
      <c r="D40" s="480" t="s">
        <v>739</v>
      </c>
      <c r="E40" s="483" t="s">
        <v>759</v>
      </c>
      <c r="F40" s="495">
        <v>900</v>
      </c>
      <c r="G40" s="468">
        <f t="shared" ref="G40:G61" si="3">J40*0.2</f>
        <v>597.4</v>
      </c>
      <c r="H40" s="465">
        <f t="shared" ref="H40:H54" si="4">G40/0.2</f>
        <v>2986.9999999999995</v>
      </c>
      <c r="I40" s="167"/>
      <c r="J40" s="27">
        <f t="shared" ref="J40:J61" si="5">(K40*$K$3)+L40</f>
        <v>2987</v>
      </c>
      <c r="K40" s="97">
        <f>33+34+32</f>
        <v>99</v>
      </c>
      <c r="L40" s="98">
        <v>17</v>
      </c>
      <c r="M40" s="908"/>
      <c r="N40" s="1055"/>
    </row>
    <row r="41" spans="1:16">
      <c r="A41" s="99"/>
      <c r="B41" s="39"/>
      <c r="C41" s="496" t="s">
        <v>755</v>
      </c>
      <c r="D41" s="480" t="s">
        <v>763</v>
      </c>
      <c r="E41" s="483" t="s">
        <v>764</v>
      </c>
      <c r="F41" s="495">
        <v>1200</v>
      </c>
      <c r="G41" s="468">
        <f t="shared" si="3"/>
        <v>594</v>
      </c>
      <c r="H41" s="465">
        <f t="shared" si="4"/>
        <v>2970</v>
      </c>
      <c r="I41" s="167"/>
      <c r="J41" s="27">
        <f t="shared" si="5"/>
        <v>2970</v>
      </c>
      <c r="K41" s="97">
        <f>33+33+33</f>
        <v>99</v>
      </c>
      <c r="L41" s="98"/>
      <c r="M41" s="908"/>
      <c r="N41" s="1055"/>
    </row>
    <row r="42" spans="1:16">
      <c r="A42" s="99"/>
      <c r="B42" s="39"/>
      <c r="C42" s="496" t="s">
        <v>755</v>
      </c>
      <c r="D42" s="480" t="s">
        <v>765</v>
      </c>
      <c r="E42" s="483" t="s">
        <v>772</v>
      </c>
      <c r="F42" s="495"/>
      <c r="G42" s="468">
        <f t="shared" si="3"/>
        <v>198</v>
      </c>
      <c r="H42" s="465">
        <f t="shared" si="4"/>
        <v>990</v>
      </c>
      <c r="I42" s="167"/>
      <c r="J42" s="27">
        <f t="shared" si="5"/>
        <v>990</v>
      </c>
      <c r="K42" s="97">
        <v>33</v>
      </c>
      <c r="L42" s="98"/>
      <c r="M42" s="908"/>
      <c r="N42" s="1055"/>
    </row>
    <row r="43" spans="1:16">
      <c r="A43" s="99"/>
      <c r="B43" s="346"/>
      <c r="C43" s="496" t="s">
        <v>755</v>
      </c>
      <c r="D43" s="480" t="s">
        <v>766</v>
      </c>
      <c r="E43" s="483" t="s">
        <v>774</v>
      </c>
      <c r="F43" s="495">
        <v>1200</v>
      </c>
      <c r="G43" s="468">
        <f t="shared" si="3"/>
        <v>396</v>
      </c>
      <c r="H43" s="465">
        <f t="shared" si="4"/>
        <v>1980</v>
      </c>
      <c r="I43" s="167"/>
      <c r="J43" s="27">
        <f t="shared" si="5"/>
        <v>1980</v>
      </c>
      <c r="K43" s="97">
        <f>33+33</f>
        <v>66</v>
      </c>
      <c r="L43" s="98"/>
      <c r="M43" s="908"/>
      <c r="N43" s="1055"/>
    </row>
    <row r="44" spans="1:16" ht="30" customHeight="1">
      <c r="A44" s="99"/>
      <c r="B44" s="39"/>
      <c r="C44" s="496" t="s">
        <v>755</v>
      </c>
      <c r="D44" s="480" t="s">
        <v>773</v>
      </c>
      <c r="E44" s="483" t="s">
        <v>779</v>
      </c>
      <c r="F44" s="495"/>
      <c r="G44" s="468">
        <f t="shared" si="3"/>
        <v>198</v>
      </c>
      <c r="H44" s="465">
        <f t="shared" si="4"/>
        <v>990</v>
      </c>
      <c r="I44" s="167"/>
      <c r="J44" s="27">
        <f t="shared" si="5"/>
        <v>990</v>
      </c>
      <c r="K44" s="97">
        <v>33</v>
      </c>
      <c r="L44" s="98"/>
      <c r="M44" s="2"/>
      <c r="N44" s="1055"/>
      <c r="O44" s="344"/>
    </row>
    <row r="45" spans="1:16">
      <c r="A45" s="99"/>
      <c r="B45" s="346"/>
      <c r="C45" s="496" t="s">
        <v>755</v>
      </c>
      <c r="D45" s="480" t="s">
        <v>767</v>
      </c>
      <c r="E45" s="483" t="s">
        <v>780</v>
      </c>
      <c r="F45" s="495"/>
      <c r="G45" s="468">
        <f t="shared" si="3"/>
        <v>215</v>
      </c>
      <c r="H45" s="465">
        <f t="shared" si="4"/>
        <v>1075</v>
      </c>
      <c r="I45" s="167"/>
      <c r="J45" s="27">
        <f t="shared" si="5"/>
        <v>1075</v>
      </c>
      <c r="K45" s="97">
        <v>35</v>
      </c>
      <c r="L45" s="98">
        <v>25</v>
      </c>
      <c r="M45" s="908"/>
      <c r="N45" s="1055"/>
    </row>
    <row r="46" spans="1:16">
      <c r="A46" s="99"/>
      <c r="B46" s="346"/>
      <c r="C46" s="496" t="s">
        <v>778</v>
      </c>
      <c r="D46" s="480" t="s">
        <v>777</v>
      </c>
      <c r="E46" s="483" t="s">
        <v>783</v>
      </c>
      <c r="F46" s="495">
        <v>600</v>
      </c>
      <c r="G46" s="468">
        <f t="shared" si="3"/>
        <v>204</v>
      </c>
      <c r="H46" s="465">
        <f t="shared" si="4"/>
        <v>1020</v>
      </c>
      <c r="I46" s="167"/>
      <c r="J46" s="27">
        <f t="shared" si="5"/>
        <v>1020</v>
      </c>
      <c r="K46" s="97">
        <v>34</v>
      </c>
      <c r="L46" s="98"/>
      <c r="M46" s="908"/>
      <c r="N46" s="1055"/>
    </row>
    <row r="47" spans="1:16">
      <c r="A47" s="99"/>
      <c r="B47" s="39"/>
      <c r="C47" s="496" t="s">
        <v>778</v>
      </c>
      <c r="D47" s="480" t="s">
        <v>669</v>
      </c>
      <c r="E47" s="483" t="s">
        <v>784</v>
      </c>
      <c r="F47" s="495"/>
      <c r="G47" s="468">
        <f t="shared" si="3"/>
        <v>196.20000000000002</v>
      </c>
      <c r="H47" s="465">
        <f t="shared" si="4"/>
        <v>981</v>
      </c>
      <c r="I47" s="167"/>
      <c r="J47" s="27">
        <f t="shared" si="5"/>
        <v>981</v>
      </c>
      <c r="K47" s="97">
        <v>32</v>
      </c>
      <c r="L47" s="98">
        <v>21</v>
      </c>
      <c r="M47" s="908"/>
      <c r="N47" s="1055"/>
    </row>
    <row r="48" spans="1:16">
      <c r="A48" s="99"/>
      <c r="B48" s="39"/>
      <c r="C48" s="496" t="s">
        <v>790</v>
      </c>
      <c r="D48" s="480" t="s">
        <v>659</v>
      </c>
      <c r="E48" s="483" t="s">
        <v>791</v>
      </c>
      <c r="F48" s="495">
        <v>1200</v>
      </c>
      <c r="G48" s="468">
        <f t="shared" si="3"/>
        <v>402</v>
      </c>
      <c r="H48" s="465">
        <f t="shared" si="4"/>
        <v>2010</v>
      </c>
      <c r="I48" s="167"/>
      <c r="J48" s="27">
        <f t="shared" si="5"/>
        <v>2010</v>
      </c>
      <c r="K48" s="97">
        <f>33+34</f>
        <v>67</v>
      </c>
      <c r="L48" s="98"/>
      <c r="M48" s="908"/>
      <c r="N48" s="1055"/>
      <c r="O48" s="344"/>
      <c r="P48" s="347"/>
    </row>
    <row r="49" spans="1:44">
      <c r="A49" s="99"/>
      <c r="B49" s="346"/>
      <c r="C49" s="496" t="s">
        <v>790</v>
      </c>
      <c r="D49" s="480" t="s">
        <v>660</v>
      </c>
      <c r="E49" s="483" t="s">
        <v>805</v>
      </c>
      <c r="F49" s="495"/>
      <c r="G49" s="468">
        <f t="shared" si="3"/>
        <v>396</v>
      </c>
      <c r="H49" s="465">
        <f t="shared" si="4"/>
        <v>1980</v>
      </c>
      <c r="I49" s="167"/>
      <c r="J49" s="27">
        <f t="shared" si="5"/>
        <v>1980</v>
      </c>
      <c r="K49" s="97">
        <f>33+33</f>
        <v>66</v>
      </c>
      <c r="L49" s="98"/>
      <c r="M49" s="908"/>
      <c r="N49" s="1055"/>
      <c r="O49" s="344"/>
      <c r="P49" s="347"/>
    </row>
    <row r="50" spans="1:44">
      <c r="A50" s="99"/>
      <c r="B50" s="39"/>
      <c r="C50" s="496" t="s">
        <v>785</v>
      </c>
      <c r="D50" s="480" t="s">
        <v>553</v>
      </c>
      <c r="E50" s="483" t="s">
        <v>806</v>
      </c>
      <c r="F50" s="495">
        <v>1200</v>
      </c>
      <c r="G50" s="468">
        <f t="shared" si="3"/>
        <v>198</v>
      </c>
      <c r="H50" s="465">
        <f t="shared" si="4"/>
        <v>990</v>
      </c>
      <c r="I50" s="167"/>
      <c r="J50" s="27">
        <f t="shared" si="5"/>
        <v>990</v>
      </c>
      <c r="K50" s="97">
        <v>33</v>
      </c>
      <c r="L50" s="98"/>
      <c r="M50" s="908"/>
      <c r="N50" s="1055"/>
    </row>
    <row r="51" spans="1:44">
      <c r="A51" s="39"/>
      <c r="B51" s="346"/>
      <c r="C51" s="496" t="s">
        <v>785</v>
      </c>
      <c r="D51" s="480" t="s">
        <v>792</v>
      </c>
      <c r="E51" s="483" t="s">
        <v>807</v>
      </c>
      <c r="F51" s="495"/>
      <c r="G51" s="468">
        <f t="shared" si="3"/>
        <v>198</v>
      </c>
      <c r="H51" s="465">
        <f t="shared" si="4"/>
        <v>990</v>
      </c>
      <c r="I51" s="167"/>
      <c r="J51" s="27">
        <f t="shared" si="5"/>
        <v>990</v>
      </c>
      <c r="K51" s="97">
        <v>33</v>
      </c>
      <c r="L51" s="98"/>
      <c r="M51" s="908"/>
      <c r="N51" s="1055"/>
    </row>
    <row r="52" spans="1:44">
      <c r="A52" s="99"/>
      <c r="B52" s="39"/>
      <c r="C52" s="496" t="s">
        <v>790</v>
      </c>
      <c r="D52" s="480" t="s">
        <v>793</v>
      </c>
      <c r="E52" s="483" t="s">
        <v>810</v>
      </c>
      <c r="F52" s="495"/>
      <c r="G52" s="468">
        <f t="shared" si="3"/>
        <v>198</v>
      </c>
      <c r="H52" s="465">
        <f t="shared" si="4"/>
        <v>990</v>
      </c>
      <c r="I52" s="167"/>
      <c r="J52" s="27">
        <f t="shared" si="5"/>
        <v>990</v>
      </c>
      <c r="K52" s="97">
        <v>33</v>
      </c>
      <c r="L52" s="98"/>
      <c r="M52" s="908"/>
      <c r="N52" s="1055"/>
    </row>
    <row r="53" spans="1:44">
      <c r="A53" s="99"/>
      <c r="B53" s="39"/>
      <c r="C53" s="496" t="s">
        <v>790</v>
      </c>
      <c r="D53" s="480" t="s">
        <v>767</v>
      </c>
      <c r="E53" s="483" t="s">
        <v>811</v>
      </c>
      <c r="F53" s="495"/>
      <c r="G53" s="468">
        <f t="shared" si="3"/>
        <v>199.8</v>
      </c>
      <c r="H53" s="465">
        <f t="shared" si="4"/>
        <v>999</v>
      </c>
      <c r="I53" s="167"/>
      <c r="J53" s="27">
        <f t="shared" si="5"/>
        <v>999</v>
      </c>
      <c r="K53" s="97">
        <v>33</v>
      </c>
      <c r="L53" s="98">
        <v>9</v>
      </c>
      <c r="M53" s="908"/>
      <c r="N53" s="1055"/>
    </row>
    <row r="54" spans="1:44">
      <c r="A54" s="99"/>
      <c r="B54" s="346"/>
      <c r="C54" s="496" t="s">
        <v>790</v>
      </c>
      <c r="D54" s="480" t="s">
        <v>800</v>
      </c>
      <c r="E54" s="483" t="s">
        <v>812</v>
      </c>
      <c r="F54" s="495">
        <v>600</v>
      </c>
      <c r="G54" s="468">
        <f t="shared" si="3"/>
        <v>102</v>
      </c>
      <c r="H54" s="465">
        <f t="shared" si="4"/>
        <v>510</v>
      </c>
      <c r="I54" s="167"/>
      <c r="J54" s="27">
        <f t="shared" si="5"/>
        <v>510</v>
      </c>
      <c r="K54" s="97">
        <v>17</v>
      </c>
      <c r="L54" s="98"/>
      <c r="M54" s="2"/>
      <c r="N54" s="1055"/>
    </row>
    <row r="55" spans="1:44">
      <c r="A55" s="99"/>
      <c r="B55" s="346"/>
      <c r="C55" s="496" t="s">
        <v>809</v>
      </c>
      <c r="D55" s="480" t="s">
        <v>808</v>
      </c>
      <c r="E55" s="483" t="s">
        <v>843</v>
      </c>
      <c r="F55" s="495"/>
      <c r="G55" s="468">
        <f>H55*0.2</f>
        <v>301.2</v>
      </c>
      <c r="H55" s="465">
        <v>1506</v>
      </c>
      <c r="I55" s="167"/>
      <c r="J55" s="27">
        <f t="shared" si="5"/>
        <v>1506</v>
      </c>
      <c r="K55" s="97">
        <f>33+17</f>
        <v>50</v>
      </c>
      <c r="L55" s="98">
        <v>6</v>
      </c>
      <c r="M55" s="908"/>
      <c r="N55" s="1055"/>
    </row>
    <row r="56" spans="1:44">
      <c r="A56" s="99"/>
      <c r="B56" s="346"/>
      <c r="C56" s="496" t="s">
        <v>839</v>
      </c>
      <c r="D56" s="480" t="s">
        <v>844</v>
      </c>
      <c r="E56" s="483" t="s">
        <v>845</v>
      </c>
      <c r="F56" s="495">
        <v>600</v>
      </c>
      <c r="G56" s="468">
        <f>H56*0.2</f>
        <v>396</v>
      </c>
      <c r="H56" s="465">
        <v>1980</v>
      </c>
      <c r="I56" s="167"/>
      <c r="J56" s="27">
        <f t="shared" si="5"/>
        <v>1980</v>
      </c>
      <c r="K56" s="97">
        <f>12+21+33</f>
        <v>66</v>
      </c>
      <c r="L56" s="98"/>
      <c r="M56" s="908"/>
      <c r="N56" s="1055"/>
    </row>
    <row r="57" spans="1:44">
      <c r="A57" s="99"/>
      <c r="B57" s="39"/>
      <c r="C57" s="496" t="s">
        <v>839</v>
      </c>
      <c r="D57" s="480" t="s">
        <v>846</v>
      </c>
      <c r="E57" s="483" t="s">
        <v>851</v>
      </c>
      <c r="F57" s="495">
        <v>1650</v>
      </c>
      <c r="G57" s="468">
        <f>H57*0.2</f>
        <v>203.4</v>
      </c>
      <c r="H57" s="465">
        <v>1017</v>
      </c>
      <c r="I57" s="167"/>
      <c r="J57" s="27">
        <f t="shared" si="5"/>
        <v>1017</v>
      </c>
      <c r="K57" s="97">
        <v>33</v>
      </c>
      <c r="L57" s="98">
        <v>27</v>
      </c>
      <c r="M57" s="908"/>
      <c r="N57" s="1055"/>
    </row>
    <row r="58" spans="1:44">
      <c r="A58" s="99"/>
      <c r="B58" s="39"/>
      <c r="C58" s="496" t="s">
        <v>860</v>
      </c>
      <c r="D58" s="480" t="s">
        <v>847</v>
      </c>
      <c r="E58" s="483"/>
      <c r="F58" s="495"/>
      <c r="G58" s="468">
        <f t="shared" si="3"/>
        <v>0</v>
      </c>
      <c r="H58" s="465">
        <f>G58/0.2</f>
        <v>0</v>
      </c>
      <c r="I58" s="167"/>
      <c r="J58" s="27">
        <f t="shared" si="5"/>
        <v>0</v>
      </c>
      <c r="K58" s="97"/>
      <c r="L58" s="98"/>
      <c r="M58" s="908"/>
      <c r="N58" s="1055"/>
      <c r="O58" s="344"/>
    </row>
    <row r="59" spans="1:44">
      <c r="A59" s="99"/>
      <c r="B59" s="346"/>
      <c r="C59" s="496"/>
      <c r="D59" s="480" t="s">
        <v>848</v>
      </c>
      <c r="E59" s="483"/>
      <c r="F59" s="495"/>
      <c r="G59" s="468">
        <f t="shared" si="3"/>
        <v>0</v>
      </c>
      <c r="H59" s="465">
        <f>G59/0.2</f>
        <v>0</v>
      </c>
      <c r="I59" s="167"/>
      <c r="J59" s="27">
        <f t="shared" si="5"/>
        <v>0</v>
      </c>
      <c r="K59" s="97"/>
      <c r="L59" s="98"/>
      <c r="M59" s="908"/>
      <c r="N59" s="1055"/>
      <c r="O59" s="344"/>
    </row>
    <row r="60" spans="1:44">
      <c r="A60" s="99"/>
      <c r="B60" s="39"/>
      <c r="C60" s="496"/>
      <c r="D60" s="480" t="s">
        <v>849</v>
      </c>
      <c r="E60" s="483"/>
      <c r="F60" s="495"/>
      <c r="G60" s="468">
        <f t="shared" si="3"/>
        <v>0</v>
      </c>
      <c r="H60" s="465">
        <f>G60/0.2</f>
        <v>0</v>
      </c>
      <c r="I60" s="167"/>
      <c r="J60" s="27">
        <f t="shared" si="5"/>
        <v>0</v>
      </c>
      <c r="K60" s="97"/>
      <c r="L60" s="98"/>
      <c r="M60" s="908"/>
      <c r="N60" s="1055"/>
      <c r="O60" s="344"/>
    </row>
    <row r="61" spans="1:44">
      <c r="A61" s="99"/>
      <c r="B61" s="346"/>
      <c r="C61" s="496"/>
      <c r="D61" s="480" t="s">
        <v>850</v>
      </c>
      <c r="E61" s="483"/>
      <c r="F61" s="495"/>
      <c r="G61" s="468">
        <f t="shared" si="3"/>
        <v>0</v>
      </c>
      <c r="H61" s="465">
        <f>G61/0.2</f>
        <v>0</v>
      </c>
      <c r="I61" s="167"/>
      <c r="J61" s="27">
        <f t="shared" si="5"/>
        <v>0</v>
      </c>
      <c r="K61" s="97"/>
      <c r="L61" s="98"/>
      <c r="M61" s="908"/>
      <c r="N61" s="1055"/>
    </row>
    <row r="62" spans="1:44" ht="34.200000000000003" thickBot="1">
      <c r="A62" s="99"/>
      <c r="B62" s="39"/>
      <c r="C62" s="496"/>
      <c r="D62" s="480"/>
      <c r="E62" s="483"/>
      <c r="F62" s="495"/>
      <c r="G62" s="468">
        <f t="shared" ref="G62:G89" si="6">J62*0.2</f>
        <v>0</v>
      </c>
      <c r="H62" s="465">
        <f t="shared" si="0"/>
        <v>0</v>
      </c>
      <c r="I62" s="167"/>
      <c r="J62" s="27"/>
      <c r="K62" s="97"/>
      <c r="L62" s="98"/>
      <c r="M62" s="908"/>
      <c r="N62" s="1055"/>
      <c r="AM62" s="1325" t="s">
        <v>443</v>
      </c>
      <c r="AN62" s="1326"/>
      <c r="AO62" s="1326"/>
      <c r="AP62" s="1326"/>
      <c r="AQ62" s="1326"/>
      <c r="AR62" s="1327"/>
    </row>
    <row r="63" spans="1:44" ht="37.200000000000003" thickBot="1">
      <c r="A63" s="99"/>
      <c r="B63" s="39"/>
      <c r="C63" s="496"/>
      <c r="D63" s="480"/>
      <c r="E63" s="483"/>
      <c r="F63" s="495"/>
      <c r="G63" s="468">
        <f t="shared" si="6"/>
        <v>0</v>
      </c>
      <c r="H63" s="465">
        <f t="shared" si="0"/>
        <v>0</v>
      </c>
      <c r="I63" s="167"/>
      <c r="J63" s="27"/>
      <c r="K63" s="97"/>
      <c r="L63" s="98"/>
      <c r="M63" s="908"/>
      <c r="N63" s="1055"/>
      <c r="Y63" s="1232" t="s">
        <v>269</v>
      </c>
      <c r="Z63" s="1233"/>
      <c r="AA63" s="8"/>
      <c r="AB63" s="8"/>
      <c r="AC63" s="8"/>
      <c r="AD63" s="8"/>
      <c r="AF63" s="1224" t="s">
        <v>366</v>
      </c>
      <c r="AG63" s="1225"/>
      <c r="AH63" s="1225"/>
      <c r="AI63" s="1226"/>
      <c r="AM63" s="962" t="s">
        <v>377</v>
      </c>
      <c r="AN63" s="963" t="s">
        <v>380</v>
      </c>
      <c r="AO63" s="963" t="s">
        <v>381</v>
      </c>
      <c r="AP63" s="963" t="s">
        <v>382</v>
      </c>
      <c r="AQ63" s="963" t="s">
        <v>383</v>
      </c>
      <c r="AR63" s="963" t="s">
        <v>384</v>
      </c>
    </row>
    <row r="64" spans="1:44" ht="37.200000000000003" thickBot="1">
      <c r="A64" s="99"/>
      <c r="B64" s="346"/>
      <c r="C64" s="496"/>
      <c r="D64" s="480"/>
      <c r="E64" s="483"/>
      <c r="F64" s="495"/>
      <c r="G64" s="468">
        <f t="shared" si="6"/>
        <v>0</v>
      </c>
      <c r="H64" s="465">
        <f t="shared" si="0"/>
        <v>0</v>
      </c>
      <c r="I64" s="167"/>
      <c r="J64" s="27"/>
      <c r="K64" s="97"/>
      <c r="L64" s="98"/>
      <c r="M64" s="908"/>
      <c r="N64" s="1055"/>
      <c r="P64" s="1107" t="s">
        <v>657</v>
      </c>
      <c r="Q64" s="1107"/>
      <c r="R64" s="1107"/>
      <c r="Y64" s="1234" t="s">
        <v>270</v>
      </c>
      <c r="Z64" s="1235"/>
      <c r="AA64" s="1238" t="s">
        <v>271</v>
      </c>
      <c r="AB64" s="319"/>
      <c r="AC64" s="321"/>
      <c r="AD64" s="321"/>
      <c r="AF64" s="1227"/>
      <c r="AG64" s="1228"/>
      <c r="AH64" s="1228"/>
      <c r="AI64" s="1229"/>
      <c r="AM64" s="964" t="s">
        <v>393</v>
      </c>
      <c r="AN64" s="965">
        <f>24+16.5</f>
        <v>40.5</v>
      </c>
      <c r="AO64" s="965">
        <f>30+17</f>
        <v>47</v>
      </c>
      <c r="AP64" s="965">
        <f>25+12</f>
        <v>37</v>
      </c>
      <c r="AQ64" s="965">
        <f>15+5</f>
        <v>20</v>
      </c>
      <c r="AR64" s="965">
        <f>20+10</f>
        <v>30</v>
      </c>
    </row>
    <row r="65" spans="1:44" ht="43.5" customHeight="1" thickTop="1" thickBot="1">
      <c r="A65" s="99"/>
      <c r="B65" s="39"/>
      <c r="C65" s="496"/>
      <c r="D65" s="480"/>
      <c r="E65" s="483"/>
      <c r="F65" s="495"/>
      <c r="G65" s="468">
        <f t="shared" si="6"/>
        <v>0</v>
      </c>
      <c r="H65" s="465">
        <f t="shared" si="0"/>
        <v>0</v>
      </c>
      <c r="I65" s="167"/>
      <c r="J65" s="27">
        <f t="shared" ref="J65:J89" si="7">(K65*$K$3)+L65</f>
        <v>0</v>
      </c>
      <c r="K65" s="97"/>
      <c r="L65" s="98"/>
      <c r="M65" s="908"/>
      <c r="N65" s="1055"/>
      <c r="O65" s="1250" t="s">
        <v>263</v>
      </c>
      <c r="P65" s="1251"/>
      <c r="Q65" s="1252"/>
      <c r="R65" s="294" t="s">
        <v>262</v>
      </c>
      <c r="T65" s="1168" t="s">
        <v>268</v>
      </c>
      <c r="U65" s="1169"/>
      <c r="V65" s="1169"/>
      <c r="W65" s="1170"/>
      <c r="Y65" s="1236"/>
      <c r="Z65" s="1237"/>
      <c r="AA65" s="1239"/>
      <c r="AB65" s="319"/>
      <c r="AC65" s="1240" t="s">
        <v>272</v>
      </c>
      <c r="AD65" s="1241"/>
      <c r="AF65" s="999" t="s">
        <v>679</v>
      </c>
      <c r="AG65" s="960" t="s">
        <v>680</v>
      </c>
      <c r="AH65" s="1003" t="s">
        <v>268</v>
      </c>
      <c r="AI65" s="959" t="s">
        <v>681</v>
      </c>
      <c r="AJ65" t="s">
        <v>621</v>
      </c>
      <c r="AM65" s="962" t="s">
        <v>378</v>
      </c>
      <c r="AN65" s="963" t="s">
        <v>385</v>
      </c>
      <c r="AO65" s="963" t="s">
        <v>386</v>
      </c>
      <c r="AP65" s="963" t="s">
        <v>387</v>
      </c>
      <c r="AQ65" s="963" t="s">
        <v>388</v>
      </c>
      <c r="AR65" s="966"/>
    </row>
    <row r="66" spans="1:44" ht="37.799999999999997" thickTop="1" thickBot="1">
      <c r="A66" s="99"/>
      <c r="B66" s="346"/>
      <c r="C66" s="496"/>
      <c r="D66" s="480"/>
      <c r="E66" s="483"/>
      <c r="F66" s="495"/>
      <c r="G66" s="468">
        <f t="shared" si="6"/>
        <v>0</v>
      </c>
      <c r="H66" s="465">
        <f t="shared" si="0"/>
        <v>0</v>
      </c>
      <c r="I66" s="167"/>
      <c r="J66" s="27">
        <f t="shared" si="7"/>
        <v>0</v>
      </c>
      <c r="K66" s="97"/>
      <c r="L66" s="98"/>
      <c r="M66" s="908"/>
      <c r="N66" s="1055"/>
      <c r="O66" s="1190" t="s">
        <v>298</v>
      </c>
      <c r="P66" s="1191"/>
      <c r="Q66" s="1192"/>
      <c r="R66" s="220">
        <v>2192.91</v>
      </c>
      <c r="T66" s="1165" t="s">
        <v>299</v>
      </c>
      <c r="U66" s="1166"/>
      <c r="V66" s="1167"/>
      <c r="W66" s="309">
        <v>887.73800000000006</v>
      </c>
      <c r="Y66" s="1182">
        <f>R66+W66</f>
        <v>3080.6480000000001</v>
      </c>
      <c r="Z66" s="1183"/>
      <c r="AA66" s="318">
        <v>92</v>
      </c>
      <c r="AB66" s="8"/>
      <c r="AC66" s="1322">
        <f>Y66/AA66</f>
        <v>33.485304347826087</v>
      </c>
      <c r="AD66" s="1323"/>
      <c r="AF66" s="1004">
        <v>16.070760869565216</v>
      </c>
      <c r="AG66" s="1005">
        <v>18.119152173913044</v>
      </c>
      <c r="AH66" s="1005">
        <v>14.734782608695653</v>
      </c>
      <c r="AI66" s="1001">
        <v>33.485304347826087</v>
      </c>
      <c r="AJ66" s="1099">
        <f>AVERAGE(AF66:AI66)</f>
        <v>20.602499999999999</v>
      </c>
      <c r="AM66" s="964" t="s">
        <v>394</v>
      </c>
      <c r="AN66" s="965">
        <f>30+10</f>
        <v>40</v>
      </c>
      <c r="AO66" s="965">
        <f>15+16.5</f>
        <v>31.5</v>
      </c>
      <c r="AP66" s="965">
        <f>30+14.5</f>
        <v>44.5</v>
      </c>
      <c r="AQ66" s="965">
        <f>25+6</f>
        <v>31</v>
      </c>
      <c r="AR66" s="967"/>
    </row>
    <row r="67" spans="1:44" ht="36.6">
      <c r="A67" s="99"/>
      <c r="B67" s="346"/>
      <c r="C67" s="496"/>
      <c r="D67" s="480"/>
      <c r="E67" s="483"/>
      <c r="F67" s="495"/>
      <c r="G67" s="468">
        <f t="shared" si="6"/>
        <v>0</v>
      </c>
      <c r="H67" s="465">
        <f t="shared" si="0"/>
        <v>0</v>
      </c>
      <c r="I67" s="167"/>
      <c r="J67" s="27">
        <f t="shared" si="7"/>
        <v>0</v>
      </c>
      <c r="K67" s="97"/>
      <c r="L67" s="98"/>
      <c r="M67" s="2"/>
      <c r="N67" s="1055"/>
      <c r="O67" s="1165" t="s">
        <v>299</v>
      </c>
      <c r="P67" s="1166"/>
      <c r="Q67" s="1167"/>
      <c r="R67" s="1114"/>
      <c r="S67" s="333"/>
      <c r="T67" s="883"/>
      <c r="Y67" s="1324"/>
      <c r="Z67" s="1324"/>
      <c r="AA67" s="333">
        <v>93.12</v>
      </c>
      <c r="AM67" s="962" t="s">
        <v>379</v>
      </c>
      <c r="AN67" s="963" t="s">
        <v>389</v>
      </c>
      <c r="AO67" s="963" t="s">
        <v>390</v>
      </c>
      <c r="AP67" s="963" t="s">
        <v>391</v>
      </c>
      <c r="AQ67" s="963" t="s">
        <v>392</v>
      </c>
      <c r="AR67" s="966"/>
    </row>
    <row r="68" spans="1:44" ht="37.200000000000003" thickBot="1">
      <c r="A68" s="99"/>
      <c r="B68" s="39"/>
      <c r="C68" s="496"/>
      <c r="D68" s="480"/>
      <c r="E68" s="483"/>
      <c r="F68" s="495"/>
      <c r="G68" s="468">
        <f t="shared" si="6"/>
        <v>0</v>
      </c>
      <c r="H68" s="465">
        <f t="shared" ref="H68:H89" si="8">G68/0.2</f>
        <v>0</v>
      </c>
      <c r="I68" s="167"/>
      <c r="J68" s="27">
        <f t="shared" si="7"/>
        <v>0</v>
      </c>
      <c r="K68" s="97"/>
      <c r="L68" s="98"/>
      <c r="M68" s="908"/>
      <c r="N68" s="1055"/>
      <c r="O68" s="1289" t="s">
        <v>242</v>
      </c>
      <c r="P68" s="1290"/>
      <c r="Q68" s="1291"/>
      <c r="R68" s="221">
        <f>SUM(R66:R67)</f>
        <v>2192.91</v>
      </c>
      <c r="S68" s="826"/>
      <c r="T68" s="1"/>
      <c r="V68" s="311"/>
      <c r="AG68" s="311"/>
      <c r="AJ68" s="1135">
        <f>(R69-(AJ66*AA66))/(AJ66*AA66)</f>
        <v>5.3199854386603569</v>
      </c>
      <c r="AM68" s="964" t="s">
        <v>393</v>
      </c>
      <c r="AN68" s="965">
        <f>17+15.5</f>
        <v>32.5</v>
      </c>
      <c r="AO68" s="965">
        <f>25+8</f>
        <v>33</v>
      </c>
      <c r="AP68" s="965">
        <f>25+13</f>
        <v>38</v>
      </c>
      <c r="AQ68" s="965">
        <f>20+13.5</f>
        <v>33.5</v>
      </c>
      <c r="AR68" s="967"/>
    </row>
    <row r="69" spans="1:44" ht="21.6" thickBot="1">
      <c r="A69" s="99"/>
      <c r="B69" s="346"/>
      <c r="C69" s="496"/>
      <c r="D69" s="480"/>
      <c r="E69" s="483"/>
      <c r="F69" s="495"/>
      <c r="G69" s="468">
        <f t="shared" si="6"/>
        <v>0</v>
      </c>
      <c r="H69" s="465">
        <f t="shared" si="8"/>
        <v>0</v>
      </c>
      <c r="I69" s="167"/>
      <c r="J69" s="27">
        <f t="shared" si="7"/>
        <v>0</v>
      </c>
      <c r="K69" s="97"/>
      <c r="L69" s="98"/>
      <c r="M69" s="908"/>
      <c r="N69" s="1055"/>
      <c r="O69" s="1175" t="s">
        <v>243</v>
      </c>
      <c r="P69" s="1176"/>
      <c r="Q69" s="1177"/>
      <c r="R69" s="381">
        <f>$G$98-R68</f>
        <v>11979.09</v>
      </c>
      <c r="S69" s="936"/>
      <c r="T69" s="379"/>
      <c r="W69" s="8" t="s">
        <v>301</v>
      </c>
      <c r="X69" s="117"/>
      <c r="Y69" s="393">
        <f>R69/Y66</f>
        <v>3.8884968357306642</v>
      </c>
      <c r="Z69" s="392" t="s">
        <v>302</v>
      </c>
    </row>
    <row r="70" spans="1:44" ht="21.6" thickBot="1">
      <c r="A70" s="99"/>
      <c r="B70" s="39"/>
      <c r="C70" s="496"/>
      <c r="D70" s="480"/>
      <c r="E70" s="483"/>
      <c r="F70" s="495"/>
      <c r="G70" s="468">
        <f t="shared" si="6"/>
        <v>0</v>
      </c>
      <c r="H70" s="465">
        <f t="shared" si="8"/>
        <v>0</v>
      </c>
      <c r="I70" s="167"/>
      <c r="J70" s="27">
        <f t="shared" si="7"/>
        <v>0</v>
      </c>
      <c r="K70" s="97"/>
      <c r="L70" s="98"/>
      <c r="M70" s="908"/>
      <c r="N70" s="1055"/>
      <c r="O70" t="s">
        <v>330</v>
      </c>
      <c r="P70" t="s">
        <v>331</v>
      </c>
      <c r="S70" s="825"/>
      <c r="T70" s="379"/>
      <c r="W70" s="8" t="s">
        <v>303</v>
      </c>
      <c r="X70" s="8"/>
      <c r="Y70" s="393">
        <f>(R69-Y66)/Y66</f>
        <v>2.8884968357306642</v>
      </c>
      <c r="Z70" s="392" t="s">
        <v>302</v>
      </c>
    </row>
    <row r="71" spans="1:44">
      <c r="A71" s="99"/>
      <c r="B71" s="346"/>
      <c r="C71" s="496"/>
      <c r="D71" s="480"/>
      <c r="E71" s="483"/>
      <c r="F71" s="495"/>
      <c r="G71" s="468">
        <f t="shared" si="6"/>
        <v>0</v>
      </c>
      <c r="H71" s="465">
        <f t="shared" si="8"/>
        <v>0</v>
      </c>
      <c r="I71" s="167"/>
      <c r="J71" s="27">
        <f t="shared" si="7"/>
        <v>0</v>
      </c>
      <c r="K71" s="97"/>
      <c r="L71" s="98"/>
      <c r="M71" s="908"/>
      <c r="N71" s="1055"/>
      <c r="O71" t="s">
        <v>323</v>
      </c>
      <c r="Q71" s="311"/>
      <c r="R71" s="311"/>
      <c r="S71" s="311"/>
      <c r="T71" s="311"/>
    </row>
    <row r="72" spans="1:44">
      <c r="A72" s="99"/>
      <c r="B72" s="39"/>
      <c r="C72" s="496"/>
      <c r="D72" s="480"/>
      <c r="E72" s="483"/>
      <c r="F72" s="495"/>
      <c r="G72" s="468">
        <f t="shared" si="6"/>
        <v>0</v>
      </c>
      <c r="H72" s="465">
        <f t="shared" si="8"/>
        <v>0</v>
      </c>
      <c r="I72" s="167"/>
      <c r="J72" s="27">
        <f t="shared" si="7"/>
        <v>0</v>
      </c>
      <c r="K72" s="97"/>
      <c r="L72" s="98"/>
      <c r="M72" s="908"/>
      <c r="N72" s="1055"/>
      <c r="O72" s="90" t="s">
        <v>324</v>
      </c>
      <c r="T72" s="311"/>
    </row>
    <row r="73" spans="1:44" ht="37.5" customHeight="1">
      <c r="A73" s="99"/>
      <c r="B73" s="39"/>
      <c r="C73" s="496"/>
      <c r="D73" s="480"/>
      <c r="E73" s="483"/>
      <c r="F73" s="495"/>
      <c r="G73" s="468">
        <f t="shared" si="6"/>
        <v>0</v>
      </c>
      <c r="H73" s="465">
        <f t="shared" si="8"/>
        <v>0</v>
      </c>
      <c r="I73" s="167"/>
      <c r="J73" s="27">
        <f t="shared" si="7"/>
        <v>0</v>
      </c>
      <c r="K73" s="97"/>
      <c r="L73" s="98"/>
      <c r="M73" s="908"/>
      <c r="N73" s="1055"/>
      <c r="O73" t="s">
        <v>326</v>
      </c>
      <c r="S73" s="311"/>
      <c r="T73" s="311"/>
    </row>
    <row r="74" spans="1:44">
      <c r="A74" s="99"/>
      <c r="B74" s="346"/>
      <c r="C74" s="496"/>
      <c r="D74" s="480"/>
      <c r="E74" s="483"/>
      <c r="F74" s="495"/>
      <c r="G74" s="468">
        <f t="shared" si="6"/>
        <v>0</v>
      </c>
      <c r="H74" s="465">
        <f t="shared" si="8"/>
        <v>0</v>
      </c>
      <c r="I74" s="167"/>
      <c r="J74" s="27">
        <f t="shared" si="7"/>
        <v>0</v>
      </c>
      <c r="K74" s="97"/>
      <c r="L74" s="98"/>
      <c r="M74" s="908"/>
      <c r="N74" s="1055"/>
      <c r="O74"/>
    </row>
    <row r="75" spans="1:44">
      <c r="A75" s="99"/>
      <c r="B75" s="39"/>
      <c r="C75" s="496"/>
      <c r="D75" s="480"/>
      <c r="E75" s="483"/>
      <c r="F75" s="495"/>
      <c r="G75" s="468">
        <f t="shared" si="6"/>
        <v>0</v>
      </c>
      <c r="H75" s="465">
        <f t="shared" si="8"/>
        <v>0</v>
      </c>
      <c r="I75" s="167"/>
      <c r="J75" s="27">
        <f t="shared" si="7"/>
        <v>0</v>
      </c>
      <c r="K75" s="97"/>
      <c r="L75" s="98"/>
      <c r="M75" s="908"/>
      <c r="N75" s="1055"/>
      <c r="O75"/>
    </row>
    <row r="76" spans="1:44">
      <c r="A76" s="99"/>
      <c r="B76" s="346"/>
      <c r="C76" s="496"/>
      <c r="D76" s="480"/>
      <c r="E76" s="483"/>
      <c r="F76" s="495"/>
      <c r="G76" s="468">
        <f t="shared" si="6"/>
        <v>0</v>
      </c>
      <c r="H76" s="465">
        <f t="shared" si="8"/>
        <v>0</v>
      </c>
      <c r="I76" s="167"/>
      <c r="J76" s="27">
        <f t="shared" si="7"/>
        <v>0</v>
      </c>
      <c r="K76" s="97"/>
      <c r="L76" s="98"/>
      <c r="M76" s="908"/>
      <c r="N76" s="1055"/>
      <c r="O76"/>
    </row>
    <row r="77" spans="1:44">
      <c r="A77" s="99"/>
      <c r="B77" s="346"/>
      <c r="C77" s="496"/>
      <c r="D77" s="480"/>
      <c r="E77" s="483"/>
      <c r="F77" s="495"/>
      <c r="G77" s="468">
        <f t="shared" si="6"/>
        <v>0</v>
      </c>
      <c r="H77" s="465">
        <f t="shared" si="8"/>
        <v>0</v>
      </c>
      <c r="I77" s="167"/>
      <c r="J77" s="27">
        <f t="shared" si="7"/>
        <v>0</v>
      </c>
      <c r="K77" s="97"/>
      <c r="L77" s="98"/>
      <c r="M77" s="908"/>
      <c r="N77" s="1055"/>
      <c r="O77"/>
    </row>
    <row r="78" spans="1:44">
      <c r="A78" s="99"/>
      <c r="B78" s="39"/>
      <c r="C78" s="496"/>
      <c r="D78" s="480"/>
      <c r="E78" s="483"/>
      <c r="F78" s="495"/>
      <c r="G78" s="468">
        <f t="shared" si="6"/>
        <v>0</v>
      </c>
      <c r="H78" s="465">
        <f t="shared" si="8"/>
        <v>0</v>
      </c>
      <c r="I78" s="167"/>
      <c r="J78" s="27">
        <f t="shared" si="7"/>
        <v>0</v>
      </c>
      <c r="K78" s="97"/>
      <c r="L78" s="98"/>
      <c r="M78" s="908"/>
      <c r="N78" s="1055"/>
      <c r="O78"/>
    </row>
    <row r="79" spans="1:44">
      <c r="A79" s="99"/>
      <c r="B79" s="39"/>
      <c r="C79" s="496"/>
      <c r="D79" s="480"/>
      <c r="E79" s="483"/>
      <c r="F79" s="495"/>
      <c r="G79" s="468">
        <f t="shared" si="6"/>
        <v>0</v>
      </c>
      <c r="H79" s="465">
        <f t="shared" si="8"/>
        <v>0</v>
      </c>
      <c r="I79" s="167"/>
      <c r="J79" s="27">
        <f t="shared" si="7"/>
        <v>0</v>
      </c>
      <c r="K79" s="97"/>
      <c r="L79" s="98"/>
      <c r="M79" s="908"/>
      <c r="N79" s="1055"/>
      <c r="O79"/>
    </row>
    <row r="80" spans="1:44">
      <c r="A80" s="99"/>
      <c r="B80" s="346"/>
      <c r="C80" s="496"/>
      <c r="D80" s="480"/>
      <c r="E80" s="483"/>
      <c r="F80" s="495"/>
      <c r="G80" s="468">
        <f t="shared" si="6"/>
        <v>0</v>
      </c>
      <c r="H80" s="465">
        <f t="shared" si="8"/>
        <v>0</v>
      </c>
      <c r="I80" s="167"/>
      <c r="J80" s="27">
        <f t="shared" si="7"/>
        <v>0</v>
      </c>
      <c r="K80" s="97"/>
      <c r="L80" s="98"/>
      <c r="M80" s="908"/>
      <c r="N80" s="1055"/>
      <c r="O80"/>
    </row>
    <row r="81" spans="1:18">
      <c r="A81" s="99"/>
      <c r="B81" s="39"/>
      <c r="C81" s="496"/>
      <c r="D81" s="480"/>
      <c r="E81" s="483"/>
      <c r="F81" s="495"/>
      <c r="G81" s="468">
        <f t="shared" si="6"/>
        <v>0</v>
      </c>
      <c r="H81" s="465">
        <f t="shared" si="8"/>
        <v>0</v>
      </c>
      <c r="I81" s="167"/>
      <c r="J81" s="27">
        <f t="shared" si="7"/>
        <v>0</v>
      </c>
      <c r="K81" s="97"/>
      <c r="L81" s="98"/>
      <c r="M81" s="908"/>
      <c r="N81" s="1055"/>
      <c r="O81"/>
    </row>
    <row r="82" spans="1:18">
      <c r="A82" s="99"/>
      <c r="B82" s="346"/>
      <c r="C82" s="496"/>
      <c r="D82" s="480"/>
      <c r="E82" s="483"/>
      <c r="F82" s="495"/>
      <c r="G82" s="468">
        <f t="shared" si="6"/>
        <v>0</v>
      </c>
      <c r="H82" s="465">
        <f t="shared" si="8"/>
        <v>0</v>
      </c>
      <c r="I82" s="167"/>
      <c r="J82" s="27">
        <f t="shared" si="7"/>
        <v>0</v>
      </c>
      <c r="K82" s="97"/>
      <c r="L82" s="98"/>
      <c r="M82" s="908"/>
      <c r="N82" s="1055"/>
      <c r="O82"/>
    </row>
    <row r="83" spans="1:18">
      <c r="A83" s="99"/>
      <c r="B83" s="346"/>
      <c r="C83" s="496"/>
      <c r="D83" s="480"/>
      <c r="E83" s="483"/>
      <c r="F83" s="495"/>
      <c r="G83" s="468">
        <f t="shared" si="6"/>
        <v>0</v>
      </c>
      <c r="H83" s="465">
        <f t="shared" si="8"/>
        <v>0</v>
      </c>
      <c r="I83" s="167"/>
      <c r="J83" s="27">
        <f t="shared" si="7"/>
        <v>0</v>
      </c>
      <c r="K83" s="97"/>
      <c r="L83" s="98"/>
      <c r="M83" s="2"/>
      <c r="N83" s="1055"/>
      <c r="O83"/>
    </row>
    <row r="84" spans="1:18">
      <c r="A84" s="99"/>
      <c r="B84" s="39"/>
      <c r="C84" s="496"/>
      <c r="D84" s="480"/>
      <c r="E84" s="483"/>
      <c r="F84" s="495"/>
      <c r="G84" s="468">
        <f t="shared" si="6"/>
        <v>0</v>
      </c>
      <c r="H84" s="465">
        <f t="shared" si="8"/>
        <v>0</v>
      </c>
      <c r="I84" s="167"/>
      <c r="J84" s="27">
        <f t="shared" si="7"/>
        <v>0</v>
      </c>
      <c r="K84" s="97"/>
      <c r="L84" s="98"/>
      <c r="M84" s="908"/>
      <c r="N84" s="1055"/>
      <c r="O84"/>
      <c r="R84">
        <f>714+1020+990</f>
        <v>2724</v>
      </c>
    </row>
    <row r="85" spans="1:18">
      <c r="A85" s="99"/>
      <c r="B85" s="39"/>
      <c r="C85" s="496"/>
      <c r="D85" s="480"/>
      <c r="E85" s="483"/>
      <c r="F85" s="495"/>
      <c r="G85" s="468">
        <f t="shared" si="6"/>
        <v>0</v>
      </c>
      <c r="H85" s="465">
        <f t="shared" si="8"/>
        <v>0</v>
      </c>
      <c r="I85" s="167"/>
      <c r="J85" s="27">
        <f t="shared" si="7"/>
        <v>0</v>
      </c>
      <c r="K85" s="97"/>
      <c r="L85" s="98"/>
      <c r="M85" s="908"/>
      <c r="N85" s="1055"/>
      <c r="O85"/>
      <c r="R85">
        <f>990-708</f>
        <v>282</v>
      </c>
    </row>
    <row r="86" spans="1:18">
      <c r="A86" s="99"/>
      <c r="B86" s="346"/>
      <c r="C86" s="496"/>
      <c r="D86" s="480"/>
      <c r="E86" s="483"/>
      <c r="F86" s="495"/>
      <c r="G86" s="468">
        <f t="shared" si="6"/>
        <v>0</v>
      </c>
      <c r="H86" s="465">
        <f t="shared" si="8"/>
        <v>0</v>
      </c>
      <c r="I86" s="167"/>
      <c r="J86" s="27">
        <f t="shared" si="7"/>
        <v>0</v>
      </c>
      <c r="K86" s="97"/>
      <c r="L86" s="98"/>
      <c r="M86" s="908"/>
      <c r="N86" s="1055"/>
      <c r="O86"/>
      <c r="R86">
        <f>2970-1875</f>
        <v>1095</v>
      </c>
    </row>
    <row r="87" spans="1:18">
      <c r="A87" s="99"/>
      <c r="B87" s="39"/>
      <c r="C87" s="496"/>
      <c r="D87" s="480"/>
      <c r="E87" s="483"/>
      <c r="F87" s="495"/>
      <c r="G87" s="468">
        <f t="shared" si="6"/>
        <v>0</v>
      </c>
      <c r="H87" s="465">
        <f t="shared" si="8"/>
        <v>0</v>
      </c>
      <c r="I87" s="167"/>
      <c r="J87" s="27">
        <f t="shared" si="7"/>
        <v>0</v>
      </c>
      <c r="K87" s="97"/>
      <c r="L87" s="98"/>
      <c r="M87" s="908"/>
      <c r="N87" s="1055"/>
      <c r="O87"/>
      <c r="R87">
        <f>2361-961</f>
        <v>1400</v>
      </c>
    </row>
    <row r="88" spans="1:18">
      <c r="A88" s="99"/>
      <c r="B88" s="346"/>
      <c r="C88" s="496"/>
      <c r="D88" s="480"/>
      <c r="E88" s="483"/>
      <c r="F88" s="495"/>
      <c r="G88" s="468">
        <f t="shared" si="6"/>
        <v>0</v>
      </c>
      <c r="H88" s="465">
        <f t="shared" si="8"/>
        <v>0</v>
      </c>
      <c r="I88" s="167"/>
      <c r="J88" s="27">
        <f t="shared" si="7"/>
        <v>0</v>
      </c>
      <c r="K88" s="97"/>
      <c r="L88" s="98"/>
      <c r="M88" s="908"/>
      <c r="N88" s="1055"/>
      <c r="O88"/>
      <c r="R88">
        <f>SUM(R84:R87)*0.2</f>
        <v>1100.2</v>
      </c>
    </row>
    <row r="89" spans="1:18">
      <c r="A89" s="99"/>
      <c r="B89" s="346"/>
      <c r="C89" s="496"/>
      <c r="D89" s="480"/>
      <c r="E89" s="483"/>
      <c r="F89" s="495"/>
      <c r="G89" s="468">
        <f t="shared" si="6"/>
        <v>0</v>
      </c>
      <c r="H89" s="465">
        <f t="shared" si="8"/>
        <v>0</v>
      </c>
      <c r="I89" s="167"/>
      <c r="J89" s="27">
        <f t="shared" si="7"/>
        <v>0</v>
      </c>
      <c r="K89" s="97"/>
      <c r="L89" s="98"/>
      <c r="M89" s="2"/>
      <c r="N89" s="1055"/>
      <c r="O89"/>
    </row>
    <row r="90" spans="1:18">
      <c r="A90" s="99"/>
      <c r="B90" s="346"/>
      <c r="C90" s="496"/>
      <c r="D90" s="480"/>
      <c r="E90" s="483"/>
      <c r="F90" s="495"/>
      <c r="G90" s="468">
        <f t="shared" ref="G90" si="9">J90*0.2</f>
        <v>0</v>
      </c>
      <c r="H90" s="465">
        <f t="shared" ref="H90" si="10">G90/0.2</f>
        <v>0</v>
      </c>
      <c r="I90" s="167"/>
      <c r="J90" s="27">
        <f t="shared" ref="J90" si="11">(K90*$K$3)+L90</f>
        <v>0</v>
      </c>
      <c r="K90" s="97"/>
      <c r="L90" s="98"/>
      <c r="M90" s="2"/>
      <c r="N90" s="1055"/>
      <c r="O90"/>
    </row>
    <row r="91" spans="1:18">
      <c r="A91" s="99"/>
      <c r="B91" s="39"/>
      <c r="C91" s="496"/>
      <c r="D91" s="480"/>
      <c r="E91" s="483"/>
      <c r="F91" s="495"/>
      <c r="G91" s="468">
        <f t="shared" ref="G91" si="12">J91*0.2</f>
        <v>0</v>
      </c>
      <c r="H91" s="465">
        <f t="shared" ref="H91" si="13">G91/0.2</f>
        <v>0</v>
      </c>
      <c r="I91" s="167"/>
      <c r="J91" s="27">
        <f t="shared" ref="J91" si="14">(K91*$K$3)+L91</f>
        <v>0</v>
      </c>
      <c r="K91" s="97"/>
      <c r="L91" s="98"/>
      <c r="M91" s="908"/>
      <c r="N91" s="1055"/>
      <c r="O91"/>
    </row>
    <row r="92" spans="1:18">
      <c r="A92" s="99"/>
      <c r="B92" s="39"/>
      <c r="C92" s="496"/>
      <c r="D92" s="480"/>
      <c r="E92" s="483"/>
      <c r="F92" s="495"/>
      <c r="G92" s="468">
        <f t="shared" ref="G92:G93" si="15">J92*0.2</f>
        <v>0</v>
      </c>
      <c r="H92" s="465">
        <f t="shared" ref="H92:H93" si="16">G92/0.2</f>
        <v>0</v>
      </c>
      <c r="I92" s="167"/>
      <c r="J92" s="27">
        <f t="shared" ref="J92:J93" si="17">(K92*$K$3)+L92</f>
        <v>0</v>
      </c>
      <c r="K92" s="97"/>
      <c r="L92" s="98"/>
      <c r="M92" s="908"/>
      <c r="N92" s="1055"/>
      <c r="O92"/>
    </row>
    <row r="93" spans="1:18">
      <c r="A93" s="99"/>
      <c r="B93" s="346"/>
      <c r="C93" s="496"/>
      <c r="D93" s="480"/>
      <c r="E93" s="483"/>
      <c r="F93" s="495"/>
      <c r="G93" s="468">
        <f t="shared" si="15"/>
        <v>0</v>
      </c>
      <c r="H93" s="465">
        <f t="shared" si="16"/>
        <v>0</v>
      </c>
      <c r="I93" s="167"/>
      <c r="J93" s="27">
        <f t="shared" si="17"/>
        <v>0</v>
      </c>
      <c r="K93" s="97"/>
      <c r="L93" s="98"/>
      <c r="M93" s="908"/>
      <c r="N93" s="1055"/>
      <c r="O93"/>
    </row>
    <row r="94" spans="1:18">
      <c r="A94" s="99"/>
      <c r="B94" s="39"/>
      <c r="C94" s="496"/>
      <c r="D94" s="480"/>
      <c r="E94" s="483"/>
      <c r="F94" s="495"/>
      <c r="G94" s="468">
        <f t="shared" ref="G94:G96" si="18">J94*0.2</f>
        <v>0</v>
      </c>
      <c r="H94" s="465">
        <f t="shared" ref="H94:H96" si="19">G94/0.2</f>
        <v>0</v>
      </c>
      <c r="I94" s="167"/>
      <c r="J94" s="27">
        <f t="shared" ref="J94:J96" si="20">(K94*$K$3)+L94</f>
        <v>0</v>
      </c>
      <c r="K94" s="97"/>
      <c r="L94" s="98"/>
      <c r="M94" s="908"/>
      <c r="N94" s="1055"/>
      <c r="O94"/>
    </row>
    <row r="95" spans="1:18">
      <c r="A95" s="99"/>
      <c r="B95" s="346"/>
      <c r="C95" s="496"/>
      <c r="D95" s="480"/>
      <c r="E95" s="483"/>
      <c r="F95" s="495"/>
      <c r="G95" s="468">
        <f t="shared" si="18"/>
        <v>0</v>
      </c>
      <c r="H95" s="465">
        <f t="shared" si="19"/>
        <v>0</v>
      </c>
      <c r="I95" s="167"/>
      <c r="J95" s="27">
        <f t="shared" si="20"/>
        <v>0</v>
      </c>
      <c r="K95" s="97"/>
      <c r="L95" s="98"/>
      <c r="M95" s="908"/>
      <c r="N95" s="1055"/>
      <c r="O95"/>
    </row>
    <row r="96" spans="1:18">
      <c r="A96" s="99"/>
      <c r="B96" s="346"/>
      <c r="C96" s="496"/>
      <c r="D96" s="480"/>
      <c r="E96" s="483"/>
      <c r="F96" s="495"/>
      <c r="G96" s="468">
        <f t="shared" si="18"/>
        <v>0</v>
      </c>
      <c r="H96" s="465">
        <f t="shared" si="19"/>
        <v>0</v>
      </c>
      <c r="I96" s="167"/>
      <c r="J96" s="27">
        <f t="shared" si="20"/>
        <v>0</v>
      </c>
      <c r="K96" s="97"/>
      <c r="L96" s="98"/>
      <c r="M96" s="2"/>
      <c r="N96" s="1055"/>
      <c r="O96"/>
    </row>
    <row r="97" spans="1:21" ht="21.6" thickBot="1">
      <c r="A97" s="99"/>
      <c r="B97" s="346"/>
      <c r="C97" s="496"/>
      <c r="D97" s="480"/>
      <c r="E97" s="483"/>
      <c r="F97" s="495"/>
      <c r="G97" s="468">
        <f t="shared" ref="G97" si="21">J97*0.2</f>
        <v>0</v>
      </c>
      <c r="H97" s="465">
        <f t="shared" ref="H97" si="22">G97/0.2</f>
        <v>0</v>
      </c>
      <c r="I97" s="167"/>
      <c r="J97" s="27">
        <f t="shared" ref="J97" si="23">(K97*$K$3)+L97</f>
        <v>0</v>
      </c>
      <c r="K97" s="97"/>
      <c r="L97" s="98"/>
      <c r="M97" s="2"/>
      <c r="N97" s="1055"/>
      <c r="O97"/>
    </row>
    <row r="98" spans="1:21" ht="21.6" thickBot="1">
      <c r="A98" s="99"/>
      <c r="B98" s="99"/>
      <c r="C98" s="497"/>
      <c r="D98" s="497"/>
      <c r="E98" s="498"/>
      <c r="F98" s="499">
        <f>SUM(F47:F97)</f>
        <v>5250</v>
      </c>
      <c r="G98" s="500">
        <f>SUM(G4:G97)</f>
        <v>14172</v>
      </c>
      <c r="H98" s="941">
        <f>SUM(H4:H97)</f>
        <v>70860</v>
      </c>
      <c r="I98" s="173"/>
      <c r="J98" s="146">
        <f>SUM(J47:J97)</f>
        <v>13953</v>
      </c>
      <c r="K98" s="265"/>
      <c r="L98" s="265"/>
      <c r="M98" s="3"/>
      <c r="N98" s="1153">
        <f>14301-13271</f>
        <v>1030</v>
      </c>
      <c r="O98"/>
    </row>
    <row r="99" spans="1:21" ht="21.6" thickBot="1">
      <c r="A99" s="99"/>
      <c r="B99" s="17"/>
      <c r="C99" s="469"/>
      <c r="D99" s="469"/>
      <c r="E99" s="501"/>
      <c r="F99" s="469"/>
      <c r="G99" s="469"/>
      <c r="H99" s="502"/>
      <c r="I99" s="150"/>
      <c r="J99" s="8"/>
      <c r="K99" s="8"/>
      <c r="L99" s="8"/>
      <c r="M99" s="8"/>
      <c r="N99" s="1055"/>
      <c r="O99"/>
    </row>
    <row r="100" spans="1:21" ht="21.6" thickBot="1">
      <c r="A100" s="99"/>
      <c r="B100" s="42" t="s">
        <v>234</v>
      </c>
      <c r="C100" s="456"/>
      <c r="D100" s="457"/>
      <c r="E100" s="458"/>
      <c r="F100" s="455"/>
      <c r="G100" s="493" t="s">
        <v>35</v>
      </c>
      <c r="H100" s="494"/>
      <c r="I100" s="172"/>
      <c r="J100" s="50"/>
      <c r="K100" s="55">
        <v>30</v>
      </c>
      <c r="L100" s="94" t="s">
        <v>39</v>
      </c>
      <c r="M100" s="92"/>
      <c r="N100" s="1055"/>
      <c r="O100" s="347"/>
    </row>
    <row r="101" spans="1:21">
      <c r="A101" s="99"/>
      <c r="B101" s="39"/>
      <c r="C101" s="460"/>
      <c r="D101" s="461"/>
      <c r="E101" s="462"/>
      <c r="F101" s="503"/>
      <c r="G101" s="504"/>
      <c r="H101" s="465">
        <f t="shared" ref="H101:H105" si="24">G101/0.2</f>
        <v>0</v>
      </c>
      <c r="I101" s="167"/>
      <c r="J101" s="27"/>
      <c r="K101" s="97"/>
      <c r="L101" s="98"/>
      <c r="M101" s="2"/>
      <c r="N101" s="1055"/>
      <c r="O101" s="347"/>
      <c r="P101" s="306"/>
      <c r="Q101" s="306"/>
      <c r="R101" s="306"/>
      <c r="S101" s="306"/>
    </row>
    <row r="102" spans="1:21" s="3" customFormat="1" ht="0.75" customHeight="1">
      <c r="A102" s="99"/>
      <c r="B102" s="39"/>
      <c r="C102" s="466"/>
      <c r="D102" s="467"/>
      <c r="E102" s="462"/>
      <c r="F102" s="503"/>
      <c r="G102" s="504"/>
      <c r="H102" s="465">
        <f t="shared" si="24"/>
        <v>0</v>
      </c>
      <c r="I102" s="167"/>
      <c r="J102" s="27">
        <f t="shared" ref="J102:J105" si="25">(K102*$K$100)+L102</f>
        <v>0</v>
      </c>
      <c r="K102" s="97"/>
      <c r="L102" s="98"/>
      <c r="M102" s="2"/>
      <c r="N102" s="1055"/>
      <c r="O102" s="347"/>
      <c r="P102" s="229"/>
      <c r="Q102" s="8"/>
      <c r="R102" s="8"/>
      <c r="S102" s="8"/>
      <c r="T102" s="306"/>
      <c r="U102" s="329"/>
    </row>
    <row r="103" spans="1:21" s="8" customFormat="1" ht="24" customHeight="1">
      <c r="A103" s="99"/>
      <c r="B103" s="39"/>
      <c r="C103" s="466"/>
      <c r="D103" s="467"/>
      <c r="E103" s="462"/>
      <c r="F103" s="505"/>
      <c r="G103" s="504">
        <f t="shared" ref="G103:G105" si="26">J103*0.2</f>
        <v>0</v>
      </c>
      <c r="H103" s="465">
        <f t="shared" si="24"/>
        <v>0</v>
      </c>
      <c r="I103" s="167"/>
      <c r="J103" s="27">
        <f t="shared" si="25"/>
        <v>0</v>
      </c>
      <c r="K103" s="97"/>
      <c r="L103" s="98"/>
      <c r="M103" s="2"/>
      <c r="N103" s="1055"/>
      <c r="O103" s="347"/>
      <c r="P103"/>
      <c r="Q103"/>
      <c r="R103"/>
      <c r="S103"/>
    </row>
    <row r="104" spans="1:21">
      <c r="A104" s="99"/>
      <c r="B104" s="39"/>
      <c r="C104" s="466"/>
      <c r="D104" s="467"/>
      <c r="E104" s="462"/>
      <c r="F104" s="503"/>
      <c r="G104" s="504">
        <f t="shared" si="26"/>
        <v>0</v>
      </c>
      <c r="H104" s="465">
        <f t="shared" si="24"/>
        <v>0</v>
      </c>
      <c r="I104" s="167"/>
      <c r="J104" s="27">
        <f t="shared" si="25"/>
        <v>0</v>
      </c>
      <c r="K104" s="97"/>
      <c r="L104" s="98"/>
      <c r="M104" s="2"/>
      <c r="N104" s="1060"/>
    </row>
    <row r="105" spans="1:21" ht="21.6" thickBot="1">
      <c r="A105" s="17"/>
      <c r="B105" s="39"/>
      <c r="C105" s="466"/>
      <c r="D105" s="467"/>
      <c r="E105" s="462"/>
      <c r="F105" s="503"/>
      <c r="G105" s="504">
        <f t="shared" si="26"/>
        <v>0</v>
      </c>
      <c r="H105" s="465">
        <f t="shared" si="24"/>
        <v>0</v>
      </c>
      <c r="I105" s="167"/>
      <c r="J105" s="27">
        <f t="shared" si="25"/>
        <v>0</v>
      </c>
      <c r="K105" s="97"/>
      <c r="L105" s="98"/>
      <c r="M105" s="2"/>
      <c r="N105" s="150"/>
    </row>
    <row r="106" spans="1:21" ht="21.6" thickBot="1">
      <c r="A106" s="41">
        <v>174</v>
      </c>
      <c r="B106" s="39"/>
      <c r="C106" s="466"/>
      <c r="D106" s="467"/>
      <c r="E106" s="462"/>
      <c r="F106" s="503"/>
      <c r="G106" s="504">
        <f t="shared" ref="G106:G108" si="27">J106*0.2</f>
        <v>0</v>
      </c>
      <c r="H106" s="465">
        <f t="shared" ref="H106:H108" si="28">G106/0.2</f>
        <v>0</v>
      </c>
      <c r="I106" s="167"/>
      <c r="J106" s="27">
        <f t="shared" ref="J106:J108" si="29">(K106*$K$100)+L106</f>
        <v>0</v>
      </c>
      <c r="K106" s="97"/>
      <c r="L106" s="98"/>
      <c r="M106" s="2"/>
      <c r="N106" s="1055"/>
    </row>
    <row r="107" spans="1:21">
      <c r="A107" s="99"/>
      <c r="B107" s="39"/>
      <c r="C107" s="466"/>
      <c r="D107" s="467"/>
      <c r="E107" s="462"/>
      <c r="F107" s="503"/>
      <c r="G107" s="504">
        <f t="shared" si="27"/>
        <v>0</v>
      </c>
      <c r="H107" s="465">
        <f t="shared" si="28"/>
        <v>0</v>
      </c>
      <c r="I107" s="167"/>
      <c r="J107" s="27">
        <f t="shared" si="29"/>
        <v>0</v>
      </c>
      <c r="K107" s="97"/>
      <c r="L107" s="98"/>
      <c r="M107" s="2"/>
      <c r="N107" s="1055"/>
      <c r="R107" s="311"/>
    </row>
    <row r="108" spans="1:21">
      <c r="A108" s="99"/>
      <c r="B108" s="39"/>
      <c r="C108" s="466"/>
      <c r="D108" s="467"/>
      <c r="E108" s="462"/>
      <c r="F108" s="503"/>
      <c r="G108" s="504">
        <f t="shared" si="27"/>
        <v>0</v>
      </c>
      <c r="H108" s="465">
        <f t="shared" si="28"/>
        <v>0</v>
      </c>
      <c r="I108" s="167"/>
      <c r="J108" s="27">
        <f t="shared" si="29"/>
        <v>0</v>
      </c>
      <c r="K108" s="97"/>
      <c r="L108" s="98"/>
      <c r="M108" s="2"/>
      <c r="N108" s="1055"/>
    </row>
    <row r="109" spans="1:21">
      <c r="A109" s="99"/>
      <c r="B109" s="39"/>
      <c r="C109" s="466"/>
      <c r="D109" s="467"/>
      <c r="E109" s="462"/>
      <c r="F109" s="503"/>
      <c r="G109" s="504">
        <f t="shared" ref="G109:G115" si="30">J109*0.2</f>
        <v>0</v>
      </c>
      <c r="H109" s="465">
        <f t="shared" ref="H109:H115" si="31">G109/0.2</f>
        <v>0</v>
      </c>
      <c r="I109" s="167"/>
      <c r="J109" s="27">
        <f t="shared" ref="J109:J115" si="32">(K109*$K$100)+L109</f>
        <v>0</v>
      </c>
      <c r="K109" s="97"/>
      <c r="L109" s="98"/>
      <c r="M109" s="2"/>
      <c r="N109" s="1055"/>
    </row>
    <row r="110" spans="1:21">
      <c r="A110" s="99"/>
      <c r="B110" s="39"/>
      <c r="C110" s="466"/>
      <c r="D110" s="467"/>
      <c r="E110" s="462"/>
      <c r="F110" s="503"/>
      <c r="G110" s="504">
        <f t="shared" si="30"/>
        <v>0</v>
      </c>
      <c r="H110" s="465">
        <f t="shared" si="31"/>
        <v>0</v>
      </c>
      <c r="I110" s="167"/>
      <c r="J110" s="27">
        <f t="shared" si="32"/>
        <v>0</v>
      </c>
      <c r="K110" s="97"/>
      <c r="L110" s="98"/>
      <c r="M110" s="2"/>
      <c r="N110" s="1055"/>
    </row>
    <row r="111" spans="1:21">
      <c r="A111" s="99"/>
      <c r="B111" s="39"/>
      <c r="C111" s="466"/>
      <c r="D111" s="467"/>
      <c r="E111" s="462"/>
      <c r="F111" s="503"/>
      <c r="G111" s="504">
        <f t="shared" si="30"/>
        <v>0</v>
      </c>
      <c r="H111" s="465">
        <f t="shared" si="31"/>
        <v>0</v>
      </c>
      <c r="I111" s="167"/>
      <c r="J111" s="27">
        <f t="shared" si="32"/>
        <v>0</v>
      </c>
      <c r="K111" s="97"/>
      <c r="L111" s="98"/>
      <c r="M111" s="2"/>
      <c r="N111" s="1055"/>
    </row>
    <row r="112" spans="1:21">
      <c r="A112" s="99"/>
      <c r="B112" s="39"/>
      <c r="C112" s="466"/>
      <c r="D112" s="467"/>
      <c r="E112" s="462"/>
      <c r="F112" s="503"/>
      <c r="G112" s="504">
        <f t="shared" si="30"/>
        <v>0</v>
      </c>
      <c r="H112" s="465">
        <f t="shared" si="31"/>
        <v>0</v>
      </c>
      <c r="I112" s="167"/>
      <c r="J112" s="27">
        <f t="shared" si="32"/>
        <v>0</v>
      </c>
      <c r="K112" s="97"/>
      <c r="L112" s="98"/>
      <c r="M112" s="2"/>
      <c r="N112" s="1055"/>
    </row>
    <row r="113" spans="1:19">
      <c r="A113" s="99"/>
      <c r="B113" s="39"/>
      <c r="C113" s="466"/>
      <c r="D113" s="467"/>
      <c r="E113" s="462"/>
      <c r="F113" s="503"/>
      <c r="G113" s="504">
        <f t="shared" si="30"/>
        <v>0</v>
      </c>
      <c r="H113" s="465">
        <f t="shared" si="31"/>
        <v>0</v>
      </c>
      <c r="I113" s="167"/>
      <c r="J113" s="27">
        <f t="shared" si="32"/>
        <v>0</v>
      </c>
      <c r="K113" s="97"/>
      <c r="L113" s="98"/>
      <c r="M113" s="2"/>
      <c r="N113" s="1055"/>
    </row>
    <row r="114" spans="1:19" ht="21.6" thickBot="1">
      <c r="A114" s="99"/>
      <c r="B114" s="39"/>
      <c r="C114" s="466"/>
      <c r="D114" s="467"/>
      <c r="E114" s="462"/>
      <c r="F114" s="503"/>
      <c r="G114" s="504">
        <f t="shared" si="30"/>
        <v>0</v>
      </c>
      <c r="H114" s="465">
        <f t="shared" si="31"/>
        <v>0</v>
      </c>
      <c r="I114" s="167"/>
      <c r="J114" s="27">
        <f t="shared" si="32"/>
        <v>0</v>
      </c>
      <c r="K114" s="97"/>
      <c r="L114" s="98"/>
      <c r="M114" s="2"/>
      <c r="N114" s="1055"/>
    </row>
    <row r="115" spans="1:19" ht="21.6" thickBot="1">
      <c r="A115" s="99"/>
      <c r="B115" s="39"/>
      <c r="C115" s="466"/>
      <c r="D115" s="467"/>
      <c r="E115" s="462"/>
      <c r="F115" s="505"/>
      <c r="G115" s="504">
        <f t="shared" si="30"/>
        <v>0</v>
      </c>
      <c r="H115" s="465">
        <f t="shared" si="31"/>
        <v>0</v>
      </c>
      <c r="I115" s="167"/>
      <c r="J115" s="27">
        <f t="shared" si="32"/>
        <v>0</v>
      </c>
      <c r="K115" s="97"/>
      <c r="L115" s="98"/>
      <c r="M115" s="2"/>
      <c r="N115" s="1055"/>
      <c r="O115" s="1250" t="s">
        <v>264</v>
      </c>
      <c r="P115" s="1251"/>
      <c r="Q115" s="1252"/>
      <c r="R115" s="294" t="s">
        <v>262</v>
      </c>
    </row>
    <row r="116" spans="1:19" ht="27" customHeight="1" thickBot="1">
      <c r="A116" s="99"/>
      <c r="B116" s="143"/>
      <c r="C116" s="497"/>
      <c r="D116" s="506"/>
      <c r="E116" s="507"/>
      <c r="F116" s="508">
        <f>SUM(F101:F115)</f>
        <v>0</v>
      </c>
      <c r="G116" s="509">
        <f>SUM(G101:G115)</f>
        <v>0</v>
      </c>
      <c r="H116" s="499">
        <f>SUM(H101:H115)</f>
        <v>0</v>
      </c>
      <c r="I116" s="173"/>
      <c r="J116" s="146">
        <f>SUM(J101:J115)</f>
        <v>0</v>
      </c>
      <c r="K116" s="144"/>
      <c r="L116" s="144"/>
      <c r="M116" s="145"/>
      <c r="N116" s="1055"/>
      <c r="O116" s="1190" t="s">
        <v>298</v>
      </c>
      <c r="P116" s="1191"/>
      <c r="Q116" s="1192"/>
      <c r="R116" s="154"/>
    </row>
    <row r="117" spans="1:19" ht="24" customHeight="1">
      <c r="A117" s="99"/>
      <c r="B117" s="17"/>
      <c r="C117" s="469"/>
      <c r="D117" s="469"/>
      <c r="E117" s="501"/>
      <c r="F117" s="469"/>
      <c r="G117" s="469"/>
      <c r="H117" s="502"/>
      <c r="I117" s="150"/>
      <c r="J117" s="8"/>
      <c r="K117" s="8"/>
      <c r="L117" s="8"/>
      <c r="M117" s="8"/>
      <c r="N117" s="1055"/>
      <c r="O117" s="1258" t="s">
        <v>299</v>
      </c>
      <c r="P117" s="1259"/>
      <c r="Q117" s="1260"/>
      <c r="R117" s="1117"/>
    </row>
    <row r="118" spans="1:19" ht="22.5" customHeight="1" thickBot="1">
      <c r="A118" s="99"/>
      <c r="B118" s="17"/>
      <c r="C118" s="469"/>
      <c r="D118" s="469"/>
      <c r="E118" s="501"/>
      <c r="F118" s="469"/>
      <c r="G118" s="469"/>
      <c r="H118" s="502"/>
      <c r="I118" s="150"/>
      <c r="J118" s="8"/>
      <c r="K118" s="8"/>
      <c r="L118" s="8"/>
      <c r="M118" s="8"/>
      <c r="N118" s="1055"/>
      <c r="O118" s="1187" t="s">
        <v>242</v>
      </c>
      <c r="P118" s="1188"/>
      <c r="Q118" s="1189"/>
      <c r="R118" s="155">
        <f>737.8+15.6</f>
        <v>753.4</v>
      </c>
    </row>
    <row r="119" spans="1:19" ht="23.25" customHeight="1" thickBot="1">
      <c r="A119" s="99"/>
      <c r="B119" s="17"/>
      <c r="C119" s="469"/>
      <c r="D119" s="469"/>
      <c r="E119" s="501"/>
      <c r="F119" s="469"/>
      <c r="G119" s="469"/>
      <c r="H119" s="502"/>
      <c r="I119" s="150"/>
      <c r="J119" s="8"/>
      <c r="K119" s="8"/>
      <c r="L119" s="8"/>
      <c r="M119" s="8"/>
      <c r="N119" s="1055"/>
      <c r="O119" s="1175" t="s">
        <v>243</v>
      </c>
      <c r="P119" s="1176"/>
      <c r="Q119" s="1177"/>
      <c r="R119" s="156">
        <f>$G$116-R118</f>
        <v>-753.4</v>
      </c>
      <c r="S119" s="145"/>
    </row>
    <row r="120" spans="1:19" s="145" customFormat="1" ht="30" customHeight="1">
      <c r="A120" s="99"/>
      <c r="B120" s="17"/>
      <c r="C120" s="469"/>
      <c r="D120" s="469"/>
      <c r="E120" s="501"/>
      <c r="F120" s="469"/>
      <c r="G120" s="469"/>
      <c r="H120" s="502"/>
      <c r="I120" s="150"/>
      <c r="J120" s="8"/>
      <c r="K120" s="8"/>
      <c r="L120" s="8"/>
      <c r="M120" s="8"/>
      <c r="N120" s="1055"/>
      <c r="O120" s="17"/>
      <c r="P120" s="8"/>
      <c r="Q120" s="8"/>
      <c r="R120" s="8"/>
      <c r="S120" s="8"/>
    </row>
    <row r="121" spans="1:19" s="8" customFormat="1">
      <c r="A121" s="99"/>
      <c r="B121"/>
      <c r="C121" s="510"/>
      <c r="D121" s="511"/>
      <c r="E121" s="512"/>
      <c r="F121" s="513"/>
      <c r="G121" s="514"/>
      <c r="H121" s="515"/>
      <c r="I121" s="174"/>
      <c r="J121" s="90"/>
      <c r="K121"/>
      <c r="L121"/>
      <c r="M121"/>
      <c r="N121" s="1055"/>
      <c r="O121" s="17"/>
    </row>
    <row r="122" spans="1:19" s="8" customFormat="1">
      <c r="A122" s="99"/>
      <c r="B122"/>
      <c r="C122" s="510"/>
      <c r="D122" s="511"/>
      <c r="E122" s="512"/>
      <c r="F122" s="513"/>
      <c r="G122" s="514"/>
      <c r="H122" s="515"/>
      <c r="I122" s="174"/>
      <c r="J122" s="90"/>
      <c r="K122"/>
      <c r="L122"/>
      <c r="M122"/>
      <c r="N122" s="1060"/>
      <c r="O122" s="17"/>
    </row>
    <row r="123" spans="1:19" s="8" customFormat="1">
      <c r="A123" s="17"/>
      <c r="B123"/>
      <c r="C123" s="510"/>
      <c r="D123" s="511"/>
      <c r="E123" s="512"/>
      <c r="F123" s="513"/>
      <c r="G123" s="514"/>
      <c r="H123" s="515"/>
      <c r="I123" s="174"/>
      <c r="J123" s="90"/>
      <c r="K123"/>
      <c r="L123"/>
      <c r="M123"/>
      <c r="N123" s="150"/>
      <c r="O123" s="17"/>
    </row>
    <row r="124" spans="1:19" s="8" customFormat="1">
      <c r="A124" s="17"/>
      <c r="B124"/>
      <c r="C124" s="510"/>
      <c r="D124" s="511"/>
      <c r="E124" s="512"/>
      <c r="F124" s="513"/>
      <c r="G124" s="514"/>
      <c r="H124" s="515"/>
      <c r="I124" s="174"/>
      <c r="J124" s="90"/>
      <c r="K124"/>
      <c r="L124"/>
      <c r="M124"/>
      <c r="N124" s="150"/>
      <c r="O124" s="90"/>
      <c r="P124"/>
      <c r="Q124"/>
      <c r="R124"/>
      <c r="S124"/>
    </row>
    <row r="125" spans="1:19">
      <c r="A125" s="17"/>
      <c r="N125" s="150"/>
    </row>
    <row r="126" spans="1:19">
      <c r="A126" s="17"/>
      <c r="N126" s="150"/>
    </row>
  </sheetData>
  <protectedRanges>
    <protectedRange sqref="A7:A33" name="Plage1"/>
    <protectedRange sqref="A5:A6 B101:E115 K101:M115 A51 N4:N103 N107:N121 K4:M6 B4:E6 K8:M61 C8:E61 B7:B97 C65:E97 K65:M97" name="Plage1_1"/>
    <protectedRange sqref="B99:C99 O118:O119 H117:I120 H99:I99 B117:C120 O68:O69 A123:A126 A105" name="Plage1_2"/>
    <protectedRange sqref="O66" name="Plage1_2_2_1"/>
    <protectedRange sqref="O116" name="Plage1_2_2_2"/>
    <protectedRange sqref="T116" name="Plage1_2_2_3"/>
    <protectedRange sqref="O117" name="Plage1_2_2_4"/>
    <protectedRange sqref="O67" name="Plage1_2_2_5"/>
    <protectedRange sqref="T66" name="Plage1_2_2_6"/>
    <protectedRange sqref="K7:M7 C7:E7" name="Plage1_1_1"/>
  </protectedRanges>
  <mergeCells count="33">
    <mergeCell ref="AM62:AR62"/>
    <mergeCell ref="AF63:AI64"/>
    <mergeCell ref="Y63:Z63"/>
    <mergeCell ref="Y64:Z65"/>
    <mergeCell ref="AA64:AA65"/>
    <mergeCell ref="AC65:AD65"/>
    <mergeCell ref="Y66:Z66"/>
    <mergeCell ref="AC66:AD66"/>
    <mergeCell ref="Y67:Z67"/>
    <mergeCell ref="T65:W65"/>
    <mergeCell ref="T66:V66"/>
    <mergeCell ref="J1:L1"/>
    <mergeCell ref="A1:A2"/>
    <mergeCell ref="B1:B2"/>
    <mergeCell ref="C1:C2"/>
    <mergeCell ref="D1:D2"/>
    <mergeCell ref="E1:E2"/>
    <mergeCell ref="F1:F2"/>
    <mergeCell ref="G1:G2"/>
    <mergeCell ref="H1:H2"/>
    <mergeCell ref="M1:M2"/>
    <mergeCell ref="O65:Q65"/>
    <mergeCell ref="P3:S3"/>
    <mergeCell ref="O66:Q66"/>
    <mergeCell ref="N1:N2"/>
    <mergeCell ref="O67:Q67"/>
    <mergeCell ref="O68:Q68"/>
    <mergeCell ref="O69:Q69"/>
    <mergeCell ref="O119:Q119"/>
    <mergeCell ref="O118:Q118"/>
    <mergeCell ref="O117:Q117"/>
    <mergeCell ref="O116:Q116"/>
    <mergeCell ref="O115:Q115"/>
  </mergeCells>
  <phoneticPr fontId="46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63" fitToHeight="0" orientation="landscape" r:id="rId1"/>
  <headerFooter>
    <oddHeader>&amp;C&amp;F&amp;R&amp;A</oddHeader>
    <oddFooter>&amp;R&amp;D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783-0AEA-4EAE-B81E-4DA7CC16AA1D}">
  <sheetPr codeName="Feuil4">
    <pageSetUpPr fitToPage="1"/>
  </sheetPr>
  <dimension ref="A1:AJ130"/>
  <sheetViews>
    <sheetView showGridLines="0" topLeftCell="A79" zoomScale="70" zoomScaleNormal="70" workbookViewId="0">
      <selection activeCell="D63" sqref="D63"/>
    </sheetView>
  </sheetViews>
  <sheetFormatPr defaultColWidth="11.44140625" defaultRowHeight="21"/>
  <cols>
    <col min="1" max="1" width="11.44140625" style="469"/>
    <col min="2" max="2" width="27" style="469" customWidth="1"/>
    <col min="3" max="3" width="13.33203125" style="471" customWidth="1"/>
    <col min="4" max="4" width="21.5546875" style="472" customWidth="1"/>
    <col min="5" max="5" width="17" style="473" customWidth="1"/>
    <col min="6" max="6" width="11.44140625" style="471"/>
    <col min="7" max="7" width="13.88671875" style="471" customWidth="1"/>
    <col min="8" max="8" width="11.44140625" style="471"/>
    <col min="9" max="9" width="1.33203125" style="101" customWidth="1"/>
    <col min="10" max="10" width="11.44140625" style="101"/>
    <col min="11" max="11" width="11.44140625" style="1"/>
    <col min="12" max="12" width="13.33203125" style="1" customWidth="1"/>
    <col min="13" max="13" width="46.109375" style="1" customWidth="1"/>
    <col min="14" max="14" width="25.5546875" style="1" customWidth="1"/>
    <col min="15" max="15" width="14.88671875" style="1" customWidth="1"/>
    <col min="16" max="17" width="11.44140625" style="1"/>
    <col min="18" max="18" width="12.33203125" style="1" bestFit="1" customWidth="1"/>
    <col min="19" max="24" width="11.44140625" style="1"/>
    <col min="25" max="25" width="12.6640625" style="1" bestFit="1" customWidth="1"/>
    <col min="26" max="26" width="12" style="1" customWidth="1"/>
    <col min="27" max="27" width="13.44140625" style="1" customWidth="1"/>
    <col min="28" max="28" width="4.6640625" style="1" customWidth="1"/>
    <col min="29" max="16384" width="11.44140625" style="1"/>
  </cols>
  <sheetData>
    <row r="1" spans="1:36" s="492" customFormat="1" ht="45" customHeight="1" thickBot="1">
      <c r="A1" s="1311" t="s">
        <v>0</v>
      </c>
      <c r="B1" s="1309" t="s">
        <v>16</v>
      </c>
      <c r="C1" s="1309" t="s">
        <v>8</v>
      </c>
      <c r="D1" s="1314" t="s">
        <v>11</v>
      </c>
      <c r="E1" s="1337" t="s">
        <v>1</v>
      </c>
      <c r="F1" s="1309" t="s">
        <v>9</v>
      </c>
      <c r="G1" s="1309" t="s">
        <v>237</v>
      </c>
      <c r="H1" s="1333" t="s">
        <v>238</v>
      </c>
      <c r="I1" s="185"/>
      <c r="J1" s="1268" t="s">
        <v>222</v>
      </c>
      <c r="K1" s="1268"/>
      <c r="L1" s="1268"/>
      <c r="M1" s="1339" t="s">
        <v>14</v>
      </c>
      <c r="N1" s="1265" t="s">
        <v>535</v>
      </c>
    </row>
    <row r="2" spans="1:36" s="492" customFormat="1" ht="45" customHeight="1" thickBot="1">
      <c r="A2" s="1312"/>
      <c r="B2" s="1313"/>
      <c r="C2" s="1313"/>
      <c r="D2" s="1315"/>
      <c r="E2" s="1338"/>
      <c r="F2" s="1313"/>
      <c r="G2" s="1313"/>
      <c r="H2" s="1334"/>
      <c r="I2" s="185"/>
      <c r="J2" s="93" t="s">
        <v>229</v>
      </c>
      <c r="K2" s="93" t="s">
        <v>13</v>
      </c>
      <c r="L2" s="93" t="s">
        <v>17</v>
      </c>
      <c r="M2" s="1340"/>
      <c r="N2" s="1336"/>
      <c r="Y2" s="1342" t="s">
        <v>269</v>
      </c>
      <c r="Z2" s="1343"/>
      <c r="AF2" s="1224" t="s">
        <v>366</v>
      </c>
      <c r="AG2" s="1225"/>
      <c r="AH2" s="1225"/>
      <c r="AI2" s="1226"/>
    </row>
    <row r="3" spans="1:36" s="8" customFormat="1" ht="21.6" thickBot="1">
      <c r="A3" s="454">
        <v>178</v>
      </c>
      <c r="B3" s="455" t="s">
        <v>157</v>
      </c>
      <c r="C3" s="456"/>
      <c r="D3" s="457"/>
      <c r="E3" s="516" t="s">
        <v>885</v>
      </c>
      <c r="F3" s="456"/>
      <c r="G3" s="1335" t="s">
        <v>158</v>
      </c>
      <c r="H3" s="1253"/>
      <c r="I3" s="186"/>
      <c r="J3" s="147"/>
      <c r="K3" s="55">
        <v>20</v>
      </c>
      <c r="L3" s="94" t="s">
        <v>39</v>
      </c>
      <c r="M3" s="44"/>
      <c r="N3" s="8" t="s">
        <v>543</v>
      </c>
      <c r="R3" s="326"/>
      <c r="Y3" s="1234" t="s">
        <v>270</v>
      </c>
      <c r="Z3" s="1235"/>
      <c r="AA3" s="1238" t="s">
        <v>271</v>
      </c>
      <c r="AB3" s="319"/>
      <c r="AC3" s="321"/>
      <c r="AD3" s="321"/>
      <c r="AF3" s="1227"/>
      <c r="AG3" s="1228"/>
      <c r="AH3" s="1228"/>
      <c r="AI3" s="1229"/>
      <c r="AJ3" s="1135">
        <f>(R8-(AJ5*AA5))/(AJ5*AA5)</f>
        <v>13.14765100671141</v>
      </c>
    </row>
    <row r="4" spans="1:36" s="8" customFormat="1" ht="22.2" thickTop="1" thickBot="1">
      <c r="A4" s="459">
        <v>178</v>
      </c>
      <c r="B4" s="470"/>
      <c r="C4" s="466" t="s">
        <v>576</v>
      </c>
      <c r="D4" s="467" t="s">
        <v>219</v>
      </c>
      <c r="E4" s="462" t="s">
        <v>577</v>
      </c>
      <c r="F4" s="463">
        <v>150</v>
      </c>
      <c r="G4" s="468">
        <f>H4*0.25</f>
        <v>37.5</v>
      </c>
      <c r="H4" s="465">
        <v>150</v>
      </c>
      <c r="I4" s="167"/>
      <c r="J4" s="27">
        <v>370</v>
      </c>
      <c r="K4" s="96">
        <v>18</v>
      </c>
      <c r="L4" s="96">
        <v>10</v>
      </c>
      <c r="M4" s="46">
        <v>270</v>
      </c>
      <c r="N4" s="150" t="s">
        <v>869</v>
      </c>
      <c r="O4" s="1250" t="s">
        <v>157</v>
      </c>
      <c r="P4" s="1251"/>
      <c r="Q4" s="1252"/>
      <c r="R4" s="279" t="s">
        <v>262</v>
      </c>
      <c r="T4" s="1168" t="s">
        <v>268</v>
      </c>
      <c r="U4" s="1169"/>
      <c r="V4" s="1169"/>
      <c r="W4" s="1170"/>
      <c r="Y4" s="1236"/>
      <c r="Z4" s="1237"/>
      <c r="AA4" s="1239"/>
      <c r="AB4" s="319"/>
      <c r="AC4" s="1240" t="s">
        <v>272</v>
      </c>
      <c r="AD4" s="1241"/>
      <c r="AF4" s="999" t="s">
        <v>679</v>
      </c>
      <c r="AG4" s="960" t="s">
        <v>680</v>
      </c>
      <c r="AH4" s="1003" t="s">
        <v>268</v>
      </c>
      <c r="AI4" s="959" t="s">
        <v>681</v>
      </c>
      <c r="AJ4" s="8" t="s">
        <v>618</v>
      </c>
    </row>
    <row r="5" spans="1:36" s="8" customFormat="1" ht="22.2" thickTop="1" thickBot="1">
      <c r="A5" s="459" t="s">
        <v>156</v>
      </c>
      <c r="B5" s="470"/>
      <c r="C5" s="466" t="s">
        <v>755</v>
      </c>
      <c r="D5" s="467" t="s">
        <v>219</v>
      </c>
      <c r="E5" s="462" t="s">
        <v>756</v>
      </c>
      <c r="F5" s="463">
        <v>150</v>
      </c>
      <c r="G5" s="468">
        <f>J5*0.25</f>
        <v>95</v>
      </c>
      <c r="H5" s="465">
        <f t="shared" ref="H5" si="0">G5/0.25</f>
        <v>380</v>
      </c>
      <c r="I5" s="167"/>
      <c r="J5" s="27">
        <f t="shared" ref="J5" si="1">(K5*$K$3)+L5</f>
        <v>380</v>
      </c>
      <c r="K5" s="96">
        <v>19</v>
      </c>
      <c r="L5" s="96"/>
      <c r="M5" s="46"/>
      <c r="N5" s="150"/>
      <c r="O5" s="1190" t="s">
        <v>298</v>
      </c>
      <c r="P5" s="1191"/>
      <c r="Q5" s="1192"/>
      <c r="R5" s="223">
        <v>0.75</v>
      </c>
      <c r="T5" s="1190" t="s">
        <v>299</v>
      </c>
      <c r="U5" s="1191"/>
      <c r="V5" s="1192"/>
      <c r="W5" s="309">
        <v>35</v>
      </c>
      <c r="Y5" s="1182">
        <f>R5+W5</f>
        <v>35.75</v>
      </c>
      <c r="Z5" s="1183"/>
      <c r="AA5" s="318">
        <v>92</v>
      </c>
      <c r="AC5" s="1344">
        <f>Y5/AA5</f>
        <v>0.38858695652173914</v>
      </c>
      <c r="AD5" s="1345"/>
      <c r="AF5" s="1004">
        <v>0</v>
      </c>
      <c r="AG5" s="1005">
        <v>1.6304347826086956E-2</v>
      </c>
      <c r="AH5" s="1005">
        <v>0</v>
      </c>
      <c r="AI5" s="1001">
        <v>0.38858695652173914</v>
      </c>
      <c r="AJ5" s="1098">
        <f>AVERAGE(AF5:AI5)</f>
        <v>0.10122282608695653</v>
      </c>
    </row>
    <row r="6" spans="1:36" s="8" customFormat="1" ht="21.6" thickBot="1">
      <c r="A6" s="469"/>
      <c r="B6" s="470"/>
      <c r="C6" s="466"/>
      <c r="D6" s="467"/>
      <c r="E6" s="462"/>
      <c r="F6" s="463"/>
      <c r="G6" s="468"/>
      <c r="H6" s="465">
        <f>G6/0.25</f>
        <v>0</v>
      </c>
      <c r="I6" s="167"/>
      <c r="J6" s="27">
        <f t="shared" ref="J6" si="2">(K6*$K$3)+L6</f>
        <v>0</v>
      </c>
      <c r="K6" s="96"/>
      <c r="L6" s="96"/>
      <c r="M6" s="46"/>
      <c r="N6" s="150"/>
      <c r="O6" s="1258" t="s">
        <v>299</v>
      </c>
      <c r="P6" s="1259"/>
      <c r="Q6" s="1260"/>
      <c r="R6" s="224"/>
      <c r="T6" s="299"/>
      <c r="Y6" s="1162"/>
      <c r="Z6" s="1162"/>
      <c r="AA6" s="332">
        <v>91.75</v>
      </c>
      <c r="AF6" s="975" t="s">
        <v>494</v>
      </c>
      <c r="AG6" s="975"/>
      <c r="AH6" s="975"/>
      <c r="AI6" s="975"/>
      <c r="AJ6" s="975"/>
    </row>
    <row r="7" spans="1:36" s="8" customFormat="1" ht="21.6" thickBot="1">
      <c r="A7" s="469"/>
      <c r="B7" s="470"/>
      <c r="C7" s="466"/>
      <c r="D7" s="467"/>
      <c r="E7" s="462"/>
      <c r="F7" s="463"/>
      <c r="G7" s="468"/>
      <c r="H7" s="465">
        <f>G7/0.25</f>
        <v>0</v>
      </c>
      <c r="I7" s="167"/>
      <c r="J7" s="27">
        <f t="shared" ref="J7" si="3">(K7*$K$3)+L7</f>
        <v>0</v>
      </c>
      <c r="K7" s="96"/>
      <c r="L7" s="96"/>
      <c r="M7" s="46"/>
      <c r="N7" s="150"/>
      <c r="O7" s="1289" t="s">
        <v>242</v>
      </c>
      <c r="P7" s="1290"/>
      <c r="Q7" s="1291"/>
      <c r="R7" s="221">
        <f>SUM(R5:R6)</f>
        <v>0.75</v>
      </c>
      <c r="W7" s="8" t="s">
        <v>301</v>
      </c>
      <c r="X7" s="117"/>
      <c r="Y7" s="396">
        <f>R8/Y5</f>
        <v>3.6853146853146854</v>
      </c>
      <c r="Z7" s="392" t="s">
        <v>302</v>
      </c>
      <c r="AF7" s="8" t="s">
        <v>574</v>
      </c>
    </row>
    <row r="8" spans="1:36" s="8" customFormat="1" ht="25.5" customHeight="1" thickBot="1">
      <c r="A8" s="469"/>
      <c r="B8" s="469"/>
      <c r="C8" s="471"/>
      <c r="D8" s="472"/>
      <c r="E8" s="473"/>
      <c r="F8" s="474">
        <f>SUM(F4:F7)</f>
        <v>300</v>
      </c>
      <c r="G8" s="475">
        <f>SUM(G4:G7)</f>
        <v>132.5</v>
      </c>
      <c r="H8" s="476">
        <f>SUM(H4:H7)</f>
        <v>530</v>
      </c>
      <c r="I8" s="183"/>
      <c r="J8" s="25">
        <f>SUM(J4:J7)</f>
        <v>750</v>
      </c>
      <c r="K8" s="31"/>
      <c r="L8" s="31"/>
      <c r="N8" s="1152">
        <f>162-132</f>
        <v>30</v>
      </c>
      <c r="O8" s="1247" t="s">
        <v>243</v>
      </c>
      <c r="P8" s="1248"/>
      <c r="Q8" s="1249"/>
      <c r="R8" s="222">
        <f>$G$8-R7</f>
        <v>131.75</v>
      </c>
      <c r="T8" s="299"/>
      <c r="W8" s="8" t="s">
        <v>303</v>
      </c>
      <c r="Y8" s="395">
        <f>(R8-Y5)/Y5</f>
        <v>2.6853146853146854</v>
      </c>
      <c r="Z8" s="392" t="s">
        <v>302</v>
      </c>
    </row>
    <row r="9" spans="1:36" s="8" customFormat="1" ht="21.6" thickBot="1">
      <c r="A9" s="471"/>
      <c r="B9" s="471"/>
      <c r="C9" s="469"/>
      <c r="D9" s="469"/>
      <c r="E9" s="477"/>
      <c r="F9" s="469"/>
      <c r="G9" s="469"/>
      <c r="H9" s="469"/>
      <c r="O9" s="8" t="s">
        <v>335</v>
      </c>
      <c r="P9" s="8" t="s">
        <v>333</v>
      </c>
      <c r="Q9" s="8" t="s">
        <v>334</v>
      </c>
      <c r="R9" s="8">
        <v>0.5</v>
      </c>
      <c r="U9" s="299"/>
      <c r="Y9" s="1232" t="s">
        <v>269</v>
      </c>
      <c r="Z9" s="1233"/>
    </row>
    <row r="10" spans="1:36" s="8" customFormat="1" ht="21.6" thickBot="1">
      <c r="A10" s="454">
        <v>179</v>
      </c>
      <c r="B10" s="478" t="s">
        <v>159</v>
      </c>
      <c r="C10" s="456"/>
      <c r="D10" s="457"/>
      <c r="E10" s="516" t="s">
        <v>885</v>
      </c>
      <c r="F10" s="456"/>
      <c r="G10" s="1335" t="s">
        <v>179</v>
      </c>
      <c r="H10" s="1253"/>
      <c r="I10" s="186"/>
      <c r="J10" s="147"/>
      <c r="K10" s="55">
        <v>30</v>
      </c>
      <c r="L10" s="94" t="s">
        <v>39</v>
      </c>
      <c r="M10" s="44"/>
      <c r="N10" s="8" t="s">
        <v>538</v>
      </c>
      <c r="R10" s="1063"/>
      <c r="Y10" s="1234" t="s">
        <v>270</v>
      </c>
      <c r="Z10" s="1235"/>
      <c r="AA10" s="1238" t="s">
        <v>271</v>
      </c>
      <c r="AB10" s="319"/>
      <c r="AC10" s="321"/>
      <c r="AD10" s="321"/>
      <c r="AF10" s="1224" t="s">
        <v>366</v>
      </c>
      <c r="AG10" s="1225"/>
      <c r="AH10" s="1225"/>
      <c r="AI10" s="1226"/>
    </row>
    <row r="11" spans="1:36" s="8" customFormat="1" ht="21.6" thickBot="1">
      <c r="A11" s="459">
        <v>179</v>
      </c>
      <c r="B11" s="470"/>
      <c r="C11" s="460" t="s">
        <v>695</v>
      </c>
      <c r="D11" s="461" t="s">
        <v>217</v>
      </c>
      <c r="E11" s="462" t="s">
        <v>741</v>
      </c>
      <c r="F11" s="463">
        <v>75</v>
      </c>
      <c r="G11" s="468">
        <v>49.2</v>
      </c>
      <c r="H11" s="465">
        <f t="shared" ref="H11:H13" si="4">G11/0.4</f>
        <v>123</v>
      </c>
      <c r="I11" s="180"/>
      <c r="J11" s="27">
        <v>123</v>
      </c>
      <c r="K11" s="96">
        <v>4</v>
      </c>
      <c r="L11" s="96">
        <v>3</v>
      </c>
      <c r="M11" s="46"/>
      <c r="N11" s="150" t="s">
        <v>870</v>
      </c>
      <c r="Y11" s="1331"/>
      <c r="Z11" s="1332"/>
      <c r="AA11" s="1341"/>
      <c r="AB11" s="319"/>
      <c r="AC11" s="321"/>
      <c r="AD11" s="321"/>
      <c r="AF11" s="1227"/>
      <c r="AG11" s="1228"/>
      <c r="AH11" s="1228"/>
      <c r="AI11" s="1229"/>
      <c r="AJ11" s="1135">
        <f>(R16-(AJ13*AA13))/(AJ13*AA13)</f>
        <v>9.2916666666666679</v>
      </c>
    </row>
    <row r="12" spans="1:36" s="8" customFormat="1" ht="22.2" thickTop="1" thickBot="1">
      <c r="A12" s="459" t="s">
        <v>160</v>
      </c>
      <c r="B12" s="470"/>
      <c r="C12" s="460" t="s">
        <v>839</v>
      </c>
      <c r="D12" s="461" t="s">
        <v>217</v>
      </c>
      <c r="E12" s="462" t="s">
        <v>841</v>
      </c>
      <c r="F12" s="463">
        <v>75</v>
      </c>
      <c r="G12" s="468">
        <f t="shared" ref="G12:G13" si="5">J12*0.4</f>
        <v>49.6</v>
      </c>
      <c r="H12" s="465">
        <f t="shared" si="4"/>
        <v>124</v>
      </c>
      <c r="I12" s="180"/>
      <c r="J12" s="27">
        <f>(K12*$K$10)+L12</f>
        <v>124</v>
      </c>
      <c r="K12" s="96">
        <v>4</v>
      </c>
      <c r="L12" s="96">
        <v>4</v>
      </c>
      <c r="M12" s="46"/>
      <c r="N12" s="150"/>
      <c r="O12" s="1328" t="s">
        <v>159</v>
      </c>
      <c r="P12" s="1329"/>
      <c r="Q12" s="1330"/>
      <c r="R12" s="279" t="s">
        <v>262</v>
      </c>
      <c r="T12" s="1168" t="s">
        <v>268</v>
      </c>
      <c r="U12" s="1169"/>
      <c r="V12" s="1169"/>
      <c r="W12" s="1170"/>
      <c r="Y12" s="1236"/>
      <c r="Z12" s="1237"/>
      <c r="AA12" s="1239"/>
      <c r="AB12" s="319"/>
      <c r="AC12" s="1240" t="s">
        <v>272</v>
      </c>
      <c r="AD12" s="1241"/>
      <c r="AF12" s="999" t="s">
        <v>679</v>
      </c>
      <c r="AG12" s="960" t="s">
        <v>680</v>
      </c>
      <c r="AH12" s="1003" t="s">
        <v>268</v>
      </c>
      <c r="AI12" s="959" t="s">
        <v>681</v>
      </c>
      <c r="AJ12" s="8" t="s">
        <v>618</v>
      </c>
    </row>
    <row r="13" spans="1:36" s="8" customFormat="1" ht="22.2" thickTop="1" thickBot="1">
      <c r="A13" s="469"/>
      <c r="B13" s="470"/>
      <c r="C13" s="460"/>
      <c r="D13" s="461"/>
      <c r="E13" s="462"/>
      <c r="F13" s="463"/>
      <c r="G13" s="468">
        <f t="shared" si="5"/>
        <v>0</v>
      </c>
      <c r="H13" s="465">
        <f t="shared" si="4"/>
        <v>0</v>
      </c>
      <c r="I13" s="180"/>
      <c r="J13" s="27">
        <f>(K13*$K$10)+L13</f>
        <v>0</v>
      </c>
      <c r="K13" s="96"/>
      <c r="L13" s="96"/>
      <c r="M13" s="46"/>
      <c r="N13" s="150"/>
      <c r="O13" s="1190" t="s">
        <v>298</v>
      </c>
      <c r="P13" s="1191"/>
      <c r="Q13" s="1192"/>
      <c r="R13" s="223">
        <v>0</v>
      </c>
      <c r="T13" s="1165" t="s">
        <v>299</v>
      </c>
      <c r="U13" s="1166"/>
      <c r="V13" s="1167"/>
      <c r="W13" s="309">
        <v>0</v>
      </c>
      <c r="Y13" s="1182">
        <f>R13+W13</f>
        <v>0</v>
      </c>
      <c r="Z13" s="1183"/>
      <c r="AA13" s="318">
        <v>96</v>
      </c>
      <c r="AC13" s="1292">
        <f>Y13/AA13</f>
        <v>0</v>
      </c>
      <c r="AD13" s="1293"/>
      <c r="AF13" s="1004">
        <v>0.13749999999999998</v>
      </c>
      <c r="AG13" s="1005">
        <v>5.4166666666666669E-2</v>
      </c>
      <c r="AH13" s="1005">
        <v>0.20833333333333334</v>
      </c>
      <c r="AI13" s="1001">
        <v>0</v>
      </c>
      <c r="AJ13" s="229">
        <f>AVERAGE(AF13:AI13)</f>
        <v>0.1</v>
      </c>
    </row>
    <row r="14" spans="1:36" s="8" customFormat="1" ht="21.6" thickBot="1">
      <c r="A14" s="469"/>
      <c r="B14" s="470"/>
      <c r="C14" s="460"/>
      <c r="D14" s="461"/>
      <c r="E14" s="462"/>
      <c r="F14" s="463"/>
      <c r="G14" s="468">
        <f t="shared" ref="G14:G15" si="6">J14*0.4</f>
        <v>0</v>
      </c>
      <c r="H14" s="465">
        <f t="shared" ref="H14:H15" si="7">G14/0.4</f>
        <v>0</v>
      </c>
      <c r="I14" s="180"/>
      <c r="J14" s="27">
        <f>(K14*$K$10)+L14</f>
        <v>0</v>
      </c>
      <c r="K14" s="96"/>
      <c r="L14" s="96"/>
      <c r="M14" s="46"/>
      <c r="N14" s="150"/>
      <c r="O14" s="1165" t="s">
        <v>299</v>
      </c>
      <c r="P14" s="1166"/>
      <c r="Q14" s="1167"/>
      <c r="R14" s="1115"/>
      <c r="S14" s="8">
        <v>0</v>
      </c>
      <c r="T14" s="299"/>
      <c r="Y14" s="1256"/>
      <c r="Z14" s="1162"/>
      <c r="AA14" s="332">
        <v>97</v>
      </c>
      <c r="AF14" s="975" t="s">
        <v>495</v>
      </c>
      <c r="AG14" s="975"/>
      <c r="AH14" s="975"/>
      <c r="AI14" s="975"/>
      <c r="AJ14" s="975"/>
    </row>
    <row r="15" spans="1:36" s="8" customFormat="1" ht="21.6" thickBot="1">
      <c r="A15" s="469"/>
      <c r="B15" s="470"/>
      <c r="C15" s="466"/>
      <c r="D15" s="467"/>
      <c r="E15" s="462"/>
      <c r="F15" s="463"/>
      <c r="G15" s="468">
        <f t="shared" si="6"/>
        <v>0</v>
      </c>
      <c r="H15" s="465">
        <f t="shared" si="7"/>
        <v>0</v>
      </c>
      <c r="I15" s="180"/>
      <c r="J15" s="27">
        <f>(K15*$K$10)+L15</f>
        <v>0</v>
      </c>
      <c r="K15" s="96"/>
      <c r="L15" s="96"/>
      <c r="M15" s="46"/>
      <c r="N15" s="150"/>
      <c r="O15" s="1289" t="s">
        <v>242</v>
      </c>
      <c r="P15" s="1290"/>
      <c r="Q15" s="1291"/>
      <c r="R15" s="221">
        <f>SUM(R13:R14)</f>
        <v>0</v>
      </c>
      <c r="W15" s="8" t="s">
        <v>301</v>
      </c>
      <c r="X15" s="117"/>
      <c r="Y15" s="396" t="e">
        <f>R16/Y13</f>
        <v>#DIV/0!</v>
      </c>
      <c r="Z15" s="392" t="s">
        <v>302</v>
      </c>
    </row>
    <row r="16" spans="1:36" s="8" customFormat="1" ht="23.25" customHeight="1" thickBot="1">
      <c r="A16" s="469"/>
      <c r="B16" s="469"/>
      <c r="C16" s="471"/>
      <c r="D16" s="472"/>
      <c r="E16" s="473"/>
      <c r="F16" s="474">
        <f>SUM(F11:F15)</f>
        <v>150</v>
      </c>
      <c r="G16" s="475">
        <f>SUM(G11:G15)</f>
        <v>98.800000000000011</v>
      </c>
      <c r="H16" s="476">
        <f>SUM(H11:H15)</f>
        <v>247</v>
      </c>
      <c r="I16" s="184"/>
      <c r="J16" s="25">
        <f>SUM(J11:J11)</f>
        <v>123</v>
      </c>
      <c r="K16" s="31"/>
      <c r="L16" s="31"/>
      <c r="M16" s="150"/>
      <c r="N16" s="150"/>
      <c r="O16" s="1247" t="s">
        <v>243</v>
      </c>
      <c r="P16" s="1248"/>
      <c r="Q16" s="1249"/>
      <c r="R16" s="222">
        <f>$G$16-R15</f>
        <v>98.800000000000011</v>
      </c>
      <c r="T16" s="299"/>
      <c r="W16" s="8" t="s">
        <v>303</v>
      </c>
      <c r="Y16" s="395" t="e">
        <f>(R16-Y13)/Y13</f>
        <v>#DIV/0!</v>
      </c>
      <c r="Z16" s="392" t="s">
        <v>302</v>
      </c>
    </row>
    <row r="17" spans="1:36" s="8" customFormat="1" ht="21.6" thickBot="1">
      <c r="A17" s="471"/>
      <c r="B17" s="471"/>
      <c r="C17" s="469"/>
      <c r="D17" s="469"/>
      <c r="E17" s="477"/>
      <c r="F17" s="469"/>
      <c r="G17" s="469"/>
      <c r="H17" s="469"/>
      <c r="O17" s="8" t="s">
        <v>335</v>
      </c>
      <c r="P17" s="8" t="s">
        <v>333</v>
      </c>
      <c r="Q17" s="8" t="s">
        <v>334</v>
      </c>
      <c r="R17" s="8">
        <v>6.8</v>
      </c>
    </row>
    <row r="18" spans="1:36" s="8" customFormat="1" ht="21.6" thickBot="1">
      <c r="A18" s="454">
        <v>170</v>
      </c>
      <c r="B18" s="478" t="s">
        <v>162</v>
      </c>
      <c r="C18" s="456"/>
      <c r="D18" s="457"/>
      <c r="E18" s="516" t="s">
        <v>885</v>
      </c>
      <c r="F18" s="456"/>
      <c r="G18" s="1335" t="s">
        <v>286</v>
      </c>
      <c r="H18" s="1253"/>
      <c r="I18" s="186"/>
      <c r="J18" s="147"/>
      <c r="K18" s="55">
        <v>10</v>
      </c>
      <c r="L18" s="94" t="s">
        <v>39</v>
      </c>
      <c r="M18" s="44"/>
      <c r="N18" s="8" t="s">
        <v>541</v>
      </c>
      <c r="R18" s="1063"/>
      <c r="Y18" s="1232" t="s">
        <v>269</v>
      </c>
      <c r="Z18" s="1233"/>
      <c r="AF18" s="1224" t="s">
        <v>366</v>
      </c>
      <c r="AG18" s="1225"/>
      <c r="AH18" s="1225"/>
      <c r="AI18" s="1226"/>
    </row>
    <row r="19" spans="1:36" s="8" customFormat="1" ht="21.6" thickBot="1">
      <c r="A19" s="459">
        <v>170</v>
      </c>
      <c r="B19" s="470"/>
      <c r="C19" s="466" t="s">
        <v>552</v>
      </c>
      <c r="D19" s="467" t="s">
        <v>555</v>
      </c>
      <c r="E19" s="462" t="s">
        <v>554</v>
      </c>
      <c r="F19" s="481"/>
      <c r="G19" s="464">
        <v>6.6000000000000005</v>
      </c>
      <c r="H19" s="838">
        <f t="shared" ref="H19:H20" si="8">G19/1.1</f>
        <v>6</v>
      </c>
      <c r="I19" s="167"/>
      <c r="J19" s="27">
        <v>30</v>
      </c>
      <c r="K19" s="96">
        <v>3</v>
      </c>
      <c r="L19" s="96"/>
      <c r="M19" s="46">
        <v>6</v>
      </c>
      <c r="N19" s="150" t="s">
        <v>864</v>
      </c>
      <c r="Y19" s="1234" t="s">
        <v>270</v>
      </c>
      <c r="Z19" s="1235"/>
      <c r="AA19" s="1238" t="s">
        <v>271</v>
      </c>
      <c r="AB19" s="319"/>
      <c r="AC19" s="321"/>
      <c r="AD19" s="321"/>
      <c r="AF19" s="1227"/>
      <c r="AG19" s="1228"/>
      <c r="AH19" s="1228"/>
      <c r="AI19" s="1229"/>
      <c r="AJ19" s="1135">
        <f>(R24-(AJ21*AA21))/(AJ21*AA21)</f>
        <v>35.834094368340942</v>
      </c>
    </row>
    <row r="20" spans="1:36" s="8" customFormat="1" ht="22.2" thickTop="1" thickBot="1">
      <c r="A20" s="459" t="s">
        <v>161</v>
      </c>
      <c r="B20" s="470" t="s">
        <v>758</v>
      </c>
      <c r="C20" s="466" t="s">
        <v>374</v>
      </c>
      <c r="D20" s="467" t="s">
        <v>616</v>
      </c>
      <c r="E20" s="462" t="s">
        <v>603</v>
      </c>
      <c r="F20" s="481"/>
      <c r="G20" s="464">
        <v>20.900000000000002</v>
      </c>
      <c r="H20" s="838">
        <f t="shared" si="8"/>
        <v>19</v>
      </c>
      <c r="I20" s="167"/>
      <c r="J20" s="27">
        <v>19</v>
      </c>
      <c r="K20" s="96"/>
      <c r="L20" s="96">
        <v>19</v>
      </c>
      <c r="M20" s="46"/>
      <c r="N20" s="150"/>
      <c r="O20" s="1328" t="s">
        <v>162</v>
      </c>
      <c r="P20" s="1329"/>
      <c r="Q20" s="1330"/>
      <c r="R20" s="279" t="s">
        <v>262</v>
      </c>
      <c r="T20" s="1168" t="s">
        <v>268</v>
      </c>
      <c r="U20" s="1169"/>
      <c r="V20" s="1169"/>
      <c r="W20" s="1170"/>
      <c r="Y20" s="1236"/>
      <c r="Z20" s="1237"/>
      <c r="AA20" s="1239"/>
      <c r="AB20" s="319"/>
      <c r="AC20" s="1240" t="s">
        <v>272</v>
      </c>
      <c r="AD20" s="1241"/>
      <c r="AF20" s="999" t="s">
        <v>679</v>
      </c>
      <c r="AG20" s="960" t="s">
        <v>680</v>
      </c>
      <c r="AH20" s="1003" t="s">
        <v>268</v>
      </c>
      <c r="AI20" s="959" t="s">
        <v>681</v>
      </c>
      <c r="AJ20" s="8" t="s">
        <v>618</v>
      </c>
    </row>
    <row r="21" spans="1:36" s="8" customFormat="1" ht="22.2" thickTop="1" thickBot="1">
      <c r="A21" s="469"/>
      <c r="B21" s="470"/>
      <c r="C21" s="466" t="s">
        <v>654</v>
      </c>
      <c r="D21" s="467" t="s">
        <v>663</v>
      </c>
      <c r="E21" s="462" t="s">
        <v>661</v>
      </c>
      <c r="F21" s="481"/>
      <c r="G21" s="464">
        <v>33</v>
      </c>
      <c r="H21" s="838">
        <f>G21/1.1</f>
        <v>29.999999999999996</v>
      </c>
      <c r="I21" s="167"/>
      <c r="J21" s="27">
        <v>30</v>
      </c>
      <c r="K21" s="96"/>
      <c r="L21" s="96">
        <v>30</v>
      </c>
      <c r="M21" s="46"/>
      <c r="N21" s="150"/>
      <c r="O21" s="1190" t="s">
        <v>298</v>
      </c>
      <c r="P21" s="1191"/>
      <c r="Q21" s="1192"/>
      <c r="R21" s="223">
        <v>0</v>
      </c>
      <c r="T21" s="1165" t="s">
        <v>299</v>
      </c>
      <c r="U21" s="1166"/>
      <c r="V21" s="1167"/>
      <c r="W21" s="309">
        <v>0</v>
      </c>
      <c r="Y21" s="1182">
        <f>R21+W21</f>
        <v>0</v>
      </c>
      <c r="Z21" s="1183"/>
      <c r="AA21" s="318">
        <v>77</v>
      </c>
      <c r="AC21" s="1292">
        <f>Y21/AA21</f>
        <v>0</v>
      </c>
      <c r="AD21" s="1293"/>
      <c r="AF21" s="1004">
        <v>8.5324675324675331E-2</v>
      </c>
      <c r="AG21" s="1005">
        <v>0</v>
      </c>
      <c r="AH21" s="1005">
        <v>0</v>
      </c>
      <c r="AI21" s="1001">
        <v>0</v>
      </c>
      <c r="AJ21" s="229">
        <f>AVERAGE(AF21:AI21)</f>
        <v>2.1331168831168833E-2</v>
      </c>
    </row>
    <row r="22" spans="1:36" s="8" customFormat="1" ht="21.6" thickBot="1">
      <c r="A22" s="469"/>
      <c r="B22" s="470"/>
      <c r="C22" s="466"/>
      <c r="D22" s="467"/>
      <c r="E22" s="462"/>
      <c r="F22" s="481"/>
      <c r="G22" s="464"/>
      <c r="H22" s="838"/>
      <c r="I22" s="167"/>
      <c r="J22" s="27"/>
      <c r="K22" s="96"/>
      <c r="L22" s="96"/>
      <c r="M22" s="46"/>
      <c r="N22" s="150"/>
      <c r="O22" s="1165" t="s">
        <v>299</v>
      </c>
      <c r="P22" s="1166"/>
      <c r="Q22" s="1167"/>
      <c r="R22" s="224"/>
      <c r="T22" s="882">
        <v>0</v>
      </c>
      <c r="AA22" s="332">
        <v>101</v>
      </c>
    </row>
    <row r="23" spans="1:36" s="8" customFormat="1" ht="21.6" thickBot="1">
      <c r="A23" s="469"/>
      <c r="B23" s="470"/>
      <c r="C23" s="466"/>
      <c r="D23" s="467"/>
      <c r="E23" s="462"/>
      <c r="F23" s="481"/>
      <c r="G23" s="464"/>
      <c r="H23" s="838"/>
      <c r="I23" s="167"/>
      <c r="J23" s="27"/>
      <c r="K23" s="96"/>
      <c r="L23" s="96"/>
      <c r="M23" s="46"/>
      <c r="N23" s="150"/>
      <c r="O23" s="1289" t="s">
        <v>242</v>
      </c>
      <c r="P23" s="1290"/>
      <c r="Q23" s="1291"/>
      <c r="R23" s="221">
        <f>SUM(R21:R22)</f>
        <v>0</v>
      </c>
      <c r="W23" s="8" t="s">
        <v>301</v>
      </c>
      <c r="X23" s="117"/>
      <c r="Y23" s="396" t="e">
        <f>R24/Y21</f>
        <v>#DIV/0!</v>
      </c>
      <c r="Z23" s="392" t="s">
        <v>302</v>
      </c>
    </row>
    <row r="24" spans="1:36" s="8" customFormat="1" ht="23.25" customHeight="1" thickBot="1">
      <c r="A24" s="469"/>
      <c r="B24" s="469"/>
      <c r="C24" s="471"/>
      <c r="D24" s="472"/>
      <c r="E24" s="473"/>
      <c r="F24" s="474">
        <f>SUM(F19:F23)</f>
        <v>0</v>
      </c>
      <c r="G24" s="475">
        <f>SUM(G19:G23)</f>
        <v>60.5</v>
      </c>
      <c r="H24" s="476">
        <f t="shared" ref="H24:J24" si="9">SUM(H19:H23)</f>
        <v>55</v>
      </c>
      <c r="I24" s="183"/>
      <c r="J24" s="25">
        <f t="shared" si="9"/>
        <v>79</v>
      </c>
      <c r="K24" s="31"/>
      <c r="L24" s="31"/>
      <c r="M24" s="150"/>
      <c r="N24" s="150"/>
      <c r="O24" s="1247" t="s">
        <v>243</v>
      </c>
      <c r="P24" s="1248"/>
      <c r="Q24" s="1249"/>
      <c r="R24" s="222">
        <f>$G$24-R23</f>
        <v>60.5</v>
      </c>
      <c r="T24" s="299"/>
      <c r="W24" s="8" t="s">
        <v>303</v>
      </c>
      <c r="Y24" s="395" t="e">
        <f>(R24-Y21)/Y21</f>
        <v>#DIV/0!</v>
      </c>
      <c r="Z24" s="392" t="s">
        <v>302</v>
      </c>
    </row>
    <row r="25" spans="1:36" s="8" customFormat="1" ht="21.6" thickBot="1">
      <c r="A25" s="471"/>
      <c r="B25" s="471"/>
      <c r="C25" s="469"/>
      <c r="D25" s="469"/>
      <c r="E25" s="477"/>
      <c r="F25" s="469"/>
      <c r="G25" s="469"/>
      <c r="H25" s="469"/>
      <c r="O25" s="8" t="s">
        <v>335</v>
      </c>
      <c r="P25" s="8" t="s">
        <v>333</v>
      </c>
      <c r="Q25" s="8" t="s">
        <v>334</v>
      </c>
      <c r="R25" s="8">
        <v>0</v>
      </c>
      <c r="Y25" s="1232" t="s">
        <v>269</v>
      </c>
      <c r="Z25" s="1233"/>
    </row>
    <row r="26" spans="1:36" s="8" customFormat="1" ht="21.6" thickBot="1">
      <c r="A26" s="454">
        <v>171</v>
      </c>
      <c r="B26" s="478" t="s">
        <v>164</v>
      </c>
      <c r="C26" s="456"/>
      <c r="D26" s="457"/>
      <c r="E26" s="516" t="s">
        <v>885</v>
      </c>
      <c r="F26" s="456"/>
      <c r="G26" s="1335" t="s">
        <v>180</v>
      </c>
      <c r="H26" s="1253"/>
      <c r="I26" s="186"/>
      <c r="J26" s="147"/>
      <c r="K26" s="55">
        <v>12</v>
      </c>
      <c r="L26" s="94" t="s">
        <v>39</v>
      </c>
      <c r="M26" s="44"/>
      <c r="N26" s="8" t="s">
        <v>538</v>
      </c>
      <c r="R26" s="1063"/>
      <c r="Y26" s="1234" t="s">
        <v>270</v>
      </c>
      <c r="Z26" s="1235"/>
      <c r="AA26" s="1238" t="s">
        <v>271</v>
      </c>
      <c r="AB26" s="319"/>
      <c r="AC26" s="321"/>
      <c r="AD26" s="321"/>
      <c r="AF26" s="1224" t="s">
        <v>366</v>
      </c>
      <c r="AG26" s="1225"/>
      <c r="AH26" s="1225"/>
      <c r="AI26" s="1226"/>
    </row>
    <row r="27" spans="1:36" s="8" customFormat="1" ht="21.6" thickBot="1">
      <c r="A27" s="950"/>
      <c r="B27" s="951"/>
      <c r="C27" s="460" t="s">
        <v>682</v>
      </c>
      <c r="D27" s="461" t="s">
        <v>218</v>
      </c>
      <c r="E27" s="462" t="s">
        <v>742</v>
      </c>
      <c r="F27" s="481"/>
      <c r="G27" s="482">
        <f>H27*0.65</f>
        <v>139.1</v>
      </c>
      <c r="H27" s="465">
        <v>214</v>
      </c>
      <c r="I27" s="167"/>
      <c r="J27" s="27">
        <v>230</v>
      </c>
      <c r="K27" s="96">
        <v>19</v>
      </c>
      <c r="L27" s="96">
        <v>2</v>
      </c>
      <c r="M27" s="14"/>
      <c r="N27" s="17" t="s">
        <v>872</v>
      </c>
      <c r="O27" s="1064"/>
      <c r="P27" s="1064"/>
      <c r="Q27" s="1064"/>
      <c r="Y27" s="1331"/>
      <c r="Z27" s="1332"/>
      <c r="AA27" s="1341"/>
      <c r="AB27" s="319"/>
      <c r="AC27" s="321"/>
      <c r="AD27" s="321"/>
      <c r="AF27" s="1227"/>
      <c r="AG27" s="1228"/>
      <c r="AH27" s="1228"/>
      <c r="AI27" s="1229"/>
      <c r="AJ27" s="1135">
        <f>(R33-(AJ29*AA29))/(AJ29*AA29)</f>
        <v>30.937500000000004</v>
      </c>
    </row>
    <row r="28" spans="1:36" s="8" customFormat="1" ht="22.2" thickTop="1" thickBot="1">
      <c r="A28" s="459">
        <v>171</v>
      </c>
      <c r="B28" s="470"/>
      <c r="C28" s="460" t="s">
        <v>687</v>
      </c>
      <c r="D28" s="461" t="s">
        <v>218</v>
      </c>
      <c r="E28" s="462" t="s">
        <v>757</v>
      </c>
      <c r="F28" s="481">
        <v>300</v>
      </c>
      <c r="G28" s="482">
        <f t="shared" ref="G28:G30" si="10">J28*0.65</f>
        <v>193.05</v>
      </c>
      <c r="H28" s="465">
        <f t="shared" ref="H28:H30" si="11">G28/0.65</f>
        <v>297</v>
      </c>
      <c r="I28" s="167"/>
      <c r="J28" s="27">
        <f t="shared" ref="J28:J30" si="12">(K28*$K$26)+L28</f>
        <v>297</v>
      </c>
      <c r="K28" s="96">
        <v>24</v>
      </c>
      <c r="L28" s="96">
        <v>9</v>
      </c>
      <c r="M28" s="14"/>
      <c r="N28" s="17"/>
      <c r="O28" s="1328" t="s">
        <v>164</v>
      </c>
      <c r="P28" s="1329"/>
      <c r="Q28" s="1330"/>
      <c r="R28" s="279" t="s">
        <v>262</v>
      </c>
      <c r="T28" s="1168" t="s">
        <v>268</v>
      </c>
      <c r="U28" s="1169"/>
      <c r="V28" s="1169"/>
      <c r="W28" s="1170"/>
      <c r="Y28" s="1236"/>
      <c r="Z28" s="1237"/>
      <c r="AA28" s="1239"/>
      <c r="AB28" s="319"/>
      <c r="AC28" s="1240" t="s">
        <v>272</v>
      </c>
      <c r="AD28" s="1241"/>
      <c r="AF28" s="999" t="s">
        <v>679</v>
      </c>
      <c r="AG28" s="960" t="s">
        <v>680</v>
      </c>
      <c r="AH28" s="1003" t="s">
        <v>268</v>
      </c>
      <c r="AI28" s="959" t="s">
        <v>681</v>
      </c>
      <c r="AJ28" s="8" t="s">
        <v>618</v>
      </c>
    </row>
    <row r="29" spans="1:36" s="8" customFormat="1" ht="22.2" thickTop="1" thickBot="1">
      <c r="A29" s="459" t="s">
        <v>163</v>
      </c>
      <c r="B29" s="470"/>
      <c r="C29" s="460"/>
      <c r="D29" s="461"/>
      <c r="E29" s="462"/>
      <c r="F29" s="481"/>
      <c r="G29" s="482">
        <f t="shared" si="10"/>
        <v>0</v>
      </c>
      <c r="H29" s="465">
        <f t="shared" si="11"/>
        <v>0</v>
      </c>
      <c r="I29" s="167"/>
      <c r="J29" s="27">
        <f t="shared" si="12"/>
        <v>0</v>
      </c>
      <c r="K29" s="96"/>
      <c r="L29" s="96"/>
      <c r="M29" s="14"/>
      <c r="N29" s="17"/>
      <c r="O29" s="1190" t="s">
        <v>298</v>
      </c>
      <c r="P29" s="1191"/>
      <c r="Q29" s="1192"/>
      <c r="R29" s="223">
        <v>0</v>
      </c>
      <c r="T29" s="1165" t="s">
        <v>299</v>
      </c>
      <c r="U29" s="1166"/>
      <c r="V29" s="1167"/>
      <c r="W29" s="309">
        <v>10.4</v>
      </c>
      <c r="Y29" s="1182">
        <f>R29+W29</f>
        <v>10.4</v>
      </c>
      <c r="Z29" s="1183"/>
      <c r="AA29" s="318">
        <v>94</v>
      </c>
      <c r="AC29" s="1292">
        <f>Y29/AA29</f>
        <v>0.11063829787234043</v>
      </c>
      <c r="AD29" s="1293"/>
      <c r="AF29" s="1004">
        <v>0.33191489361702126</v>
      </c>
      <c r="AG29" s="1005">
        <v>0</v>
      </c>
      <c r="AH29" s="1005">
        <v>0</v>
      </c>
      <c r="AI29" s="1001">
        <v>0.11063829787234043</v>
      </c>
      <c r="AJ29" s="229">
        <f>AVERAGE(AF29:AI29)</f>
        <v>0.11063829787234042</v>
      </c>
    </row>
    <row r="30" spans="1:36" s="8" customFormat="1" ht="21.6" thickBot="1">
      <c r="A30" s="469"/>
      <c r="B30" s="470"/>
      <c r="C30" s="460"/>
      <c r="D30" s="461"/>
      <c r="E30" s="462"/>
      <c r="F30" s="481"/>
      <c r="G30" s="482">
        <f t="shared" si="10"/>
        <v>0</v>
      </c>
      <c r="H30" s="465">
        <f t="shared" si="11"/>
        <v>0</v>
      </c>
      <c r="I30" s="167"/>
      <c r="J30" s="27">
        <f t="shared" si="12"/>
        <v>0</v>
      </c>
      <c r="K30" s="96"/>
      <c r="L30" s="96"/>
      <c r="M30" s="14"/>
      <c r="N30" s="17"/>
      <c r="O30" s="1165" t="s">
        <v>299</v>
      </c>
      <c r="P30" s="1166"/>
      <c r="Q30" s="1167"/>
      <c r="R30" s="1115"/>
      <c r="T30" s="881">
        <f>R30+35</f>
        <v>35</v>
      </c>
      <c r="Y30" s="1256"/>
      <c r="Z30" s="1162"/>
      <c r="AA30" s="332">
        <v>94.25</v>
      </c>
    </row>
    <row r="31" spans="1:36" s="8" customFormat="1" ht="21.6" thickBot="1">
      <c r="A31" s="469"/>
      <c r="B31" s="470"/>
      <c r="C31" s="460"/>
      <c r="D31" s="461"/>
      <c r="E31" s="462"/>
      <c r="F31" s="481"/>
      <c r="G31" s="482">
        <f t="shared" ref="G31" si="13">J31*0.65</f>
        <v>0</v>
      </c>
      <c r="H31" s="465">
        <f t="shared" ref="H31" si="14">G31/0.65</f>
        <v>0</v>
      </c>
      <c r="I31" s="167"/>
      <c r="J31" s="27">
        <f t="shared" ref="J31" si="15">(K31*$K$26)+L31</f>
        <v>0</v>
      </c>
      <c r="K31" s="96"/>
      <c r="L31" s="96"/>
      <c r="M31" s="14"/>
      <c r="N31" s="17"/>
      <c r="O31" s="1289" t="s">
        <v>242</v>
      </c>
      <c r="P31" s="1290"/>
      <c r="Q31" s="1291"/>
      <c r="R31" s="221">
        <f>SUM(R29:R30)</f>
        <v>0</v>
      </c>
      <c r="W31" s="8" t="s">
        <v>301</v>
      </c>
      <c r="X31" s="117"/>
      <c r="Y31" s="396">
        <f>R33/Y29</f>
        <v>31.937499999999996</v>
      </c>
      <c r="Z31" s="392" t="s">
        <v>302</v>
      </c>
    </row>
    <row r="32" spans="1:36" s="8" customFormat="1" ht="21.6" thickBot="1">
      <c r="A32" s="469"/>
      <c r="B32" s="470"/>
      <c r="C32" s="460"/>
      <c r="D32" s="461"/>
      <c r="E32" s="462"/>
      <c r="F32" s="481"/>
      <c r="G32" s="482">
        <f t="shared" ref="G32" si="16">J32*0.65</f>
        <v>0</v>
      </c>
      <c r="H32" s="465">
        <f t="shared" ref="H32" si="17">G32/0.65</f>
        <v>0</v>
      </c>
      <c r="I32" s="167"/>
      <c r="J32" s="27">
        <f t="shared" ref="J32" si="18">(K32*$K$26)+L32</f>
        <v>0</v>
      </c>
      <c r="K32" s="96"/>
      <c r="L32" s="96"/>
      <c r="M32" s="14"/>
      <c r="N32" s="17"/>
      <c r="O32" s="912"/>
      <c r="P32" s="69"/>
      <c r="Q32" s="913"/>
      <c r="R32" s="914"/>
      <c r="X32" s="117"/>
      <c r="Y32" s="396"/>
      <c r="Z32" s="392"/>
      <c r="AC32" s="8" t="s">
        <v>322</v>
      </c>
    </row>
    <row r="33" spans="1:36" s="8" customFormat="1" ht="28.5" customHeight="1" thickBot="1">
      <c r="A33" s="469"/>
      <c r="B33" s="470"/>
      <c r="C33" s="460"/>
      <c r="D33" s="461"/>
      <c r="E33" s="462"/>
      <c r="F33" s="481"/>
      <c r="G33" s="482"/>
      <c r="H33" s="465"/>
      <c r="I33" s="167"/>
      <c r="J33" s="27"/>
      <c r="K33" s="96"/>
      <c r="L33" s="96"/>
      <c r="M33" s="13"/>
      <c r="O33" s="1247" t="s">
        <v>243</v>
      </c>
      <c r="P33" s="1248"/>
      <c r="Q33" s="1249"/>
      <c r="R33" s="156">
        <f>$G$34-R31</f>
        <v>332.15</v>
      </c>
      <c r="S33" s="229"/>
      <c r="W33" s="8" t="s">
        <v>303</v>
      </c>
      <c r="Y33" s="395">
        <f>(R33-Y29)/Y29</f>
        <v>30.9375</v>
      </c>
      <c r="Z33" s="392" t="s">
        <v>302</v>
      </c>
      <c r="AC33" s="8" t="s">
        <v>575</v>
      </c>
    </row>
    <row r="34" spans="1:36" s="8" customFormat="1" ht="21.6" thickBot="1">
      <c r="A34" s="469"/>
      <c r="B34" s="469"/>
      <c r="C34" s="471"/>
      <c r="D34" s="472"/>
      <c r="E34" s="473"/>
      <c r="F34" s="474">
        <f>SUM(F27:F33)</f>
        <v>300</v>
      </c>
      <c r="G34" s="475">
        <f>SUM(G27:G33)</f>
        <v>332.15</v>
      </c>
      <c r="H34" s="476">
        <f>SUM(H27:H33)</f>
        <v>511</v>
      </c>
      <c r="I34" s="184"/>
      <c r="J34" s="25">
        <f>SUM(J27:J33)</f>
        <v>527</v>
      </c>
      <c r="K34" s="31"/>
      <c r="L34" s="31"/>
      <c r="M34" s="150"/>
      <c r="N34" s="150">
        <f>342-332</f>
        <v>10</v>
      </c>
    </row>
    <row r="35" spans="1:36" s="8" customFormat="1" ht="21.6" thickBot="1">
      <c r="A35" s="471"/>
      <c r="B35" s="471"/>
      <c r="C35" s="469"/>
      <c r="D35" s="469"/>
      <c r="E35" s="477"/>
      <c r="F35" s="469"/>
      <c r="G35" s="469"/>
      <c r="H35" s="469"/>
      <c r="O35" s="8" t="s">
        <v>335</v>
      </c>
      <c r="P35" s="8" t="s">
        <v>333</v>
      </c>
      <c r="Q35" s="8" t="s">
        <v>334</v>
      </c>
      <c r="R35" s="8">
        <v>10.4</v>
      </c>
      <c r="U35" s="229"/>
    </row>
    <row r="36" spans="1:36" s="8" customFormat="1" ht="27.75" customHeight="1" thickBot="1">
      <c r="A36" s="454">
        <v>102</v>
      </c>
      <c r="B36" s="478" t="s">
        <v>165</v>
      </c>
      <c r="C36" s="456"/>
      <c r="D36" s="1253" t="s">
        <v>294</v>
      </c>
      <c r="E36" s="1254"/>
      <c r="F36" s="456"/>
      <c r="G36" s="1335" t="s">
        <v>306</v>
      </c>
      <c r="H36" s="1253"/>
      <c r="I36" s="186"/>
      <c r="J36" s="147"/>
      <c r="K36" s="55">
        <v>24</v>
      </c>
      <c r="L36" s="94" t="s">
        <v>39</v>
      </c>
      <c r="M36" s="44"/>
      <c r="N36" s="8" t="s">
        <v>538</v>
      </c>
      <c r="S36" s="299"/>
      <c r="T36" s="299"/>
    </row>
    <row r="37" spans="1:36" s="8" customFormat="1" ht="27.75" customHeight="1">
      <c r="A37" s="459" t="s">
        <v>166</v>
      </c>
      <c r="B37" s="470"/>
      <c r="C37" s="479" t="s">
        <v>610</v>
      </c>
      <c r="D37" s="480" t="s">
        <v>612</v>
      </c>
      <c r="E37" s="483" t="s">
        <v>613</v>
      </c>
      <c r="F37" s="463"/>
      <c r="G37" s="468">
        <f>H37*0.45</f>
        <v>23.400000000000002</v>
      </c>
      <c r="H37" s="465">
        <v>52</v>
      </c>
      <c r="I37" s="167"/>
      <c r="J37" s="27">
        <v>916</v>
      </c>
      <c r="K37" s="96">
        <v>38</v>
      </c>
      <c r="L37" s="96">
        <v>4</v>
      </c>
      <c r="M37" s="46">
        <v>378</v>
      </c>
      <c r="N37" s="150" t="s">
        <v>864</v>
      </c>
    </row>
    <row r="38" spans="1:36" s="8" customFormat="1" ht="27.75" customHeight="1">
      <c r="A38" s="459">
        <v>167</v>
      </c>
      <c r="B38" s="470"/>
      <c r="C38" s="460" t="s">
        <v>635</v>
      </c>
      <c r="D38" s="461" t="s">
        <v>534</v>
      </c>
      <c r="E38" s="483" t="s">
        <v>639</v>
      </c>
      <c r="F38" s="463">
        <v>750</v>
      </c>
      <c r="G38" s="468">
        <f>H38*0.45</f>
        <v>270</v>
      </c>
      <c r="H38" s="465">
        <v>600</v>
      </c>
      <c r="I38" s="167"/>
      <c r="J38" s="27">
        <v>1204</v>
      </c>
      <c r="K38" s="96">
        <v>50</v>
      </c>
      <c r="L38" s="96">
        <v>4</v>
      </c>
      <c r="M38" s="952"/>
      <c r="N38" s="150"/>
      <c r="S38" s="299"/>
    </row>
    <row r="39" spans="1:36" s="8" customFormat="1" ht="27.75" customHeight="1">
      <c r="A39" s="459" t="s">
        <v>167</v>
      </c>
      <c r="B39" s="470"/>
      <c r="C39" s="479" t="s">
        <v>654</v>
      </c>
      <c r="D39" s="480" t="s">
        <v>601</v>
      </c>
      <c r="E39" s="483" t="s">
        <v>664</v>
      </c>
      <c r="F39" s="463">
        <v>450</v>
      </c>
      <c r="G39" s="468">
        <f>H39*0.45</f>
        <v>104.85000000000001</v>
      </c>
      <c r="H39" s="465">
        <v>233</v>
      </c>
      <c r="I39" s="167"/>
      <c r="J39" s="27">
        <v>477</v>
      </c>
      <c r="K39" s="96">
        <v>19</v>
      </c>
      <c r="L39" s="96">
        <v>21</v>
      </c>
      <c r="M39" s="46"/>
      <c r="N39" s="150"/>
    </row>
    <row r="40" spans="1:36" s="8" customFormat="1" ht="27.75" customHeight="1">
      <c r="A40" s="459" t="s">
        <v>168</v>
      </c>
      <c r="B40" s="470"/>
      <c r="C40" s="479" t="s">
        <v>654</v>
      </c>
      <c r="D40" s="480" t="s">
        <v>602</v>
      </c>
      <c r="E40" s="483" t="s">
        <v>665</v>
      </c>
      <c r="F40" s="463"/>
      <c r="G40" s="468">
        <v>108</v>
      </c>
      <c r="H40" s="465">
        <f t="shared" ref="H40:H49" si="19">G40/0.45</f>
        <v>240</v>
      </c>
      <c r="I40" s="167"/>
      <c r="J40" s="27">
        <v>240</v>
      </c>
      <c r="K40" s="96">
        <v>10</v>
      </c>
      <c r="L40" s="96"/>
      <c r="M40" s="46"/>
      <c r="N40" s="150"/>
    </row>
    <row r="41" spans="1:36" s="8" customFormat="1" ht="27.75" customHeight="1">
      <c r="A41" s="459" t="s">
        <v>169</v>
      </c>
      <c r="B41" s="470"/>
      <c r="C41" s="479" t="s">
        <v>695</v>
      </c>
      <c r="D41" s="480" t="s">
        <v>520</v>
      </c>
      <c r="E41" s="483" t="s">
        <v>743</v>
      </c>
      <c r="F41" s="463">
        <v>900</v>
      </c>
      <c r="G41" s="468">
        <v>649.80000000000007</v>
      </c>
      <c r="H41" s="465">
        <f t="shared" si="19"/>
        <v>1444.0000000000002</v>
      </c>
      <c r="I41" s="167"/>
      <c r="J41" s="27">
        <v>1444</v>
      </c>
      <c r="K41" s="96">
        <v>60</v>
      </c>
      <c r="L41" s="96">
        <v>4</v>
      </c>
      <c r="M41" s="46"/>
      <c r="N41" s="1095">
        <f>1432-1383</f>
        <v>49</v>
      </c>
      <c r="O41" s="8">
        <f>N41*0.4</f>
        <v>19.600000000000001</v>
      </c>
    </row>
    <row r="42" spans="1:36" s="8" customFormat="1" ht="27.75" customHeight="1">
      <c r="A42" s="469"/>
      <c r="B42" s="470"/>
      <c r="C42" s="479" t="s">
        <v>755</v>
      </c>
      <c r="D42" s="480" t="s">
        <v>587</v>
      </c>
      <c r="E42" s="483" t="s">
        <v>769</v>
      </c>
      <c r="F42" s="463">
        <v>750</v>
      </c>
      <c r="G42" s="468">
        <f t="shared" ref="G42:G49" si="20">J42*0.45</f>
        <v>216</v>
      </c>
      <c r="H42" s="465">
        <f t="shared" si="19"/>
        <v>480</v>
      </c>
      <c r="I42" s="167"/>
      <c r="J42" s="27">
        <f t="shared" ref="J42:J49" si="21">(K42*$K$36)+L42</f>
        <v>480</v>
      </c>
      <c r="K42" s="96">
        <v>20</v>
      </c>
      <c r="L42" s="96"/>
      <c r="M42" s="46"/>
      <c r="N42" s="150"/>
    </row>
    <row r="43" spans="1:36" s="8" customFormat="1" ht="27.75" customHeight="1">
      <c r="A43" s="469"/>
      <c r="B43" s="310"/>
      <c r="C43" s="479" t="s">
        <v>755</v>
      </c>
      <c r="D43" s="480" t="s">
        <v>768</v>
      </c>
      <c r="E43" s="483" t="s">
        <v>770</v>
      </c>
      <c r="F43" s="463"/>
      <c r="G43" s="468">
        <f t="shared" si="20"/>
        <v>323.55</v>
      </c>
      <c r="H43" s="465">
        <f t="shared" si="19"/>
        <v>719</v>
      </c>
      <c r="I43" s="167"/>
      <c r="J43" s="27">
        <f t="shared" si="21"/>
        <v>719</v>
      </c>
      <c r="K43" s="96">
        <f>4+24+1</f>
        <v>29</v>
      </c>
      <c r="L43" s="96">
        <v>23</v>
      </c>
      <c r="M43" s="46"/>
      <c r="N43" s="150"/>
    </row>
    <row r="44" spans="1:36" s="8" customFormat="1" ht="27.75" customHeight="1" thickBot="1">
      <c r="A44" s="469"/>
      <c r="B44" s="470"/>
      <c r="C44" s="479" t="s">
        <v>790</v>
      </c>
      <c r="D44" s="480" t="s">
        <v>587</v>
      </c>
      <c r="E44" s="483" t="s">
        <v>795</v>
      </c>
      <c r="F44" s="463">
        <v>750</v>
      </c>
      <c r="G44" s="468">
        <f t="shared" si="20"/>
        <v>108</v>
      </c>
      <c r="H44" s="465">
        <f t="shared" si="19"/>
        <v>240</v>
      </c>
      <c r="I44" s="167"/>
      <c r="J44" s="27">
        <f t="shared" si="21"/>
        <v>240</v>
      </c>
      <c r="K44" s="96">
        <v>10</v>
      </c>
      <c r="L44" s="96"/>
      <c r="M44" s="46"/>
      <c r="N44" s="150"/>
    </row>
    <row r="45" spans="1:36" s="8" customFormat="1" ht="27.75" customHeight="1" thickBot="1">
      <c r="A45" s="469"/>
      <c r="B45" s="470"/>
      <c r="C45" s="479" t="s">
        <v>785</v>
      </c>
      <c r="D45" s="480" t="s">
        <v>796</v>
      </c>
      <c r="E45" s="483" t="s">
        <v>797</v>
      </c>
      <c r="F45" s="463"/>
      <c r="G45" s="468">
        <f t="shared" si="20"/>
        <v>108</v>
      </c>
      <c r="H45" s="465">
        <f t="shared" si="19"/>
        <v>240</v>
      </c>
      <c r="I45" s="167"/>
      <c r="J45" s="27">
        <f t="shared" si="21"/>
        <v>240</v>
      </c>
      <c r="K45" s="96">
        <v>10</v>
      </c>
      <c r="L45" s="96"/>
      <c r="M45" s="46"/>
      <c r="N45" s="150"/>
      <c r="Y45" s="1232" t="s">
        <v>269</v>
      </c>
      <c r="Z45" s="1233"/>
      <c r="AF45" s="1224" t="s">
        <v>366</v>
      </c>
      <c r="AG45" s="1225"/>
      <c r="AH45" s="1225"/>
      <c r="AI45" s="1226"/>
    </row>
    <row r="46" spans="1:36" s="8" customFormat="1" ht="27.75" customHeight="1" thickBot="1">
      <c r="A46" s="469"/>
      <c r="B46" s="470"/>
      <c r="C46" s="479" t="s">
        <v>785</v>
      </c>
      <c r="D46" s="480" t="s">
        <v>768</v>
      </c>
      <c r="E46" s="483" t="s">
        <v>798</v>
      </c>
      <c r="F46" s="463"/>
      <c r="G46" s="468">
        <f t="shared" si="20"/>
        <v>324.45</v>
      </c>
      <c r="H46" s="465">
        <f t="shared" si="19"/>
        <v>721</v>
      </c>
      <c r="I46" s="167"/>
      <c r="J46" s="27">
        <f t="shared" si="21"/>
        <v>721</v>
      </c>
      <c r="K46" s="96">
        <f>14+16</f>
        <v>30</v>
      </c>
      <c r="L46" s="96">
        <v>1</v>
      </c>
      <c r="M46" s="46"/>
      <c r="N46" s="150"/>
      <c r="Y46" s="1234" t="s">
        <v>270</v>
      </c>
      <c r="Z46" s="1235"/>
      <c r="AA46" s="1238" t="s">
        <v>271</v>
      </c>
      <c r="AB46" s="319"/>
      <c r="AC46" s="321"/>
      <c r="AD46" s="321"/>
      <c r="AF46" s="1227"/>
      <c r="AG46" s="1228"/>
      <c r="AH46" s="1228"/>
      <c r="AI46" s="1229"/>
      <c r="AJ46" s="1135">
        <f>(R51-(AJ48*AA48))/(AJ48*AA48)</f>
        <v>3.529001340154585</v>
      </c>
    </row>
    <row r="47" spans="1:36" s="8" customFormat="1" ht="27.75" customHeight="1" thickTop="1" thickBot="1">
      <c r="A47" s="469"/>
      <c r="B47" s="470"/>
      <c r="C47" s="479" t="s">
        <v>839</v>
      </c>
      <c r="D47" s="480" t="s">
        <v>854</v>
      </c>
      <c r="E47" s="483" t="s">
        <v>856</v>
      </c>
      <c r="F47" s="463">
        <v>900</v>
      </c>
      <c r="G47" s="468">
        <f>H47*0.45</f>
        <v>432</v>
      </c>
      <c r="H47" s="465">
        <v>960</v>
      </c>
      <c r="I47" s="167"/>
      <c r="J47" s="27">
        <f t="shared" si="21"/>
        <v>960</v>
      </c>
      <c r="K47" s="96">
        <f>18+22</f>
        <v>40</v>
      </c>
      <c r="L47" s="96"/>
      <c r="M47" s="46"/>
      <c r="N47" s="150"/>
      <c r="O47" s="1328" t="s">
        <v>165</v>
      </c>
      <c r="P47" s="1329"/>
      <c r="Q47" s="1330"/>
      <c r="R47" s="279" t="s">
        <v>262</v>
      </c>
      <c r="T47" s="1168" t="s">
        <v>268</v>
      </c>
      <c r="U47" s="1169"/>
      <c r="V47" s="1169"/>
      <c r="W47" s="1170"/>
      <c r="Y47" s="1236"/>
      <c r="Z47" s="1237"/>
      <c r="AA47" s="1239"/>
      <c r="AB47" s="319"/>
      <c r="AC47" s="1240" t="s">
        <v>272</v>
      </c>
      <c r="AD47" s="1241"/>
      <c r="AF47" s="999" t="s">
        <v>679</v>
      </c>
      <c r="AG47" s="960" t="s">
        <v>680</v>
      </c>
      <c r="AH47" s="1003" t="s">
        <v>268</v>
      </c>
      <c r="AI47" s="959" t="s">
        <v>681</v>
      </c>
      <c r="AJ47" s="8" t="s">
        <v>618</v>
      </c>
    </row>
    <row r="48" spans="1:36" s="8" customFormat="1" ht="27.75" customHeight="1" thickTop="1" thickBot="1">
      <c r="A48" s="469"/>
      <c r="B48" s="470"/>
      <c r="C48" s="479" t="s">
        <v>839</v>
      </c>
      <c r="D48" s="480" t="s">
        <v>855</v>
      </c>
      <c r="E48" s="483" t="s">
        <v>857</v>
      </c>
      <c r="F48" s="463"/>
      <c r="G48" s="468">
        <f>H48*0.45</f>
        <v>218.70000000000002</v>
      </c>
      <c r="H48" s="465">
        <v>486</v>
      </c>
      <c r="I48" s="167"/>
      <c r="J48" s="27">
        <f t="shared" si="21"/>
        <v>486</v>
      </c>
      <c r="K48" s="96">
        <f>2+18</f>
        <v>20</v>
      </c>
      <c r="L48" s="96">
        <v>6</v>
      </c>
      <c r="M48" s="46"/>
      <c r="N48" s="150"/>
      <c r="O48" s="1190" t="s">
        <v>298</v>
      </c>
      <c r="P48" s="1191"/>
      <c r="Q48" s="1192"/>
      <c r="R48" s="223">
        <v>249.08</v>
      </c>
      <c r="T48" s="1165" t="s">
        <v>299</v>
      </c>
      <c r="U48" s="1166"/>
      <c r="V48" s="1167"/>
      <c r="W48" s="309">
        <v>447.62599999999998</v>
      </c>
      <c r="Y48" s="1182">
        <f>R48+W48</f>
        <v>696.70600000000002</v>
      </c>
      <c r="Z48" s="1183"/>
      <c r="AA48" s="318">
        <v>92</v>
      </c>
      <c r="AC48" s="1230">
        <f>Y48/AA48</f>
        <v>7.5728913043478263</v>
      </c>
      <c r="AD48" s="1231"/>
      <c r="AF48" s="1004">
        <v>5.0243478260869567</v>
      </c>
      <c r="AG48" s="1005">
        <v>9.2381304347826081</v>
      </c>
      <c r="AH48" s="1005">
        <v>3.4861739130434786</v>
      </c>
      <c r="AI48" s="1001">
        <v>7.5728913043478263</v>
      </c>
      <c r="AJ48" s="229">
        <f>AVERAGE(AF48:AI48)</f>
        <v>6.3303858695652178</v>
      </c>
    </row>
    <row r="49" spans="1:33" s="8" customFormat="1" ht="27.75" customHeight="1" thickBot="1">
      <c r="A49" s="469"/>
      <c r="B49" s="470"/>
      <c r="C49" s="479"/>
      <c r="D49" s="480"/>
      <c r="E49" s="483"/>
      <c r="F49" s="463"/>
      <c r="G49" s="468">
        <f t="shared" si="20"/>
        <v>0</v>
      </c>
      <c r="H49" s="465">
        <f t="shared" si="19"/>
        <v>0</v>
      </c>
      <c r="I49" s="167"/>
      <c r="J49" s="27">
        <f t="shared" si="21"/>
        <v>0</v>
      </c>
      <c r="K49" s="96"/>
      <c r="L49" s="96"/>
      <c r="M49" s="46"/>
      <c r="N49" s="150"/>
      <c r="O49" s="1165" t="s">
        <v>299</v>
      </c>
      <c r="P49" s="1166"/>
      <c r="Q49" s="1167"/>
      <c r="R49" s="1115"/>
      <c r="T49" s="299"/>
      <c r="Y49" s="1256"/>
      <c r="Z49" s="1162"/>
      <c r="AA49" s="332">
        <v>95.32</v>
      </c>
    </row>
    <row r="50" spans="1:33" s="8" customFormat="1" ht="27.75" customHeight="1" thickBot="1">
      <c r="A50" s="469"/>
      <c r="B50" s="470"/>
      <c r="C50" s="479"/>
      <c r="D50" s="480"/>
      <c r="E50" s="483"/>
      <c r="F50" s="463"/>
      <c r="G50" s="468">
        <f t="shared" ref="G50:G51" si="22">J50*0.45</f>
        <v>0</v>
      </c>
      <c r="H50" s="465">
        <f t="shared" ref="H50:H51" si="23">G50/0.45</f>
        <v>0</v>
      </c>
      <c r="I50" s="167"/>
      <c r="J50" s="27">
        <f t="shared" ref="J50:J51" si="24">(K50*$K$36)+L50</f>
        <v>0</v>
      </c>
      <c r="K50" s="96"/>
      <c r="L50" s="96"/>
      <c r="M50" s="46"/>
      <c r="N50" s="382"/>
      <c r="O50" s="1289" t="s">
        <v>242</v>
      </c>
      <c r="P50" s="1290"/>
      <c r="Q50" s="1291"/>
      <c r="R50" s="221">
        <f>SUM(R48:R49)</f>
        <v>249.08</v>
      </c>
      <c r="S50" s="277"/>
      <c r="W50" s="8" t="s">
        <v>301</v>
      </c>
      <c r="X50" s="117"/>
      <c r="Y50" s="396">
        <f>R51/Y48</f>
        <v>3.785915436353354</v>
      </c>
      <c r="Z50" s="392" t="s">
        <v>302</v>
      </c>
      <c r="AG50" s="299"/>
    </row>
    <row r="51" spans="1:33" s="8" customFormat="1" ht="27.75" customHeight="1" thickBot="1">
      <c r="A51" s="469"/>
      <c r="B51" s="470"/>
      <c r="C51" s="479"/>
      <c r="D51" s="480"/>
      <c r="E51" s="483"/>
      <c r="F51" s="463"/>
      <c r="G51" s="468">
        <f t="shared" si="22"/>
        <v>0</v>
      </c>
      <c r="H51" s="465">
        <f t="shared" si="23"/>
        <v>0</v>
      </c>
      <c r="I51" s="167"/>
      <c r="J51" s="27">
        <f t="shared" si="24"/>
        <v>0</v>
      </c>
      <c r="K51" s="96"/>
      <c r="L51" s="96"/>
      <c r="M51" s="46"/>
      <c r="N51" s="150"/>
      <c r="O51" s="1247" t="s">
        <v>243</v>
      </c>
      <c r="P51" s="1248"/>
      <c r="Q51" s="1249"/>
      <c r="R51" s="222">
        <f>$G$60-R50</f>
        <v>2637.67</v>
      </c>
      <c r="S51" s="936"/>
      <c r="T51" s="299"/>
      <c r="W51" s="8" t="s">
        <v>303</v>
      </c>
      <c r="Y51" s="396">
        <f>(R51-Y48)/Y48</f>
        <v>2.785915436353354</v>
      </c>
      <c r="Z51" s="392" t="s">
        <v>302</v>
      </c>
      <c r="AG51" s="299"/>
    </row>
    <row r="52" spans="1:33" s="8" customFormat="1" ht="27.75" customHeight="1">
      <c r="A52" s="469"/>
      <c r="B52" s="470"/>
      <c r="C52" s="479"/>
      <c r="D52" s="480"/>
      <c r="E52" s="483"/>
      <c r="F52" s="463"/>
      <c r="G52" s="468">
        <f t="shared" ref="G52:G56" si="25">J52*0.45</f>
        <v>0</v>
      </c>
      <c r="H52" s="465">
        <f t="shared" ref="H52:H56" si="26">G52/0.45</f>
        <v>0</v>
      </c>
      <c r="I52" s="167"/>
      <c r="J52" s="27">
        <f t="shared" ref="J52:J56" si="27">(K52*$K$36)+L52</f>
        <v>0</v>
      </c>
      <c r="K52" s="96"/>
      <c r="L52" s="96"/>
      <c r="M52" s="46"/>
      <c r="N52" s="150"/>
    </row>
    <row r="53" spans="1:33" s="8" customFormat="1">
      <c r="A53" s="469"/>
      <c r="B53" s="470"/>
      <c r="C53" s="479"/>
      <c r="D53" s="480"/>
      <c r="E53" s="483"/>
      <c r="F53" s="463"/>
      <c r="G53" s="468">
        <f t="shared" si="25"/>
        <v>0</v>
      </c>
      <c r="H53" s="465">
        <f t="shared" si="26"/>
        <v>0</v>
      </c>
      <c r="I53" s="167"/>
      <c r="J53" s="27">
        <f t="shared" si="27"/>
        <v>0</v>
      </c>
      <c r="K53" s="96"/>
      <c r="L53" s="96"/>
      <c r="M53" s="46"/>
      <c r="N53" s="150"/>
      <c r="T53" s="299"/>
    </row>
    <row r="54" spans="1:33" s="8" customFormat="1">
      <c r="A54" s="469"/>
      <c r="B54" s="470"/>
      <c r="C54" s="479"/>
      <c r="D54" s="480"/>
      <c r="E54" s="483"/>
      <c r="F54" s="463"/>
      <c r="G54" s="468">
        <f t="shared" si="25"/>
        <v>0</v>
      </c>
      <c r="H54" s="465">
        <f t="shared" si="26"/>
        <v>0</v>
      </c>
      <c r="I54" s="167"/>
      <c r="J54" s="27">
        <f t="shared" si="27"/>
        <v>0</v>
      </c>
      <c r="K54" s="96"/>
      <c r="L54" s="96"/>
      <c r="M54" s="46"/>
      <c r="N54" s="150"/>
      <c r="T54" s="299"/>
      <c r="U54" s="299"/>
    </row>
    <row r="55" spans="1:33" s="8" customFormat="1">
      <c r="A55" s="469"/>
      <c r="B55" s="470"/>
      <c r="C55" s="479"/>
      <c r="D55" s="480"/>
      <c r="E55" s="483"/>
      <c r="F55" s="463"/>
      <c r="G55" s="468">
        <f t="shared" si="25"/>
        <v>0</v>
      </c>
      <c r="H55" s="465">
        <f t="shared" si="26"/>
        <v>0</v>
      </c>
      <c r="I55" s="167"/>
      <c r="J55" s="27">
        <f t="shared" si="27"/>
        <v>0</v>
      </c>
      <c r="K55" s="96"/>
      <c r="L55" s="96"/>
      <c r="M55" s="46"/>
      <c r="N55" s="150"/>
      <c r="T55" s="299"/>
      <c r="U55" s="299"/>
    </row>
    <row r="56" spans="1:33" s="8" customFormat="1">
      <c r="A56" s="469"/>
      <c r="B56" s="470"/>
      <c r="C56" s="460"/>
      <c r="D56" s="461"/>
      <c r="E56" s="483"/>
      <c r="F56" s="463"/>
      <c r="G56" s="468">
        <f t="shared" si="25"/>
        <v>0</v>
      </c>
      <c r="H56" s="465">
        <f t="shared" si="26"/>
        <v>0</v>
      </c>
      <c r="I56" s="167"/>
      <c r="J56" s="27">
        <f t="shared" si="27"/>
        <v>0</v>
      </c>
      <c r="K56" s="96"/>
      <c r="L56" s="96"/>
      <c r="M56" s="952"/>
      <c r="N56" s="150"/>
      <c r="T56" s="299"/>
      <c r="U56" s="299"/>
    </row>
    <row r="57" spans="1:33" s="8" customFormat="1">
      <c r="A57" s="469"/>
      <c r="B57" s="470"/>
      <c r="C57" s="479"/>
      <c r="D57" s="480"/>
      <c r="E57" s="483"/>
      <c r="F57" s="463"/>
      <c r="G57" s="468">
        <f t="shared" ref="G57" si="28">J57*0.45</f>
        <v>0</v>
      </c>
      <c r="H57" s="465">
        <f t="shared" ref="H57" si="29">G57/0.45</f>
        <v>0</v>
      </c>
      <c r="I57" s="167"/>
      <c r="J57" s="27">
        <f t="shared" ref="J57" si="30">(K57*$K$36)+L57</f>
        <v>0</v>
      </c>
      <c r="K57" s="96"/>
      <c r="L57" s="96"/>
      <c r="M57" s="46"/>
      <c r="N57" s="150"/>
      <c r="S57" s="299"/>
    </row>
    <row r="58" spans="1:33" s="8" customFormat="1">
      <c r="A58" s="469"/>
      <c r="B58" s="470"/>
      <c r="C58" s="479"/>
      <c r="D58" s="480"/>
      <c r="E58" s="483"/>
      <c r="F58" s="463"/>
      <c r="G58" s="468">
        <f t="shared" ref="G58:G59" si="31">J58*0.45</f>
        <v>0</v>
      </c>
      <c r="H58" s="465">
        <f t="shared" ref="H58:H59" si="32">G58/0.45</f>
        <v>0</v>
      </c>
      <c r="I58" s="167"/>
      <c r="J58" s="27">
        <f t="shared" ref="J58" si="33">(K58*$K$36)+L58</f>
        <v>0</v>
      </c>
      <c r="K58" s="96"/>
      <c r="L58" s="96"/>
      <c r="M58" s="46"/>
      <c r="N58" s="150"/>
    </row>
    <row r="59" spans="1:33" s="8" customFormat="1" ht="31.5" customHeight="1" thickBot="1">
      <c r="A59" s="469"/>
      <c r="B59" s="310"/>
      <c r="C59" s="460"/>
      <c r="D59" s="461"/>
      <c r="E59" s="483"/>
      <c r="F59" s="463"/>
      <c r="G59" s="468">
        <f t="shared" si="31"/>
        <v>0</v>
      </c>
      <c r="H59" s="465">
        <f t="shared" si="32"/>
        <v>0</v>
      </c>
      <c r="I59" s="167"/>
      <c r="J59" s="27">
        <f t="shared" ref="J59" si="34">(K59*$K$36)+L59</f>
        <v>0</v>
      </c>
      <c r="K59" s="96"/>
      <c r="L59" s="96"/>
      <c r="M59" s="952"/>
      <c r="N59" s="382"/>
      <c r="T59" s="299"/>
    </row>
    <row r="60" spans="1:33" s="8" customFormat="1" ht="21.6" thickBot="1">
      <c r="A60" s="469"/>
      <c r="B60" s="469"/>
      <c r="C60" s="471"/>
      <c r="D60" s="472"/>
      <c r="E60" s="484"/>
      <c r="F60" s="474">
        <f>SUM(F46:F59)</f>
        <v>900</v>
      </c>
      <c r="G60" s="475">
        <f>SUM(G37:G59)</f>
        <v>2886.75</v>
      </c>
      <c r="H60" s="476">
        <f>SUM(H37:H59)</f>
        <v>6415</v>
      </c>
      <c r="I60" s="184"/>
      <c r="J60" s="25">
        <f>SUM(J37:J59)</f>
        <v>8127</v>
      </c>
      <c r="K60" s="31"/>
      <c r="L60" s="31"/>
      <c r="N60" s="8">
        <f>2764-2236</f>
        <v>528</v>
      </c>
    </row>
    <row r="61" spans="1:33" s="8" customFormat="1" ht="21.6" thickBot="1">
      <c r="A61" s="471"/>
      <c r="B61" s="471"/>
      <c r="C61" s="469"/>
      <c r="D61" s="469"/>
      <c r="E61" s="477"/>
      <c r="F61" s="469"/>
      <c r="G61" s="469"/>
      <c r="H61" s="469"/>
      <c r="O61" s="8" t="s">
        <v>312</v>
      </c>
    </row>
    <row r="62" spans="1:33" s="8" customFormat="1" ht="21.6" thickBot="1">
      <c r="A62" s="454">
        <v>226</v>
      </c>
      <c r="B62" s="478" t="s">
        <v>170</v>
      </c>
      <c r="C62" s="456"/>
      <c r="D62" s="1253" t="s">
        <v>292</v>
      </c>
      <c r="E62" s="1254"/>
      <c r="F62" s="456"/>
      <c r="G62" s="485" t="s">
        <v>307</v>
      </c>
      <c r="H62" s="486"/>
      <c r="I62" s="187"/>
      <c r="J62" s="147"/>
      <c r="K62" s="55">
        <v>12</v>
      </c>
      <c r="L62" s="94" t="s">
        <v>39</v>
      </c>
      <c r="M62" s="44"/>
      <c r="N62" s="8" t="s">
        <v>541</v>
      </c>
    </row>
    <row r="63" spans="1:33" s="8" customFormat="1">
      <c r="A63" s="459"/>
      <c r="B63" s="470"/>
      <c r="C63" s="852" t="s">
        <v>627</v>
      </c>
      <c r="D63" s="853" t="s">
        <v>218</v>
      </c>
      <c r="E63" s="462" t="s">
        <v>634</v>
      </c>
      <c r="F63" s="481">
        <v>300</v>
      </c>
      <c r="G63" s="487">
        <f>187*0.8</f>
        <v>149.6</v>
      </c>
      <c r="H63" s="465">
        <f t="shared" ref="H63:H72" si="35">G63/0.8</f>
        <v>186.99999999999997</v>
      </c>
      <c r="I63" s="167"/>
      <c r="J63" s="27">
        <v>244</v>
      </c>
      <c r="K63" s="96">
        <v>20</v>
      </c>
      <c r="L63" s="96">
        <v>4</v>
      </c>
      <c r="M63" s="46">
        <v>187</v>
      </c>
      <c r="N63" s="150" t="s">
        <v>873</v>
      </c>
    </row>
    <row r="64" spans="1:33" s="8" customFormat="1">
      <c r="A64" s="459"/>
      <c r="B64" s="470"/>
      <c r="C64" s="852" t="s">
        <v>633</v>
      </c>
      <c r="D64" s="853" t="s">
        <v>216</v>
      </c>
      <c r="E64" s="462" t="s">
        <v>640</v>
      </c>
      <c r="F64" s="481">
        <v>450</v>
      </c>
      <c r="G64" s="487">
        <v>304.8</v>
      </c>
      <c r="H64" s="465">
        <f t="shared" si="35"/>
        <v>381</v>
      </c>
      <c r="I64" s="167"/>
      <c r="J64" s="27">
        <v>381</v>
      </c>
      <c r="K64" s="96">
        <v>31</v>
      </c>
      <c r="L64" s="96">
        <v>9</v>
      </c>
      <c r="M64" s="46"/>
      <c r="N64" s="150"/>
    </row>
    <row r="65" spans="1:36" s="8" customFormat="1">
      <c r="A65" s="459"/>
      <c r="B65" s="470"/>
      <c r="C65" s="852" t="s">
        <v>654</v>
      </c>
      <c r="D65" s="853" t="s">
        <v>218</v>
      </c>
      <c r="E65" s="462" t="s">
        <v>667</v>
      </c>
      <c r="F65" s="481">
        <v>300</v>
      </c>
      <c r="G65" s="487">
        <v>211.20000000000002</v>
      </c>
      <c r="H65" s="465">
        <f t="shared" si="35"/>
        <v>264</v>
      </c>
      <c r="I65" s="167"/>
      <c r="J65" s="27">
        <v>264</v>
      </c>
      <c r="K65" s="96">
        <v>22</v>
      </c>
      <c r="L65" s="96"/>
      <c r="M65" s="46"/>
      <c r="N65" s="150"/>
    </row>
    <row r="66" spans="1:36" s="8" customFormat="1">
      <c r="A66" s="459"/>
      <c r="B66" s="470"/>
      <c r="C66" s="852" t="s">
        <v>695</v>
      </c>
      <c r="D66" s="853" t="s">
        <v>218</v>
      </c>
      <c r="E66" s="462" t="s">
        <v>700</v>
      </c>
      <c r="F66" s="481">
        <v>300</v>
      </c>
      <c r="G66" s="487">
        <v>177.60000000000002</v>
      </c>
      <c r="H66" s="465">
        <f t="shared" si="35"/>
        <v>222.00000000000003</v>
      </c>
      <c r="I66" s="167"/>
      <c r="J66" s="27">
        <v>222</v>
      </c>
      <c r="K66" s="96">
        <v>18</v>
      </c>
      <c r="L66" s="96">
        <v>6</v>
      </c>
      <c r="M66" s="46"/>
      <c r="N66" s="150"/>
    </row>
    <row r="67" spans="1:36" s="8" customFormat="1">
      <c r="A67" s="459"/>
      <c r="B67" s="470"/>
      <c r="C67" s="852" t="s">
        <v>755</v>
      </c>
      <c r="D67" s="853" t="s">
        <v>218</v>
      </c>
      <c r="E67" s="462" t="s">
        <v>762</v>
      </c>
      <c r="F67" s="481">
        <v>300</v>
      </c>
      <c r="G67" s="487">
        <f t="shared" ref="G67:G72" si="36">J67*0.8</f>
        <v>188</v>
      </c>
      <c r="H67" s="465">
        <f t="shared" si="35"/>
        <v>235</v>
      </c>
      <c r="I67" s="167"/>
      <c r="J67" s="27">
        <f t="shared" ref="J67:J72" si="37">(K67*$K$62)+L67</f>
        <v>235</v>
      </c>
      <c r="K67" s="96">
        <v>19</v>
      </c>
      <c r="L67" s="96">
        <v>7</v>
      </c>
      <c r="M67" s="46"/>
      <c r="N67" s="150"/>
    </row>
    <row r="68" spans="1:36" s="8" customFormat="1" ht="21.6" thickBot="1">
      <c r="A68" s="469"/>
      <c r="B68" s="470"/>
      <c r="C68" s="852" t="s">
        <v>785</v>
      </c>
      <c r="D68" s="853" t="s">
        <v>218</v>
      </c>
      <c r="E68" s="462" t="s">
        <v>799</v>
      </c>
      <c r="F68" s="481">
        <v>300</v>
      </c>
      <c r="G68" s="487">
        <f t="shared" si="36"/>
        <v>190.4</v>
      </c>
      <c r="H68" s="465">
        <f t="shared" si="35"/>
        <v>238</v>
      </c>
      <c r="I68" s="167"/>
      <c r="J68" s="27">
        <f t="shared" si="37"/>
        <v>238</v>
      </c>
      <c r="K68" s="96">
        <v>19</v>
      </c>
      <c r="L68" s="96">
        <v>10</v>
      </c>
      <c r="M68" s="46"/>
      <c r="N68" s="150"/>
    </row>
    <row r="69" spans="1:36" s="8" customFormat="1" ht="21.6" thickBot="1">
      <c r="A69" s="469"/>
      <c r="B69" s="470"/>
      <c r="C69" s="852" t="s">
        <v>839</v>
      </c>
      <c r="D69" s="853" t="s">
        <v>216</v>
      </c>
      <c r="E69" s="462" t="s">
        <v>842</v>
      </c>
      <c r="F69" s="481">
        <v>450</v>
      </c>
      <c r="G69" s="487">
        <f>H69*0.8</f>
        <v>230.4</v>
      </c>
      <c r="H69" s="465">
        <v>288</v>
      </c>
      <c r="I69" s="167"/>
      <c r="J69" s="27">
        <f t="shared" si="37"/>
        <v>288</v>
      </c>
      <c r="K69" s="96">
        <v>24</v>
      </c>
      <c r="L69" s="96"/>
      <c r="M69" s="46"/>
      <c r="N69" s="150"/>
      <c r="Y69" s="1232" t="s">
        <v>269</v>
      </c>
      <c r="Z69" s="1233"/>
      <c r="AF69" s="1224" t="s">
        <v>366</v>
      </c>
      <c r="AG69" s="1225"/>
      <c r="AH69" s="1225"/>
      <c r="AI69" s="1226"/>
    </row>
    <row r="70" spans="1:36" s="8" customFormat="1" ht="21.6" thickBot="1">
      <c r="A70" s="469"/>
      <c r="B70" s="470"/>
      <c r="C70" s="852" t="s">
        <v>839</v>
      </c>
      <c r="D70" s="853" t="s">
        <v>852</v>
      </c>
      <c r="E70" s="462" t="s">
        <v>853</v>
      </c>
      <c r="F70" s="481"/>
      <c r="G70" s="487">
        <f>H70*0.8</f>
        <v>54.400000000000006</v>
      </c>
      <c r="H70" s="465">
        <v>68</v>
      </c>
      <c r="I70" s="167"/>
      <c r="J70" s="27">
        <f t="shared" si="37"/>
        <v>68</v>
      </c>
      <c r="K70" s="96">
        <v>5</v>
      </c>
      <c r="L70" s="96">
        <v>8</v>
      </c>
      <c r="M70" s="46"/>
      <c r="N70" s="150"/>
      <c r="S70" s="382"/>
      <c r="Y70" s="1234" t="s">
        <v>270</v>
      </c>
      <c r="Z70" s="1235"/>
      <c r="AA70" s="1238" t="s">
        <v>271</v>
      </c>
      <c r="AB70" s="319"/>
      <c r="AC70" s="321"/>
      <c r="AD70" s="321"/>
      <c r="AF70" s="1227"/>
      <c r="AG70" s="1228"/>
      <c r="AH70" s="1228"/>
      <c r="AI70" s="1229"/>
      <c r="AJ70" s="1135">
        <f>(R75-(AJ72*AA72))/(AJ72*AA72)</f>
        <v>5.1212318407260211</v>
      </c>
    </row>
    <row r="71" spans="1:36" s="8" customFormat="1" ht="22.2" thickTop="1" thickBot="1">
      <c r="A71" s="469"/>
      <c r="B71" s="470"/>
      <c r="C71" s="852"/>
      <c r="D71" s="853"/>
      <c r="E71" s="462" t="s">
        <v>877</v>
      </c>
      <c r="F71" s="481"/>
      <c r="G71" s="487">
        <f>H71*0.8</f>
        <v>47.2</v>
      </c>
      <c r="H71" s="465">
        <v>59</v>
      </c>
      <c r="I71" s="167"/>
      <c r="J71" s="27">
        <f t="shared" si="37"/>
        <v>0</v>
      </c>
      <c r="K71" s="96"/>
      <c r="L71" s="96"/>
      <c r="M71" s="46"/>
      <c r="N71" s="150"/>
      <c r="O71" s="1328" t="s">
        <v>170</v>
      </c>
      <c r="P71" s="1329"/>
      <c r="Q71" s="1330"/>
      <c r="R71" s="279" t="s">
        <v>262</v>
      </c>
      <c r="T71" s="1168" t="s">
        <v>268</v>
      </c>
      <c r="U71" s="1169"/>
      <c r="V71" s="1169"/>
      <c r="W71" s="1170"/>
      <c r="Y71" s="1236"/>
      <c r="Z71" s="1237"/>
      <c r="AA71" s="1239"/>
      <c r="AB71" s="319"/>
      <c r="AC71" s="1240" t="s">
        <v>272</v>
      </c>
      <c r="AD71" s="1241"/>
      <c r="AF71" s="999" t="s">
        <v>679</v>
      </c>
      <c r="AG71" s="960" t="s">
        <v>680</v>
      </c>
      <c r="AH71" s="1003" t="s">
        <v>268</v>
      </c>
      <c r="AI71" s="959" t="s">
        <v>681</v>
      </c>
      <c r="AJ71" s="8" t="s">
        <v>618</v>
      </c>
    </row>
    <row r="72" spans="1:36" s="8" customFormat="1" ht="22.2" thickTop="1" thickBot="1">
      <c r="A72" s="469"/>
      <c r="B72" s="470"/>
      <c r="C72" s="852"/>
      <c r="D72" s="853"/>
      <c r="E72" s="462"/>
      <c r="F72" s="481"/>
      <c r="G72" s="487">
        <f t="shared" si="36"/>
        <v>0</v>
      </c>
      <c r="H72" s="465">
        <f t="shared" si="35"/>
        <v>0</v>
      </c>
      <c r="I72" s="167"/>
      <c r="J72" s="27">
        <f t="shared" si="37"/>
        <v>0</v>
      </c>
      <c r="K72" s="96"/>
      <c r="L72" s="96"/>
      <c r="M72" s="46"/>
      <c r="N72" s="150"/>
      <c r="O72" s="1190" t="s">
        <v>298</v>
      </c>
      <c r="P72" s="1191"/>
      <c r="Q72" s="1192"/>
      <c r="R72" s="230">
        <v>161.43600000000001</v>
      </c>
      <c r="T72" s="1165" t="s">
        <v>299</v>
      </c>
      <c r="U72" s="1166"/>
      <c r="V72" s="1167"/>
      <c r="W72" s="309">
        <v>117.392</v>
      </c>
      <c r="Y72" s="1182">
        <f>R72+W72</f>
        <v>278.82799999999997</v>
      </c>
      <c r="Z72" s="1183"/>
      <c r="AA72" s="318">
        <v>104</v>
      </c>
      <c r="AC72" s="1292">
        <f>Y72/AA72</f>
        <v>2.6810384615384613</v>
      </c>
      <c r="AD72" s="1293"/>
      <c r="AF72" s="1004">
        <v>2.5901923076923077</v>
      </c>
      <c r="AG72" s="1005">
        <v>2.0713461538461542</v>
      </c>
      <c r="AH72" s="1005">
        <v>1.4048076923076922</v>
      </c>
      <c r="AI72" s="1001">
        <v>2.6810384615384613</v>
      </c>
      <c r="AJ72" s="229">
        <f>AVERAGE(AF72:AI72)</f>
        <v>2.1868461538461537</v>
      </c>
    </row>
    <row r="73" spans="1:36" s="8" customFormat="1" ht="21.6" thickBot="1">
      <c r="A73" s="469"/>
      <c r="B73" s="470"/>
      <c r="C73" s="852"/>
      <c r="D73" s="853"/>
      <c r="E73" s="462"/>
      <c r="F73" s="481"/>
      <c r="G73" s="487">
        <f t="shared" ref="G73:G74" si="38">J73*0.8</f>
        <v>0</v>
      </c>
      <c r="H73" s="465">
        <f t="shared" ref="H73:H74" si="39">G73/0.8</f>
        <v>0</v>
      </c>
      <c r="I73" s="167"/>
      <c r="J73" s="27">
        <f t="shared" ref="J73:J74" si="40">(K73*$K$62)+L73</f>
        <v>0</v>
      </c>
      <c r="K73" s="96"/>
      <c r="L73" s="96"/>
      <c r="M73" s="46"/>
      <c r="N73" s="150"/>
      <c r="O73" s="1165" t="s">
        <v>299</v>
      </c>
      <c r="P73" s="1166"/>
      <c r="Q73" s="1167"/>
      <c r="R73" s="1118"/>
      <c r="T73" s="881"/>
      <c r="Y73" s="1256"/>
      <c r="Z73" s="1162"/>
      <c r="AA73" s="332">
        <v>103.35</v>
      </c>
    </row>
    <row r="74" spans="1:36" s="8" customFormat="1" ht="21.6" thickBot="1">
      <c r="A74" s="469"/>
      <c r="B74" s="470"/>
      <c r="C74" s="852"/>
      <c r="D74" s="853"/>
      <c r="E74" s="462"/>
      <c r="F74" s="481"/>
      <c r="G74" s="487">
        <f t="shared" si="38"/>
        <v>0</v>
      </c>
      <c r="H74" s="465">
        <f t="shared" si="39"/>
        <v>0</v>
      </c>
      <c r="I74" s="167"/>
      <c r="J74" s="27">
        <f t="shared" si="40"/>
        <v>0</v>
      </c>
      <c r="K74" s="96"/>
      <c r="L74" s="96"/>
      <c r="M74" s="46"/>
      <c r="N74" s="150"/>
      <c r="O74" s="1289" t="s">
        <v>242</v>
      </c>
      <c r="P74" s="1290"/>
      <c r="Q74" s="1291"/>
      <c r="R74" s="232">
        <f>SUM(R72:R73)</f>
        <v>161.43600000000001</v>
      </c>
      <c r="W74" s="8" t="s">
        <v>301</v>
      </c>
      <c r="X74" s="117"/>
      <c r="Y74" s="396">
        <f>R75/Y72</f>
        <v>4.9929131937968947</v>
      </c>
      <c r="Z74" s="392" t="s">
        <v>302</v>
      </c>
      <c r="AG74" s="229"/>
    </row>
    <row r="75" spans="1:36" s="8" customFormat="1" ht="29.25" customHeight="1" thickBot="1">
      <c r="A75" s="469"/>
      <c r="B75" s="470"/>
      <c r="C75" s="852"/>
      <c r="D75" s="853"/>
      <c r="E75" s="462"/>
      <c r="F75" s="481"/>
      <c r="G75" s="487">
        <f t="shared" ref="G75" si="41">J75*0.8</f>
        <v>0</v>
      </c>
      <c r="H75" s="465">
        <f t="shared" ref="H75" si="42">G75/0.8</f>
        <v>0</v>
      </c>
      <c r="I75" s="167"/>
      <c r="J75" s="27">
        <f t="shared" ref="J75" si="43">(K75*$K$62)+L75</f>
        <v>0</v>
      </c>
      <c r="K75" s="96"/>
      <c r="L75" s="96"/>
      <c r="M75" s="46"/>
      <c r="N75" s="150"/>
      <c r="O75" s="1247" t="s">
        <v>243</v>
      </c>
      <c r="P75" s="1248"/>
      <c r="Q75" s="1249"/>
      <c r="R75" s="233">
        <f>$G$79-R74</f>
        <v>1392.1640000000004</v>
      </c>
      <c r="S75" s="277"/>
      <c r="T75" s="299"/>
      <c r="W75" s="8" t="s">
        <v>303</v>
      </c>
      <c r="Y75" s="395">
        <f>(R75-Y72)/Y72</f>
        <v>3.9929131937968947</v>
      </c>
      <c r="Z75" s="392" t="s">
        <v>302</v>
      </c>
    </row>
    <row r="76" spans="1:36" s="8" customFormat="1" ht="29.25" customHeight="1">
      <c r="A76" s="469"/>
      <c r="B76" s="470"/>
      <c r="C76" s="852"/>
      <c r="D76" s="853"/>
      <c r="E76" s="462"/>
      <c r="F76" s="481"/>
      <c r="G76" s="487">
        <f t="shared" ref="G76" si="44">J76*0.8</f>
        <v>0</v>
      </c>
      <c r="H76" s="465">
        <f t="shared" ref="H76" si="45">G76/0.8</f>
        <v>0</v>
      </c>
      <c r="I76" s="167"/>
      <c r="J76" s="27">
        <f t="shared" ref="J76" si="46">(K76*$K$62)+L76</f>
        <v>0</v>
      </c>
      <c r="K76" s="96"/>
      <c r="L76" s="96"/>
      <c r="M76" s="46"/>
      <c r="N76" s="150"/>
      <c r="R76" s="851"/>
      <c r="S76" s="277"/>
      <c r="T76" s="299"/>
      <c r="Y76" s="299"/>
      <c r="Z76" s="64"/>
    </row>
    <row r="77" spans="1:36" s="8" customFormat="1" ht="29.25" customHeight="1">
      <c r="A77" s="469"/>
      <c r="B77" s="470"/>
      <c r="C77" s="852"/>
      <c r="D77" s="853"/>
      <c r="E77" s="462"/>
      <c r="F77" s="481"/>
      <c r="G77" s="487">
        <f t="shared" ref="G77:G78" si="47">J77*0.8</f>
        <v>0</v>
      </c>
      <c r="H77" s="465">
        <f t="shared" ref="H77:H78" si="48">G77/0.8</f>
        <v>0</v>
      </c>
      <c r="I77" s="167"/>
      <c r="J77" s="27">
        <f t="shared" ref="J77:J78" si="49">(K77*$K$62)+L77</f>
        <v>0</v>
      </c>
      <c r="K77" s="96"/>
      <c r="L77" s="96"/>
      <c r="M77" s="46"/>
      <c r="N77" s="150"/>
      <c r="O77" s="284"/>
      <c r="P77" s="284"/>
      <c r="Q77" s="284"/>
      <c r="R77" s="851"/>
      <c r="S77" s="277"/>
      <c r="T77" s="299"/>
      <c r="Y77" s="299"/>
      <c r="Z77" s="64"/>
    </row>
    <row r="78" spans="1:36" s="8" customFormat="1" ht="29.25" customHeight="1" thickBot="1">
      <c r="A78" s="469"/>
      <c r="B78" s="470"/>
      <c r="C78" s="852"/>
      <c r="D78" s="853"/>
      <c r="E78" s="462"/>
      <c r="F78" s="481"/>
      <c r="G78" s="487">
        <f t="shared" si="47"/>
        <v>0</v>
      </c>
      <c r="H78" s="465">
        <f t="shared" si="48"/>
        <v>0</v>
      </c>
      <c r="I78" s="167"/>
      <c r="J78" s="27">
        <f t="shared" si="49"/>
        <v>0</v>
      </c>
      <c r="K78" s="96"/>
      <c r="L78" s="96"/>
      <c r="M78" s="46"/>
      <c r="N78" s="150"/>
      <c r="O78" s="284"/>
      <c r="P78" s="284"/>
      <c r="Q78" s="284"/>
      <c r="R78" s="851"/>
      <c r="S78" s="277"/>
      <c r="T78" s="299"/>
      <c r="Y78" s="299"/>
      <c r="Z78" s="64"/>
    </row>
    <row r="79" spans="1:36" s="8" customFormat="1" ht="21.6" thickBot="1">
      <c r="A79" s="469"/>
      <c r="B79" s="469"/>
      <c r="C79" s="471"/>
      <c r="D79" s="472"/>
      <c r="E79" s="473"/>
      <c r="F79" s="474">
        <f>SUM(F63:F78)</f>
        <v>2400</v>
      </c>
      <c r="G79" s="488">
        <f>SUM(G63:G78)</f>
        <v>1553.6000000000004</v>
      </c>
      <c r="H79" s="476">
        <f>SUM(H63:H78)</f>
        <v>1942</v>
      </c>
      <c r="I79" s="183"/>
      <c r="J79" s="25">
        <f>SUM(J63:J78)</f>
        <v>1940</v>
      </c>
      <c r="K79" s="31"/>
      <c r="L79" s="31"/>
      <c r="M79" s="1152" t="s">
        <v>884</v>
      </c>
      <c r="S79" s="299"/>
      <c r="T79" s="299"/>
    </row>
    <row r="80" spans="1:36" s="8" customFormat="1" ht="21.6" thickBot="1">
      <c r="A80" s="471"/>
      <c r="B80" s="471"/>
      <c r="C80" s="469"/>
      <c r="D80" s="469"/>
      <c r="E80" s="477"/>
      <c r="F80" s="469"/>
      <c r="G80" s="469"/>
      <c r="H80" s="469"/>
      <c r="S80" s="299"/>
      <c r="T80" s="299"/>
    </row>
    <row r="81" spans="1:20" s="8" customFormat="1" ht="21.6" hidden="1" thickBot="1">
      <c r="A81" s="979">
        <v>230</v>
      </c>
      <c r="B81" s="980" t="s">
        <v>447</v>
      </c>
      <c r="C81" s="981"/>
      <c r="D81" s="982" t="s">
        <v>451</v>
      </c>
      <c r="E81" s="983"/>
      <c r="F81" s="984" t="s">
        <v>176</v>
      </c>
      <c r="G81" s="983"/>
      <c r="H81" s="982"/>
      <c r="I81" s="985"/>
      <c r="J81" s="986"/>
      <c r="K81" s="987">
        <v>12</v>
      </c>
      <c r="L81" s="988" t="s">
        <v>39</v>
      </c>
      <c r="M81" s="989"/>
      <c r="N81" s="1062"/>
      <c r="O81" s="1328" t="s">
        <v>447</v>
      </c>
      <c r="P81" s="1329"/>
      <c r="Q81" s="1330"/>
      <c r="R81" s="279" t="s">
        <v>262</v>
      </c>
      <c r="T81" s="299"/>
    </row>
    <row r="82" spans="1:20" s="8" customFormat="1" hidden="1">
      <c r="A82" s="469"/>
      <c r="B82" s="977" t="s">
        <v>450</v>
      </c>
      <c r="C82" s="471"/>
      <c r="D82" s="472"/>
      <c r="E82" s="462"/>
      <c r="F82" s="490"/>
      <c r="G82" s="995"/>
      <c r="H82" s="491">
        <f>G82/1</f>
        <v>0</v>
      </c>
      <c r="I82" s="164"/>
      <c r="J82" s="27">
        <f t="shared" ref="J82" si="50">(K82*$K$62)+L82</f>
        <v>113</v>
      </c>
      <c r="K82" s="31">
        <v>9</v>
      </c>
      <c r="L82" s="31">
        <v>5</v>
      </c>
      <c r="M82" s="997"/>
      <c r="N82" s="150"/>
      <c r="O82" s="1190" t="s">
        <v>298</v>
      </c>
      <c r="P82" s="1191"/>
      <c r="Q82" s="1192"/>
      <c r="R82" s="230"/>
      <c r="T82" s="299"/>
    </row>
    <row r="83" spans="1:20" s="8" customFormat="1" hidden="1">
      <c r="A83" s="469"/>
      <c r="B83" s="977"/>
      <c r="C83" s="471"/>
      <c r="D83" s="472"/>
      <c r="E83" s="462"/>
      <c r="F83" s="490"/>
      <c r="G83" s="995"/>
      <c r="H83" s="491"/>
      <c r="I83" s="164"/>
      <c r="J83" s="59"/>
      <c r="K83" s="31"/>
      <c r="L83" s="31"/>
      <c r="M83" s="150"/>
      <c r="N83" s="150"/>
      <c r="O83" s="1165" t="s">
        <v>299</v>
      </c>
      <c r="P83" s="1166"/>
      <c r="Q83" s="1167"/>
      <c r="R83" s="231"/>
      <c r="T83" s="299"/>
    </row>
    <row r="84" spans="1:20" s="8" customFormat="1" ht="21.6" hidden="1" thickBot="1">
      <c r="A84" s="469"/>
      <c r="B84" s="469"/>
      <c r="C84" s="471"/>
      <c r="D84" s="472"/>
      <c r="E84" s="462"/>
      <c r="F84" s="490"/>
      <c r="G84" s="995"/>
      <c r="H84" s="491"/>
      <c r="I84" s="164"/>
      <c r="J84" s="59">
        <f>(K84*$K$87)+L84</f>
        <v>0</v>
      </c>
      <c r="K84" s="31"/>
      <c r="L84" s="31"/>
      <c r="M84" s="150"/>
      <c r="N84" s="150"/>
      <c r="O84" s="1289" t="s">
        <v>242</v>
      </c>
      <c r="P84" s="1290"/>
      <c r="Q84" s="1291"/>
      <c r="R84" s="232">
        <f>SUM(R82:R83)</f>
        <v>0</v>
      </c>
    </row>
    <row r="85" spans="1:20" s="8" customFormat="1" ht="21.6" hidden="1" thickBot="1">
      <c r="A85" s="469"/>
      <c r="B85" s="469"/>
      <c r="C85" s="471"/>
      <c r="D85" s="472"/>
      <c r="E85" s="473"/>
      <c r="F85" s="474">
        <f>SUM(F82:F84)</f>
        <v>0</v>
      </c>
      <c r="G85" s="488">
        <f t="shared" ref="G85" si="51">SUM(G82:G84)</f>
        <v>0</v>
      </c>
      <c r="H85" s="978">
        <f>SUM(H82:H84)</f>
        <v>0</v>
      </c>
      <c r="I85" s="184"/>
      <c r="J85" s="25">
        <f t="shared" ref="J85" si="52">SUM(J82:J84)</f>
        <v>113</v>
      </c>
      <c r="K85" s="31"/>
      <c r="L85" s="31"/>
      <c r="M85" s="150"/>
      <c r="N85" s="150"/>
      <c r="O85" s="1247" t="s">
        <v>243</v>
      </c>
      <c r="P85" s="1248"/>
      <c r="Q85" s="1249"/>
      <c r="R85" s="233">
        <f>H85-R84</f>
        <v>0</v>
      </c>
      <c r="S85" s="299"/>
    </row>
    <row r="86" spans="1:20" s="8" customFormat="1" ht="21.6" hidden="1" thickBot="1">
      <c r="A86" s="469"/>
      <c r="B86" s="469"/>
      <c r="C86" s="471"/>
      <c r="D86" s="472"/>
      <c r="E86" s="473"/>
      <c r="F86" s="992"/>
      <c r="G86" s="992"/>
      <c r="H86" s="993"/>
      <c r="I86" s="62"/>
      <c r="J86" s="994"/>
      <c r="K86" s="31"/>
      <c r="L86" s="31"/>
      <c r="S86" s="299"/>
    </row>
    <row r="87" spans="1:20" s="8" customFormat="1" ht="21.6" hidden="1" thickBot="1">
      <c r="A87" s="979">
        <v>231</v>
      </c>
      <c r="B87" s="980" t="s">
        <v>448</v>
      </c>
      <c r="C87" s="981"/>
      <c r="D87" s="982" t="s">
        <v>451</v>
      </c>
      <c r="E87" s="983"/>
      <c r="F87" s="984" t="s">
        <v>176</v>
      </c>
      <c r="G87" s="983"/>
      <c r="H87" s="982"/>
      <c r="I87" s="985"/>
      <c r="J87" s="986"/>
      <c r="K87" s="987">
        <v>12</v>
      </c>
      <c r="L87" s="988" t="s">
        <v>39</v>
      </c>
      <c r="M87" s="989"/>
      <c r="N87" s="1062"/>
      <c r="O87" s="1328" t="s">
        <v>448</v>
      </c>
      <c r="P87" s="1329"/>
      <c r="Q87" s="1330"/>
      <c r="R87" s="279" t="s">
        <v>262</v>
      </c>
    </row>
    <row r="88" spans="1:20" s="8" customFormat="1" hidden="1">
      <c r="A88" s="469"/>
      <c r="B88" s="469"/>
      <c r="C88" s="471"/>
      <c r="D88" s="472"/>
      <c r="E88" s="462"/>
      <c r="F88" s="490"/>
      <c r="G88" s="995"/>
      <c r="H88" s="491">
        <f>G88/1</f>
        <v>0</v>
      </c>
      <c r="I88" s="164"/>
      <c r="J88" s="27">
        <f t="shared" ref="J88" si="53">(K88*$K$62)+L88</f>
        <v>115</v>
      </c>
      <c r="K88" s="31">
        <v>9</v>
      </c>
      <c r="L88" s="31">
        <v>7</v>
      </c>
      <c r="M88" s="997"/>
      <c r="N88" s="150"/>
      <c r="O88" s="1190" t="s">
        <v>298</v>
      </c>
      <c r="P88" s="1191"/>
      <c r="Q88" s="1192"/>
      <c r="R88" s="230"/>
    </row>
    <row r="89" spans="1:20" s="8" customFormat="1" hidden="1">
      <c r="A89" s="469"/>
      <c r="B89" s="469"/>
      <c r="C89" s="471"/>
      <c r="D89" s="472"/>
      <c r="E89" s="462"/>
      <c r="F89" s="490"/>
      <c r="G89" s="995"/>
      <c r="H89" s="491"/>
      <c r="I89" s="164"/>
      <c r="J89" s="59"/>
      <c r="K89" s="31"/>
      <c r="L89" s="31"/>
      <c r="M89" s="150"/>
      <c r="N89" s="150"/>
      <c r="O89" s="1165" t="s">
        <v>299</v>
      </c>
      <c r="P89" s="1166"/>
      <c r="Q89" s="1167"/>
      <c r="R89" s="231"/>
    </row>
    <row r="90" spans="1:20" s="8" customFormat="1" ht="21.6" hidden="1" thickBot="1">
      <c r="A90" s="469"/>
      <c r="B90" s="469"/>
      <c r="C90" s="471"/>
      <c r="D90" s="472"/>
      <c r="E90" s="462"/>
      <c r="F90" s="490"/>
      <c r="G90" s="995"/>
      <c r="H90" s="491"/>
      <c r="I90" s="164"/>
      <c r="J90" s="59">
        <f>(K90*$K$93)+L90</f>
        <v>0</v>
      </c>
      <c r="K90" s="31"/>
      <c r="L90" s="31"/>
      <c r="M90" s="150"/>
      <c r="N90" s="150"/>
      <c r="O90" s="1289" t="s">
        <v>242</v>
      </c>
      <c r="P90" s="1290"/>
      <c r="Q90" s="1291"/>
      <c r="R90" s="232">
        <f>SUM(R88:R89)</f>
        <v>0</v>
      </c>
    </row>
    <row r="91" spans="1:20" s="8" customFormat="1" ht="21.6" hidden="1" thickBot="1">
      <c r="A91" s="469"/>
      <c r="B91" s="469"/>
      <c r="C91" s="471"/>
      <c r="D91" s="472"/>
      <c r="E91" s="473"/>
      <c r="F91" s="474">
        <f>SUM(F88:F90)</f>
        <v>0</v>
      </c>
      <c r="G91" s="488">
        <f t="shared" ref="G91" si="54">SUM(G88:G90)</f>
        <v>0</v>
      </c>
      <c r="H91" s="978">
        <f>SUM(H88:H90)</f>
        <v>0</v>
      </c>
      <c r="I91" s="184"/>
      <c r="J91" s="25">
        <f t="shared" ref="J91" si="55">SUM(J88:J90)</f>
        <v>115</v>
      </c>
      <c r="K91" s="31"/>
      <c r="L91" s="31"/>
      <c r="O91" s="1247" t="s">
        <v>243</v>
      </c>
      <c r="P91" s="1248"/>
      <c r="Q91" s="1249"/>
      <c r="R91" s="233">
        <f>H91-R90</f>
        <v>0</v>
      </c>
    </row>
    <row r="92" spans="1:20" s="8" customFormat="1" ht="21.6" hidden="1" thickBot="1">
      <c r="A92" s="469"/>
      <c r="B92" s="469"/>
      <c r="C92" s="471"/>
      <c r="D92" s="472"/>
      <c r="E92" s="473"/>
      <c r="F92" s="992"/>
      <c r="G92" s="992"/>
      <c r="H92" s="993"/>
      <c r="I92" s="62"/>
      <c r="J92" s="994"/>
      <c r="K92" s="31"/>
      <c r="L92" s="31"/>
    </row>
    <row r="93" spans="1:20" s="8" customFormat="1" ht="21.6" hidden="1" thickBot="1">
      <c r="A93" s="979">
        <v>232</v>
      </c>
      <c r="B93" s="980" t="s">
        <v>446</v>
      </c>
      <c r="C93" s="981"/>
      <c r="D93" s="982" t="s">
        <v>451</v>
      </c>
      <c r="E93" s="983"/>
      <c r="F93" s="984" t="s">
        <v>176</v>
      </c>
      <c r="G93" s="983"/>
      <c r="H93" s="982"/>
      <c r="I93" s="985"/>
      <c r="J93" s="986"/>
      <c r="K93" s="987">
        <v>12</v>
      </c>
      <c r="L93" s="988" t="s">
        <v>39</v>
      </c>
      <c r="M93" s="989"/>
      <c r="N93" s="1062"/>
      <c r="O93" s="1328" t="s">
        <v>446</v>
      </c>
      <c r="P93" s="1329"/>
      <c r="Q93" s="1330"/>
      <c r="R93" s="279" t="s">
        <v>262</v>
      </c>
    </row>
    <row r="94" spans="1:20" s="8" customFormat="1" hidden="1">
      <c r="A94" s="469"/>
      <c r="B94" s="469"/>
      <c r="C94" s="471"/>
      <c r="D94" s="472"/>
      <c r="E94" s="462"/>
      <c r="F94" s="490"/>
      <c r="G94" s="995"/>
      <c r="H94" s="491">
        <f>G94/1</f>
        <v>0</v>
      </c>
      <c r="I94" s="164"/>
      <c r="J94" s="27">
        <f t="shared" ref="J94" si="56">(K94*$K$62)+L94</f>
        <v>112</v>
      </c>
      <c r="K94" s="31">
        <v>9</v>
      </c>
      <c r="L94" s="31">
        <v>4</v>
      </c>
      <c r="M94" s="997"/>
      <c r="N94" s="150"/>
      <c r="O94" s="1190" t="s">
        <v>298</v>
      </c>
      <c r="P94" s="1191"/>
      <c r="Q94" s="1192"/>
      <c r="R94" s="230"/>
    </row>
    <row r="95" spans="1:20" s="8" customFormat="1" hidden="1">
      <c r="A95" s="469"/>
      <c r="B95" s="469"/>
      <c r="C95" s="471"/>
      <c r="D95" s="472"/>
      <c r="E95" s="462"/>
      <c r="F95" s="490"/>
      <c r="G95" s="995"/>
      <c r="H95" s="491"/>
      <c r="I95" s="164"/>
      <c r="J95" s="59"/>
      <c r="K95" s="31"/>
      <c r="L95" s="31"/>
      <c r="M95" s="150"/>
      <c r="N95" s="150"/>
      <c r="O95" s="1165" t="s">
        <v>299</v>
      </c>
      <c r="P95" s="1166"/>
      <c r="Q95" s="1167"/>
      <c r="R95" s="231"/>
    </row>
    <row r="96" spans="1:20" s="8" customFormat="1" ht="21.6" hidden="1" thickBot="1">
      <c r="A96" s="469"/>
      <c r="B96" s="469"/>
      <c r="C96" s="471"/>
      <c r="D96" s="472"/>
      <c r="E96" s="462"/>
      <c r="F96" s="490"/>
      <c r="G96" s="995"/>
      <c r="H96" s="491"/>
      <c r="I96" s="164"/>
      <c r="J96" s="59">
        <f>(K96*$K$99)+L96</f>
        <v>0</v>
      </c>
      <c r="K96" s="31"/>
      <c r="L96" s="31"/>
      <c r="M96" s="150"/>
      <c r="N96" s="150"/>
      <c r="O96" s="1289" t="s">
        <v>242</v>
      </c>
      <c r="P96" s="1290"/>
      <c r="Q96" s="1291"/>
      <c r="R96" s="232">
        <f>SUM(R94:R95)</f>
        <v>0</v>
      </c>
    </row>
    <row r="97" spans="1:18" s="8" customFormat="1" ht="21.6" hidden="1" thickBot="1">
      <c r="A97" s="469"/>
      <c r="B97" s="469"/>
      <c r="C97" s="471"/>
      <c r="D97" s="472"/>
      <c r="E97" s="473"/>
      <c r="F97" s="474">
        <f>SUM(F94:F96)</f>
        <v>0</v>
      </c>
      <c r="G97" s="488">
        <f t="shared" ref="G97" si="57">SUM(G94:G96)</f>
        <v>0</v>
      </c>
      <c r="H97" s="978">
        <f>SUM(H94:H96)</f>
        <v>0</v>
      </c>
      <c r="I97" s="184"/>
      <c r="J97" s="25">
        <f t="shared" ref="J97" si="58">SUM(J94:J96)</f>
        <v>112</v>
      </c>
      <c r="K97" s="31"/>
      <c r="L97" s="31"/>
      <c r="O97" s="1247" t="s">
        <v>243</v>
      </c>
      <c r="P97" s="1248"/>
      <c r="Q97" s="1249"/>
      <c r="R97" s="233">
        <f>H97-R96</f>
        <v>0</v>
      </c>
    </row>
    <row r="98" spans="1:18" s="8" customFormat="1" ht="21.6" hidden="1" thickBot="1">
      <c r="A98" s="469"/>
      <c r="B98" s="469"/>
      <c r="C98" s="471"/>
      <c r="D98" s="472"/>
      <c r="E98" s="473"/>
      <c r="F98" s="992"/>
      <c r="G98" s="992"/>
      <c r="H98" s="993"/>
      <c r="I98" s="62"/>
      <c r="J98" s="994"/>
      <c r="K98" s="31"/>
      <c r="L98" s="31"/>
    </row>
    <row r="99" spans="1:18" s="8" customFormat="1" ht="21.6" hidden="1" thickBot="1">
      <c r="A99" s="979">
        <v>233</v>
      </c>
      <c r="B99" s="980" t="s">
        <v>445</v>
      </c>
      <c r="C99" s="981"/>
      <c r="D99" s="982" t="s">
        <v>451</v>
      </c>
      <c r="E99" s="983"/>
      <c r="F99" s="984" t="s">
        <v>176</v>
      </c>
      <c r="G99" s="983"/>
      <c r="H99" s="982"/>
      <c r="I99" s="985"/>
      <c r="J99" s="986"/>
      <c r="K99" s="987">
        <v>12</v>
      </c>
      <c r="L99" s="988" t="s">
        <v>39</v>
      </c>
      <c r="M99" s="989"/>
      <c r="N99" s="1062"/>
      <c r="O99" s="1328" t="s">
        <v>445</v>
      </c>
      <c r="P99" s="1329"/>
      <c r="Q99" s="1330"/>
      <c r="R99" s="279" t="s">
        <v>262</v>
      </c>
    </row>
    <row r="100" spans="1:18" s="8" customFormat="1" hidden="1">
      <c r="A100" s="469"/>
      <c r="B100" s="469"/>
      <c r="C100" s="471"/>
      <c r="D100" s="472"/>
      <c r="E100" s="462"/>
      <c r="F100" s="490"/>
      <c r="G100" s="995"/>
      <c r="H100" s="491">
        <f>G100/1</f>
        <v>0</v>
      </c>
      <c r="I100" s="164"/>
      <c r="J100" s="27">
        <f t="shared" ref="J100" si="59">(K100*$K$62)+L100</f>
        <v>108</v>
      </c>
      <c r="K100" s="31">
        <v>9</v>
      </c>
      <c r="L100" s="31"/>
      <c r="M100" s="997"/>
      <c r="N100" s="150"/>
      <c r="O100" s="1190" t="s">
        <v>298</v>
      </c>
      <c r="P100" s="1191"/>
      <c r="Q100" s="1192"/>
      <c r="R100" s="230"/>
    </row>
    <row r="101" spans="1:18" s="8" customFormat="1" hidden="1">
      <c r="A101" s="469"/>
      <c r="B101" s="469"/>
      <c r="C101" s="471"/>
      <c r="D101" s="472"/>
      <c r="E101" s="462"/>
      <c r="F101" s="490"/>
      <c r="G101" s="995"/>
      <c r="H101" s="491"/>
      <c r="I101" s="164"/>
      <c r="J101" s="59"/>
      <c r="K101" s="31"/>
      <c r="L101" s="31"/>
      <c r="M101" s="150"/>
      <c r="N101" s="150"/>
      <c r="O101" s="1165" t="s">
        <v>299</v>
      </c>
      <c r="P101" s="1166"/>
      <c r="Q101" s="1167"/>
      <c r="R101" s="231"/>
    </row>
    <row r="102" spans="1:18" s="8" customFormat="1" ht="21.6" hidden="1" thickBot="1">
      <c r="A102" s="469"/>
      <c r="B102" s="469"/>
      <c r="C102" s="471"/>
      <c r="D102" s="472"/>
      <c r="E102" s="462"/>
      <c r="F102" s="490"/>
      <c r="G102" s="995"/>
      <c r="H102" s="491"/>
      <c r="I102" s="164"/>
      <c r="J102" s="59">
        <f>(K102*$K$105)+L102</f>
        <v>0</v>
      </c>
      <c r="K102" s="31"/>
      <c r="L102" s="31"/>
      <c r="M102" s="150"/>
      <c r="N102" s="150"/>
      <c r="O102" s="1289" t="s">
        <v>242</v>
      </c>
      <c r="P102" s="1290"/>
      <c r="Q102" s="1291"/>
      <c r="R102" s="232">
        <f>SUM(R100:R101)</f>
        <v>0</v>
      </c>
    </row>
    <row r="103" spans="1:18" s="8" customFormat="1" ht="21.6" hidden="1" thickBot="1">
      <c r="A103" s="469"/>
      <c r="B103" s="469"/>
      <c r="C103" s="471"/>
      <c r="D103" s="472"/>
      <c r="E103" s="473"/>
      <c r="F103" s="474">
        <f>SUM(F100:F102)</f>
        <v>0</v>
      </c>
      <c r="G103" s="488">
        <f t="shared" ref="G103" si="60">SUM(G100:G102)</f>
        <v>0</v>
      </c>
      <c r="H103" s="978">
        <f>SUM(H100:H102)</f>
        <v>0</v>
      </c>
      <c r="I103" s="184"/>
      <c r="J103" s="25">
        <f t="shared" ref="J103" si="61">SUM(J100:J102)</f>
        <v>108</v>
      </c>
      <c r="K103" s="31"/>
      <c r="L103" s="31"/>
      <c r="M103" s="150"/>
      <c r="N103" s="150"/>
      <c r="O103" s="1247" t="s">
        <v>243</v>
      </c>
      <c r="P103" s="1248"/>
      <c r="Q103" s="1249"/>
      <c r="R103" s="233">
        <f>H103-R102</f>
        <v>0</v>
      </c>
    </row>
    <row r="104" spans="1:18" s="8" customFormat="1" ht="21.6" hidden="1" thickBot="1">
      <c r="A104" s="469"/>
      <c r="B104" s="469"/>
      <c r="C104" s="471"/>
      <c r="D104" s="472"/>
      <c r="E104" s="473"/>
      <c r="F104" s="992"/>
      <c r="G104" s="992"/>
      <c r="H104" s="993"/>
      <c r="I104" s="62"/>
      <c r="J104" s="994"/>
      <c r="K104" s="31"/>
      <c r="L104" s="31"/>
    </row>
    <row r="105" spans="1:18" s="8" customFormat="1" ht="21.6" hidden="1" thickBot="1">
      <c r="A105" s="979">
        <v>234</v>
      </c>
      <c r="B105" s="980" t="s">
        <v>444</v>
      </c>
      <c r="C105" s="981"/>
      <c r="D105" s="982" t="s">
        <v>451</v>
      </c>
      <c r="E105" s="983"/>
      <c r="F105" s="984" t="s">
        <v>176</v>
      </c>
      <c r="G105" s="983"/>
      <c r="H105" s="982"/>
      <c r="I105" s="985"/>
      <c r="J105" s="986"/>
      <c r="K105" s="987">
        <v>12</v>
      </c>
      <c r="L105" s="988" t="s">
        <v>39</v>
      </c>
      <c r="M105" s="989"/>
      <c r="N105" s="1062"/>
      <c r="O105" s="1328" t="s">
        <v>444</v>
      </c>
      <c r="P105" s="1329"/>
      <c r="Q105" s="1330"/>
      <c r="R105" s="279" t="s">
        <v>262</v>
      </c>
    </row>
    <row r="106" spans="1:18" s="8" customFormat="1" hidden="1">
      <c r="A106" s="469"/>
      <c r="B106" s="469"/>
      <c r="C106" s="471"/>
      <c r="D106" s="472"/>
      <c r="E106" s="462"/>
      <c r="F106" s="490"/>
      <c r="G106" s="995"/>
      <c r="H106" s="491">
        <f>G106/1</f>
        <v>0</v>
      </c>
      <c r="I106" s="164"/>
      <c r="J106" s="27">
        <f t="shared" ref="J106" si="62">(K106*$K$62)+L106</f>
        <v>0</v>
      </c>
      <c r="K106" s="31"/>
      <c r="L106" s="31"/>
      <c r="M106" s="997"/>
      <c r="N106" s="150"/>
      <c r="O106" s="1190" t="s">
        <v>298</v>
      </c>
      <c r="P106" s="1191"/>
      <c r="Q106" s="1192"/>
      <c r="R106" s="230"/>
    </row>
    <row r="107" spans="1:18" s="8" customFormat="1" hidden="1">
      <c r="A107" s="469"/>
      <c r="B107" s="469"/>
      <c r="C107" s="471"/>
      <c r="D107" s="472"/>
      <c r="E107" s="462"/>
      <c r="F107" s="490"/>
      <c r="G107" s="995"/>
      <c r="H107" s="491"/>
      <c r="I107" s="164"/>
      <c r="J107" s="59"/>
      <c r="K107" s="31"/>
      <c r="L107" s="31"/>
      <c r="M107" s="150"/>
      <c r="N107" s="150"/>
      <c r="O107" s="1165" t="s">
        <v>299</v>
      </c>
      <c r="P107" s="1166"/>
      <c r="Q107" s="1167"/>
      <c r="R107" s="231"/>
    </row>
    <row r="108" spans="1:18" s="8" customFormat="1" ht="21.6" hidden="1" thickBot="1">
      <c r="A108" s="469"/>
      <c r="B108" s="469"/>
      <c r="C108" s="471"/>
      <c r="D108" s="472"/>
      <c r="E108" s="462"/>
      <c r="F108" s="490"/>
      <c r="G108" s="995"/>
      <c r="H108" s="491"/>
      <c r="I108" s="164"/>
      <c r="J108" s="59">
        <f>(K108*$K$105)+L108</f>
        <v>0</v>
      </c>
      <c r="K108" s="31"/>
      <c r="L108" s="31"/>
      <c r="M108" s="150"/>
      <c r="N108" s="150"/>
      <c r="O108" s="1289" t="s">
        <v>242</v>
      </c>
      <c r="P108" s="1290"/>
      <c r="Q108" s="1291"/>
      <c r="R108" s="232">
        <f>SUM(R106:R107)</f>
        <v>0</v>
      </c>
    </row>
    <row r="109" spans="1:18" s="8" customFormat="1" ht="21.6" hidden="1" thickBot="1">
      <c r="A109" s="469"/>
      <c r="B109" s="469"/>
      <c r="C109" s="471"/>
      <c r="D109" s="472"/>
      <c r="E109" s="473"/>
      <c r="F109" s="474">
        <f>SUM(F106:F108)</f>
        <v>0</v>
      </c>
      <c r="G109" s="488">
        <f t="shared" ref="G109:J109" si="63">SUM(G106:G108)</f>
        <v>0</v>
      </c>
      <c r="H109" s="978">
        <f>SUM(H106:H108)</f>
        <v>0</v>
      </c>
      <c r="I109" s="184"/>
      <c r="J109" s="25">
        <f t="shared" si="63"/>
        <v>0</v>
      </c>
      <c r="K109" s="31"/>
      <c r="L109" s="31"/>
      <c r="M109" s="150"/>
      <c r="N109" s="150"/>
      <c r="O109" s="1247" t="s">
        <v>243</v>
      </c>
      <c r="P109" s="1248"/>
      <c r="Q109" s="1249"/>
      <c r="R109" s="233">
        <f>H109-R108</f>
        <v>0</v>
      </c>
    </row>
    <row r="110" spans="1:18" s="8" customFormat="1" ht="21.6" hidden="1" thickBot="1">
      <c r="A110" s="454" t="s">
        <v>171</v>
      </c>
      <c r="B110" s="478" t="s">
        <v>449</v>
      </c>
      <c r="C110" s="456"/>
      <c r="D110" s="1253" t="s">
        <v>177</v>
      </c>
      <c r="E110" s="1254"/>
      <c r="F110" s="1335" t="s">
        <v>176</v>
      </c>
      <c r="G110" s="1254"/>
      <c r="H110" s="489"/>
      <c r="I110" s="186"/>
      <c r="J110" s="50"/>
      <c r="K110" s="55">
        <v>28</v>
      </c>
      <c r="L110" s="94" t="s">
        <v>39</v>
      </c>
      <c r="M110" s="44"/>
    </row>
    <row r="111" spans="1:18" s="8" customFormat="1" hidden="1">
      <c r="A111" s="469"/>
      <c r="B111" s="469"/>
      <c r="C111" s="471"/>
      <c r="D111" s="472"/>
      <c r="E111" s="473"/>
      <c r="F111" s="490"/>
      <c r="G111" s="491"/>
      <c r="H111" s="491"/>
      <c r="I111" s="164"/>
      <c r="J111" s="59">
        <f>(K111*$K$110)+L111</f>
        <v>0</v>
      </c>
      <c r="K111" s="31"/>
      <c r="L111" s="31"/>
    </row>
    <row r="112" spans="1:18" s="8" customFormat="1" ht="21.6" hidden="1" thickBot="1">
      <c r="A112" s="469"/>
      <c r="B112" s="469"/>
      <c r="C112" s="471"/>
      <c r="D112" s="472"/>
      <c r="E112" s="473"/>
      <c r="F112" s="490"/>
      <c r="G112" s="491"/>
      <c r="H112" s="491"/>
      <c r="I112" s="164"/>
      <c r="J112" s="59">
        <f>(K112*$K$110)+L112</f>
        <v>0</v>
      </c>
      <c r="K112" s="31"/>
      <c r="L112" s="31"/>
    </row>
    <row r="113" spans="1:13" s="8" customFormat="1" ht="21.6" hidden="1" thickBot="1">
      <c r="A113" s="469"/>
      <c r="B113" s="469"/>
      <c r="C113" s="471"/>
      <c r="D113" s="472"/>
      <c r="E113" s="473"/>
      <c r="F113" s="474">
        <f>SUM(F111:F112)</f>
        <v>0</v>
      </c>
      <c r="G113" s="474">
        <f t="shared" ref="G113:J113" si="64">SUM(G111:G112)</f>
        <v>0</v>
      </c>
      <c r="H113" s="474"/>
      <c r="I113" s="184"/>
      <c r="J113" s="25">
        <f t="shared" si="64"/>
        <v>0</v>
      </c>
      <c r="K113" s="31"/>
      <c r="L113" s="31"/>
    </row>
    <row r="114" spans="1:13" s="8" customFormat="1" ht="21.6" thickBot="1">
      <c r="A114" s="454" t="s">
        <v>309</v>
      </c>
      <c r="B114" s="478" t="s">
        <v>457</v>
      </c>
      <c r="C114" s="456"/>
      <c r="D114" s="1253" t="s">
        <v>177</v>
      </c>
      <c r="E114" s="1254"/>
      <c r="F114" s="1335" t="s">
        <v>176</v>
      </c>
      <c r="G114" s="1254"/>
      <c r="H114" s="489"/>
      <c r="I114" s="186"/>
      <c r="J114" s="50"/>
      <c r="K114" s="55">
        <v>24</v>
      </c>
      <c r="L114" s="94" t="s">
        <v>39</v>
      </c>
      <c r="M114" s="44"/>
    </row>
    <row r="115" spans="1:13" s="8" customFormat="1" ht="23.25" customHeight="1">
      <c r="A115" s="469"/>
      <c r="B115" s="469"/>
      <c r="C115" s="471"/>
      <c r="D115" s="472"/>
      <c r="E115" s="473"/>
      <c r="F115" s="490"/>
      <c r="G115" s="487">
        <f t="shared" ref="G115" si="65">J115*0.8</f>
        <v>0</v>
      </c>
      <c r="H115" s="465">
        <f t="shared" ref="H115" si="66">G115/0.8</f>
        <v>0</v>
      </c>
      <c r="I115" s="164"/>
      <c r="J115" s="59">
        <f>(K115*$K$114)+L115</f>
        <v>0</v>
      </c>
      <c r="K115" s="31"/>
      <c r="L115" s="31"/>
    </row>
    <row r="116" spans="1:13" s="8" customFormat="1" ht="21.6" thickBot="1">
      <c r="A116" s="469"/>
      <c r="B116" s="469"/>
      <c r="C116" s="471"/>
      <c r="D116" s="472"/>
      <c r="E116" s="473"/>
      <c r="F116" s="490"/>
      <c r="G116" s="491"/>
      <c r="H116" s="491"/>
      <c r="I116" s="164"/>
      <c r="J116" s="59">
        <f>(K116*$K$114)+L116</f>
        <v>0</v>
      </c>
      <c r="K116" s="31"/>
      <c r="L116" s="31"/>
    </row>
    <row r="117" spans="1:13" s="8" customFormat="1" ht="21.6" thickBot="1">
      <c r="A117" s="469"/>
      <c r="B117" s="469"/>
      <c r="C117" s="471"/>
      <c r="D117" s="472"/>
      <c r="E117" s="473"/>
      <c r="F117" s="474">
        <f>SUM(F115:F116)</f>
        <v>0</v>
      </c>
      <c r="G117" s="474">
        <f t="shared" ref="G117:J117" si="67">SUM(G115:G116)</f>
        <v>0</v>
      </c>
      <c r="H117" s="474"/>
      <c r="I117" s="184"/>
      <c r="J117" s="25">
        <f t="shared" si="67"/>
        <v>0</v>
      </c>
      <c r="K117" s="31"/>
      <c r="L117" s="31"/>
    </row>
    <row r="118" spans="1:13" s="8" customFormat="1" ht="21.6" thickBot="1">
      <c r="A118" s="454" t="s">
        <v>308</v>
      </c>
      <c r="B118" s="478" t="s">
        <v>458</v>
      </c>
      <c r="C118" s="456"/>
      <c r="D118" s="1253" t="s">
        <v>177</v>
      </c>
      <c r="E118" s="1254"/>
      <c r="F118" s="1335" t="s">
        <v>176</v>
      </c>
      <c r="G118" s="1254"/>
      <c r="H118" s="489"/>
      <c r="I118" s="186"/>
      <c r="J118" s="50"/>
      <c r="K118" s="55">
        <v>24</v>
      </c>
      <c r="L118" s="94" t="s">
        <v>39</v>
      </c>
      <c r="M118" s="44"/>
    </row>
    <row r="119" spans="1:13" s="8" customFormat="1">
      <c r="A119" s="469"/>
      <c r="B119" s="469"/>
      <c r="C119" s="471"/>
      <c r="D119" s="472"/>
      <c r="E119" s="473"/>
      <c r="F119" s="490"/>
      <c r="G119" s="487">
        <f t="shared" ref="G119" si="68">J119*0.8</f>
        <v>0</v>
      </c>
      <c r="H119" s="465">
        <f t="shared" ref="H119" si="69">G119/0.8</f>
        <v>0</v>
      </c>
      <c r="I119" s="164"/>
      <c r="J119" s="59">
        <f>(K119*$K$118)+L119</f>
        <v>0</v>
      </c>
      <c r="K119" s="31"/>
      <c r="L119" s="31"/>
    </row>
    <row r="120" spans="1:13" s="8" customFormat="1" ht="21.6" thickBot="1">
      <c r="A120" s="469"/>
      <c r="B120" s="469"/>
      <c r="C120" s="471"/>
      <c r="D120" s="472"/>
      <c r="E120" s="473"/>
      <c r="F120" s="490"/>
      <c r="G120" s="491"/>
      <c r="H120" s="491"/>
      <c r="I120" s="164"/>
      <c r="J120" s="59">
        <f>(K120*$K$118)+L120</f>
        <v>0</v>
      </c>
      <c r="K120" s="31"/>
      <c r="L120" s="31"/>
    </row>
    <row r="121" spans="1:13" s="8" customFormat="1" ht="21.6" thickBot="1">
      <c r="A121" s="469"/>
      <c r="B121" s="469"/>
      <c r="C121" s="471"/>
      <c r="D121" s="472"/>
      <c r="E121" s="473"/>
      <c r="F121" s="474">
        <f>SUM(F119:F120)</f>
        <v>0</v>
      </c>
      <c r="G121" s="474">
        <f t="shared" ref="G121:J121" si="70">SUM(G119:G120)</f>
        <v>0</v>
      </c>
      <c r="H121" s="474"/>
      <c r="I121" s="184"/>
      <c r="J121" s="25">
        <f t="shared" si="70"/>
        <v>0</v>
      </c>
      <c r="K121" s="31"/>
      <c r="L121" s="31"/>
    </row>
    <row r="122" spans="1:13" s="8" customFormat="1" ht="21.6" thickBot="1">
      <c r="A122" s="454" t="s">
        <v>310</v>
      </c>
      <c r="B122" s="478" t="s">
        <v>459</v>
      </c>
      <c r="C122" s="456"/>
      <c r="D122" s="1253" t="s">
        <v>177</v>
      </c>
      <c r="E122" s="1254"/>
      <c r="F122" s="1335" t="s">
        <v>176</v>
      </c>
      <c r="G122" s="1254"/>
      <c r="H122" s="489"/>
      <c r="I122" s="186"/>
      <c r="J122" s="50"/>
      <c r="K122" s="55">
        <v>24</v>
      </c>
      <c r="L122" s="94" t="s">
        <v>39</v>
      </c>
      <c r="M122" s="44"/>
    </row>
    <row r="123" spans="1:13" s="8" customFormat="1">
      <c r="A123" s="469"/>
      <c r="B123" s="469"/>
      <c r="C123" s="471"/>
      <c r="D123" s="472"/>
      <c r="E123" s="473"/>
      <c r="F123" s="490"/>
      <c r="G123" s="487">
        <f t="shared" ref="G123" si="71">J123*0.8</f>
        <v>0</v>
      </c>
      <c r="H123" s="465">
        <f t="shared" ref="H123" si="72">G123/0.8</f>
        <v>0</v>
      </c>
      <c r="I123" s="164"/>
      <c r="J123" s="59">
        <f>(K123*$K$122)+L123</f>
        <v>0</v>
      </c>
      <c r="K123" s="31"/>
      <c r="L123" s="31"/>
    </row>
    <row r="124" spans="1:13" s="8" customFormat="1" ht="21.6" thickBot="1">
      <c r="A124" s="469"/>
      <c r="B124" s="469"/>
      <c r="C124" s="471"/>
      <c r="D124" s="472"/>
      <c r="E124" s="473"/>
      <c r="F124" s="490"/>
      <c r="G124" s="491"/>
      <c r="H124" s="491"/>
      <c r="I124" s="164"/>
      <c r="J124" s="59">
        <f>(K124*$K$122)+L124</f>
        <v>0</v>
      </c>
      <c r="K124" s="31"/>
      <c r="L124" s="31"/>
    </row>
    <row r="125" spans="1:13" s="8" customFormat="1" ht="21.6" thickBot="1">
      <c r="A125" s="469"/>
      <c r="B125" s="469"/>
      <c r="C125" s="471"/>
      <c r="D125" s="472"/>
      <c r="E125" s="473"/>
      <c r="F125" s="474">
        <f>SUM(F123:F124)</f>
        <v>0</v>
      </c>
      <c r="G125" s="474">
        <f t="shared" ref="G125:J125" si="73">SUM(G123:G124)</f>
        <v>0</v>
      </c>
      <c r="H125" s="474"/>
      <c r="I125" s="184"/>
      <c r="J125" s="25">
        <f t="shared" si="73"/>
        <v>0</v>
      </c>
      <c r="K125" s="31"/>
      <c r="L125" s="31"/>
    </row>
    <row r="126" spans="1:13" s="8" customFormat="1" ht="21.6" thickBot="1">
      <c r="A126" s="454" t="s">
        <v>172</v>
      </c>
      <c r="B126" s="478" t="s">
        <v>173</v>
      </c>
      <c r="C126" s="456"/>
      <c r="D126" s="1253" t="s">
        <v>177</v>
      </c>
      <c r="E126" s="1254"/>
      <c r="F126" s="1335" t="s">
        <v>176</v>
      </c>
      <c r="G126" s="1254"/>
      <c r="H126" s="489"/>
      <c r="I126" s="186"/>
      <c r="J126" s="50"/>
      <c r="K126" s="55">
        <v>24</v>
      </c>
      <c r="L126" s="94" t="s">
        <v>39</v>
      </c>
      <c r="M126" s="44"/>
    </row>
    <row r="127" spans="1:13" s="8" customFormat="1">
      <c r="A127" s="469"/>
      <c r="B127" s="469"/>
      <c r="C127" s="471"/>
      <c r="D127" s="472"/>
      <c r="E127" s="473"/>
      <c r="F127" s="490"/>
      <c r="G127" s="491"/>
      <c r="H127" s="491"/>
      <c r="I127" s="164"/>
      <c r="J127" s="59">
        <f>(K127*$K$126)+L127</f>
        <v>0</v>
      </c>
      <c r="K127" s="31"/>
      <c r="L127" s="31"/>
    </row>
    <row r="128" spans="1:13" s="8" customFormat="1" ht="21.6" thickBot="1">
      <c r="A128" s="469"/>
      <c r="B128" s="469"/>
      <c r="C128" s="471"/>
      <c r="D128" s="472"/>
      <c r="E128" s="473"/>
      <c r="F128" s="490"/>
      <c r="G128" s="491"/>
      <c r="H128" s="491"/>
      <c r="I128" s="164"/>
      <c r="J128" s="59">
        <f>(K128*$K$126)+L128</f>
        <v>0</v>
      </c>
      <c r="K128" s="31"/>
      <c r="L128" s="31"/>
    </row>
    <row r="129" spans="1:14" s="8" customFormat="1" ht="21.6" thickBot="1">
      <c r="A129" s="469"/>
      <c r="B129" s="469"/>
      <c r="C129" s="471"/>
      <c r="D129" s="472"/>
      <c r="E129" s="473"/>
      <c r="F129" s="474">
        <f>SUM(F127:F128)</f>
        <v>0</v>
      </c>
      <c r="G129" s="474">
        <f t="shared" ref="G129:J129" si="74">SUM(G127:G128)</f>
        <v>0</v>
      </c>
      <c r="H129" s="474"/>
      <c r="I129" s="184"/>
      <c r="J129" s="25">
        <f t="shared" si="74"/>
        <v>0</v>
      </c>
      <c r="K129" s="31"/>
      <c r="L129" s="31"/>
    </row>
    <row r="130" spans="1:14">
      <c r="I130" s="17"/>
      <c r="J130" s="17"/>
      <c r="K130" s="8"/>
      <c r="L130" s="8"/>
      <c r="M130" s="8"/>
      <c r="N130" s="8"/>
    </row>
  </sheetData>
  <protectedRanges>
    <protectedRange sqref="K106:N109 A106:E109 K111:N113 A111:E113 K115:N117 A115:E117 K119:N121 A119:E121 K123:N125 A123:E125 K127:N129 A127:E129 A28:B34 C34:E34 K34:N34 K82:N86 A82:E86 K88:N92 A88:E92 K94:N98 A94:E98 K100:N104 A100:E104 K4:N8 A4:E8 K19:N24 A19:E24 C27:E32 K27:N32 K11:N16 A11:E16 A37:E60 K37:N60 K63:N79 A63:E79" name="Plage1"/>
    <protectedRange sqref="O7:O8 O15:O16 O23:O24 O31:O33 O74:O75 A9:C9 A17:C17 A25:C25 A35:C35 A61:C61 A80:C80 O50:O51 O77:O78 O84:O86 O90:O92 O96:O98 O102:O104 O108:O109" name="Plage1_2"/>
    <protectedRange sqref="O5" name="Plage1_2_2"/>
    <protectedRange sqref="O21" name="Plage1_2_2_2"/>
    <protectedRange sqref="O29" name="Plage1_2_2_3"/>
    <protectedRange sqref="O48" name="Plage1_2_2_4"/>
    <protectedRange sqref="O72 O82 O88 O94 O100 O106" name="Plage1_2_2_5"/>
    <protectedRange sqref="O73 O83 O89 O95 O101 O107" name="Plage1_2_2_7"/>
    <protectedRange sqref="T72" name="Plage1_2_2_8"/>
    <protectedRange sqref="T48" name="Plage1_2_2_9"/>
    <protectedRange sqref="O49" name="Plage1_2_2_10"/>
    <protectedRange sqref="O30" name="Plage1_2_2_11"/>
    <protectedRange sqref="T29" name="Plage1_2_2_12"/>
    <protectedRange sqref="T21" name="Plage1_2_2_13"/>
    <protectedRange sqref="O22" name="Plage1_2_2_14"/>
    <protectedRange sqref="O14" name="Plage1_2_2_15"/>
    <protectedRange sqref="T13" name="Plage1_2_2_16"/>
  </protectedRanges>
  <mergeCells count="142">
    <mergeCell ref="AF2:AI3"/>
    <mergeCell ref="AF10:AI11"/>
    <mergeCell ref="AF18:AI19"/>
    <mergeCell ref="AF26:AI27"/>
    <mergeCell ref="AF45:AI46"/>
    <mergeCell ref="AF69:AI70"/>
    <mergeCell ref="AA70:AA71"/>
    <mergeCell ref="AC71:AD71"/>
    <mergeCell ref="Y72:Z72"/>
    <mergeCell ref="AC72:AD72"/>
    <mergeCell ref="Y45:Z45"/>
    <mergeCell ref="Y46:Z47"/>
    <mergeCell ref="AA46:AA47"/>
    <mergeCell ref="AC47:AD47"/>
    <mergeCell ref="Y48:Z48"/>
    <mergeCell ref="AC48:AD48"/>
    <mergeCell ref="Y49:Z49"/>
    <mergeCell ref="AA26:AA28"/>
    <mergeCell ref="AC28:AD28"/>
    <mergeCell ref="Y29:Z29"/>
    <mergeCell ref="AC29:AD29"/>
    <mergeCell ref="Y18:Z18"/>
    <mergeCell ref="Y19:Z20"/>
    <mergeCell ref="AA19:AA20"/>
    <mergeCell ref="AC20:AD20"/>
    <mergeCell ref="Y21:Z21"/>
    <mergeCell ref="AC21:AD21"/>
    <mergeCell ref="AA10:AA12"/>
    <mergeCell ref="AC12:AD12"/>
    <mergeCell ref="Y13:Z13"/>
    <mergeCell ref="AC13:AD13"/>
    <mergeCell ref="Y2:Z2"/>
    <mergeCell ref="Y3:Z4"/>
    <mergeCell ref="AA3:AA4"/>
    <mergeCell ref="AC4:AD4"/>
    <mergeCell ref="Y5:Z5"/>
    <mergeCell ref="AC5:AD5"/>
    <mergeCell ref="D62:E62"/>
    <mergeCell ref="D122:E122"/>
    <mergeCell ref="F122:G122"/>
    <mergeCell ref="D126:E126"/>
    <mergeCell ref="F126:G126"/>
    <mergeCell ref="D110:E110"/>
    <mergeCell ref="F110:G110"/>
    <mergeCell ref="D114:E114"/>
    <mergeCell ref="F114:G114"/>
    <mergeCell ref="D118:E118"/>
    <mergeCell ref="F118:G118"/>
    <mergeCell ref="A1:A2"/>
    <mergeCell ref="B1:B2"/>
    <mergeCell ref="C1:C2"/>
    <mergeCell ref="D1:D2"/>
    <mergeCell ref="E1:E2"/>
    <mergeCell ref="O22:Q22"/>
    <mergeCell ref="O5:Q5"/>
    <mergeCell ref="O50:Q50"/>
    <mergeCell ref="O51:Q51"/>
    <mergeCell ref="O8:Q8"/>
    <mergeCell ref="O13:Q13"/>
    <mergeCell ref="O23:Q23"/>
    <mergeCell ref="O24:Q24"/>
    <mergeCell ref="O29:Q29"/>
    <mergeCell ref="O6:Q6"/>
    <mergeCell ref="O7:Q7"/>
    <mergeCell ref="O21:Q21"/>
    <mergeCell ref="M1:M2"/>
    <mergeCell ref="G3:H3"/>
    <mergeCell ref="G18:H18"/>
    <mergeCell ref="D36:E36"/>
    <mergeCell ref="G10:H10"/>
    <mergeCell ref="J1:L1"/>
    <mergeCell ref="F1:F2"/>
    <mergeCell ref="G1:G2"/>
    <mergeCell ref="H1:H2"/>
    <mergeCell ref="G36:H36"/>
    <mergeCell ref="G26:H26"/>
    <mergeCell ref="O73:Q73"/>
    <mergeCell ref="O74:Q74"/>
    <mergeCell ref="O4:Q4"/>
    <mergeCell ref="O28:Q28"/>
    <mergeCell ref="N1:N2"/>
    <mergeCell ref="O75:Q75"/>
    <mergeCell ref="O33:Q33"/>
    <mergeCell ref="O48:Q48"/>
    <mergeCell ref="O49:Q49"/>
    <mergeCell ref="Y73:Z73"/>
    <mergeCell ref="Y30:Z30"/>
    <mergeCell ref="Y6:Z6"/>
    <mergeCell ref="Y14:Z14"/>
    <mergeCell ref="O47:Q47"/>
    <mergeCell ref="O71:Q71"/>
    <mergeCell ref="O72:Q72"/>
    <mergeCell ref="O30:Q30"/>
    <mergeCell ref="O31:Q31"/>
    <mergeCell ref="O14:Q14"/>
    <mergeCell ref="O15:Q15"/>
    <mergeCell ref="O16:Q16"/>
    <mergeCell ref="Y9:Z9"/>
    <mergeCell ref="Y10:Z12"/>
    <mergeCell ref="Y25:Z25"/>
    <mergeCell ref="Y26:Z28"/>
    <mergeCell ref="Y69:Z69"/>
    <mergeCell ref="Y70:Z71"/>
    <mergeCell ref="O12:Q12"/>
    <mergeCell ref="O20:Q20"/>
    <mergeCell ref="T4:W4"/>
    <mergeCell ref="T5:V5"/>
    <mergeCell ref="T12:W12"/>
    <mergeCell ref="T13:V13"/>
    <mergeCell ref="T20:W20"/>
    <mergeCell ref="T71:W71"/>
    <mergeCell ref="T72:V72"/>
    <mergeCell ref="T21:V21"/>
    <mergeCell ref="T28:W28"/>
    <mergeCell ref="T29:V29"/>
    <mergeCell ref="T47:W47"/>
    <mergeCell ref="T48:V48"/>
    <mergeCell ref="O81:Q81"/>
    <mergeCell ref="O82:Q82"/>
    <mergeCell ref="O83:Q83"/>
    <mergeCell ref="O84:Q84"/>
    <mergeCell ref="O85:Q85"/>
    <mergeCell ref="O87:Q87"/>
    <mergeCell ref="O88:Q88"/>
    <mergeCell ref="O89:Q89"/>
    <mergeCell ref="O90:Q90"/>
    <mergeCell ref="O102:Q102"/>
    <mergeCell ref="O103:Q103"/>
    <mergeCell ref="O105:Q105"/>
    <mergeCell ref="O106:Q106"/>
    <mergeCell ref="O107:Q107"/>
    <mergeCell ref="O108:Q108"/>
    <mergeCell ref="O109:Q109"/>
    <mergeCell ref="O91:Q91"/>
    <mergeCell ref="O93:Q93"/>
    <mergeCell ref="O94:Q94"/>
    <mergeCell ref="O95:Q95"/>
    <mergeCell ref="O96:Q96"/>
    <mergeCell ref="O97:Q97"/>
    <mergeCell ref="O99:Q99"/>
    <mergeCell ref="O100:Q100"/>
    <mergeCell ref="O101:Q101"/>
  </mergeCells>
  <phoneticPr fontId="46" type="noConversion"/>
  <pageMargins left="0.23622047244094491" right="0.23622047244094491" top="0.55118110236220474" bottom="0.15748031496062992" header="0.31496062992125984" footer="0.11811023622047245"/>
  <pageSetup paperSize="9" scale="67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55E3D-B631-4B8F-B98E-B351A2DD0830}">
  <sheetPr codeName="Feuil5">
    <pageSetUpPr fitToPage="1"/>
  </sheetPr>
  <dimension ref="A1:AZ285"/>
  <sheetViews>
    <sheetView showGridLines="0" zoomScale="70" zoomScaleNormal="70" workbookViewId="0">
      <pane ySplit="2" topLeftCell="A232" activePane="bottomLeft" state="frozen"/>
      <selection activeCell="H4" sqref="H4"/>
      <selection pane="bottomLeft" activeCell="M289" sqref="M289"/>
    </sheetView>
  </sheetViews>
  <sheetFormatPr defaultColWidth="11.44140625" defaultRowHeight="21"/>
  <cols>
    <col min="1" max="1" width="15.88671875" customWidth="1"/>
    <col min="2" max="2" width="32.44140625" customWidth="1"/>
    <col min="3" max="3" width="12.6640625" style="510" customWidth="1"/>
    <col min="4" max="4" width="18.44140625" style="661" customWidth="1"/>
    <col min="5" max="5" width="17.44140625" style="662" customWidth="1"/>
    <col min="6" max="6" width="11.44140625" style="513" customWidth="1"/>
    <col min="7" max="7" width="13.44140625" style="704" customWidth="1"/>
    <col min="8" max="8" width="11.44140625" style="510"/>
    <col min="9" max="9" width="1.44140625" style="90" customWidth="1"/>
    <col min="10" max="10" width="11.44140625" style="90"/>
    <col min="12" max="12" width="13.33203125" customWidth="1"/>
    <col min="13" max="13" width="47.33203125" style="1" customWidth="1"/>
    <col min="14" max="14" width="16" style="1068" customWidth="1"/>
    <col min="18" max="18" width="13" customWidth="1"/>
    <col min="19" max="19" width="12" bestFit="1" customWidth="1"/>
    <col min="20" max="20" width="12.6640625" bestFit="1" customWidth="1"/>
    <col min="26" max="26" width="12.44140625" customWidth="1"/>
    <col min="27" max="27" width="14.109375" customWidth="1"/>
    <col min="28" max="28" width="4.6640625" customWidth="1"/>
    <col min="32" max="35" width="13.5546875" bestFit="1" customWidth="1"/>
    <col min="41" max="45" width="15.6640625" customWidth="1"/>
    <col min="46" max="46" width="15.6640625" style="333" customWidth="1"/>
    <col min="47" max="52" width="15.6640625" customWidth="1"/>
  </cols>
  <sheetData>
    <row r="1" spans="1:52" ht="14.4">
      <c r="A1" s="1358" t="s">
        <v>0</v>
      </c>
      <c r="B1" s="1362" t="s">
        <v>16</v>
      </c>
      <c r="C1" s="1362" t="s">
        <v>8</v>
      </c>
      <c r="D1" s="1365" t="s">
        <v>11</v>
      </c>
      <c r="E1" s="1316" t="s">
        <v>1</v>
      </c>
      <c r="F1" s="1362" t="s">
        <v>9</v>
      </c>
      <c r="G1" s="1309" t="s">
        <v>239</v>
      </c>
      <c r="H1" s="601"/>
      <c r="I1" s="101"/>
      <c r="J1" s="1360" t="s">
        <v>236</v>
      </c>
      <c r="K1" s="1360"/>
      <c r="L1" s="1360"/>
      <c r="M1" s="1362" t="s">
        <v>14</v>
      </c>
      <c r="N1" s="1371" t="s">
        <v>535</v>
      </c>
    </row>
    <row r="2" spans="1:52" ht="49.5" customHeight="1">
      <c r="A2" s="1359"/>
      <c r="B2" s="1363"/>
      <c r="C2" s="1363"/>
      <c r="D2" s="1366"/>
      <c r="E2" s="1364"/>
      <c r="F2" s="1363"/>
      <c r="G2" s="1361"/>
      <c r="H2" s="161" t="s">
        <v>228</v>
      </c>
      <c r="I2" s="165"/>
      <c r="J2" s="113" t="s">
        <v>235</v>
      </c>
      <c r="K2" s="113" t="s">
        <v>13</v>
      </c>
      <c r="L2" s="113" t="s">
        <v>17</v>
      </c>
      <c r="M2" s="1363"/>
      <c r="N2" s="1372"/>
    </row>
    <row r="3" spans="1:52" ht="23.4" thickBot="1">
      <c r="A3" s="114">
        <v>110</v>
      </c>
      <c r="B3" s="904" t="s">
        <v>86</v>
      </c>
      <c r="C3" s="602"/>
      <c r="D3" s="603"/>
      <c r="E3" s="604" t="s">
        <v>885</v>
      </c>
      <c r="F3" s="605"/>
      <c r="G3" s="606" t="s">
        <v>35</v>
      </c>
      <c r="H3" s="607"/>
      <c r="I3" s="166"/>
      <c r="J3" s="129"/>
      <c r="K3" s="4">
        <v>30</v>
      </c>
      <c r="L3" s="5" t="s">
        <v>39</v>
      </c>
      <c r="M3" s="6"/>
      <c r="N3" s="340" t="s">
        <v>540</v>
      </c>
      <c r="O3" s="37"/>
      <c r="P3" s="37"/>
      <c r="Q3" s="37"/>
      <c r="R3" s="37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</row>
    <row r="4" spans="1:52" s="37" customFormat="1">
      <c r="B4" s="102"/>
      <c r="C4" s="608" t="s">
        <v>595</v>
      </c>
      <c r="D4" s="609" t="s">
        <v>218</v>
      </c>
      <c r="E4" s="517" t="s">
        <v>597</v>
      </c>
      <c r="F4" s="505">
        <v>300</v>
      </c>
      <c r="G4" s="610">
        <f>H4*0.2</f>
        <v>140.4</v>
      </c>
      <c r="H4" s="465">
        <v>702</v>
      </c>
      <c r="I4" s="167"/>
      <c r="J4" s="82">
        <v>1042</v>
      </c>
      <c r="K4" s="106">
        <v>34</v>
      </c>
      <c r="L4" s="106">
        <v>22</v>
      </c>
      <c r="M4" s="46">
        <v>908</v>
      </c>
      <c r="N4" s="340"/>
      <c r="AT4" s="334"/>
    </row>
    <row r="5" spans="1:52" s="37" customFormat="1">
      <c r="B5" s="102"/>
      <c r="C5" s="608" t="s">
        <v>598</v>
      </c>
      <c r="D5" s="609" t="s">
        <v>219</v>
      </c>
      <c r="E5" s="517" t="s">
        <v>605</v>
      </c>
      <c r="F5" s="505">
        <v>150</v>
      </c>
      <c r="G5" s="610">
        <f t="shared" ref="G5:G6" si="0">H5*0.2</f>
        <v>90.800000000000011</v>
      </c>
      <c r="H5" s="465">
        <v>454</v>
      </c>
      <c r="I5" s="167"/>
      <c r="J5" s="82">
        <v>522</v>
      </c>
      <c r="K5" s="106">
        <v>17</v>
      </c>
      <c r="L5" s="106">
        <v>12</v>
      </c>
      <c r="M5" s="46">
        <v>490</v>
      </c>
      <c r="N5" s="340"/>
      <c r="AT5" s="334"/>
    </row>
    <row r="6" spans="1:52" s="37" customFormat="1">
      <c r="A6" s="64" t="s">
        <v>85</v>
      </c>
      <c r="B6" s="102"/>
      <c r="C6" s="608" t="s">
        <v>635</v>
      </c>
      <c r="D6" s="609" t="s">
        <v>218</v>
      </c>
      <c r="E6" s="517" t="s">
        <v>643</v>
      </c>
      <c r="F6" s="505">
        <v>300</v>
      </c>
      <c r="G6" s="610">
        <f t="shared" si="0"/>
        <v>167</v>
      </c>
      <c r="H6" s="465">
        <v>835</v>
      </c>
      <c r="I6" s="167"/>
      <c r="J6" s="82">
        <v>1007</v>
      </c>
      <c r="K6" s="106">
        <v>33</v>
      </c>
      <c r="L6" s="106">
        <v>17</v>
      </c>
      <c r="M6" s="46"/>
      <c r="N6" s="340"/>
      <c r="AT6" s="334"/>
    </row>
    <row r="7" spans="1:52" s="37" customFormat="1">
      <c r="A7" s="64" t="s">
        <v>87</v>
      </c>
      <c r="B7" s="102"/>
      <c r="C7" s="608" t="s">
        <v>654</v>
      </c>
      <c r="D7" s="609" t="s">
        <v>218</v>
      </c>
      <c r="E7" s="517" t="s">
        <v>670</v>
      </c>
      <c r="F7" s="505">
        <v>300</v>
      </c>
      <c r="G7" s="610">
        <v>208</v>
      </c>
      <c r="H7" s="465">
        <f t="shared" ref="H7:H12" si="1">G7/0.2</f>
        <v>1040</v>
      </c>
      <c r="I7" s="167"/>
      <c r="J7" s="82">
        <v>1040</v>
      </c>
      <c r="K7" s="106">
        <v>34</v>
      </c>
      <c r="L7" s="106">
        <v>20</v>
      </c>
      <c r="M7" s="46"/>
      <c r="N7" s="340"/>
      <c r="AT7" s="334"/>
    </row>
    <row r="8" spans="1:52" s="37" customFormat="1">
      <c r="A8" s="115" t="s">
        <v>88</v>
      </c>
      <c r="B8" s="102"/>
      <c r="C8" s="608" t="s">
        <v>744</v>
      </c>
      <c r="D8" s="609" t="s">
        <v>218</v>
      </c>
      <c r="E8" s="517" t="s">
        <v>745</v>
      </c>
      <c r="F8" s="505">
        <v>300</v>
      </c>
      <c r="G8" s="610">
        <v>205.20000000000002</v>
      </c>
      <c r="H8" s="465">
        <f t="shared" si="1"/>
        <v>1026</v>
      </c>
      <c r="I8" s="167"/>
      <c r="J8" s="82">
        <v>1026</v>
      </c>
      <c r="K8" s="106">
        <v>34</v>
      </c>
      <c r="L8" s="106">
        <v>6</v>
      </c>
      <c r="M8" s="46"/>
      <c r="N8" s="340"/>
      <c r="AT8" s="334"/>
    </row>
    <row r="9" spans="1:52" s="37" customFormat="1">
      <c r="B9" s="102"/>
      <c r="C9" s="608"/>
      <c r="D9" s="609"/>
      <c r="E9" s="517"/>
      <c r="F9" s="505"/>
      <c r="G9" s="610">
        <f t="shared" ref="G9:G12" si="2">J9*0.2</f>
        <v>0</v>
      </c>
      <c r="H9" s="465">
        <f t="shared" si="1"/>
        <v>0</v>
      </c>
      <c r="I9" s="167"/>
      <c r="J9" s="82">
        <f t="shared" ref="J9:J12" si="3">(K9*$K$3)+L9</f>
        <v>0</v>
      </c>
      <c r="K9" s="106"/>
      <c r="L9" s="106"/>
      <c r="M9" s="46"/>
      <c r="N9" s="340"/>
      <c r="AT9" s="334"/>
    </row>
    <row r="10" spans="1:52" s="37" customFormat="1">
      <c r="B10" s="102"/>
      <c r="C10" s="608"/>
      <c r="D10" s="609"/>
      <c r="E10" s="517"/>
      <c r="F10" s="505"/>
      <c r="G10" s="610">
        <f t="shared" si="2"/>
        <v>0</v>
      </c>
      <c r="H10" s="465">
        <f t="shared" si="1"/>
        <v>0</v>
      </c>
      <c r="I10" s="167"/>
      <c r="J10" s="82">
        <f t="shared" si="3"/>
        <v>0</v>
      </c>
      <c r="K10" s="106"/>
      <c r="L10" s="106"/>
      <c r="M10" s="46"/>
      <c r="N10" s="340"/>
      <c r="AT10" s="334"/>
    </row>
    <row r="11" spans="1:52" s="37" customFormat="1" ht="21.6" thickBot="1">
      <c r="B11" s="102"/>
      <c r="C11" s="608"/>
      <c r="D11" s="609"/>
      <c r="E11" s="517"/>
      <c r="F11" s="505"/>
      <c r="G11" s="610">
        <f t="shared" si="2"/>
        <v>0</v>
      </c>
      <c r="H11" s="465">
        <f t="shared" si="1"/>
        <v>0</v>
      </c>
      <c r="I11" s="167"/>
      <c r="J11" s="82">
        <f t="shared" si="3"/>
        <v>0</v>
      </c>
      <c r="K11" s="106"/>
      <c r="L11" s="106"/>
      <c r="M11" s="46"/>
      <c r="N11" s="340"/>
      <c r="AT11" s="334"/>
    </row>
    <row r="12" spans="1:52" s="37" customFormat="1" ht="21.6" thickBot="1">
      <c r="B12" s="102"/>
      <c r="C12" s="608"/>
      <c r="D12" s="609"/>
      <c r="E12" s="517"/>
      <c r="F12" s="505"/>
      <c r="G12" s="610">
        <f t="shared" si="2"/>
        <v>0</v>
      </c>
      <c r="H12" s="465">
        <f t="shared" si="1"/>
        <v>0</v>
      </c>
      <c r="I12" s="167"/>
      <c r="J12" s="82">
        <f t="shared" si="3"/>
        <v>0</v>
      </c>
      <c r="K12" s="106"/>
      <c r="L12" s="106"/>
      <c r="M12" s="46"/>
      <c r="N12" s="340"/>
      <c r="O12" s="1367" t="s">
        <v>86</v>
      </c>
      <c r="P12" s="1367"/>
      <c r="Q12" s="1368"/>
      <c r="R12" s="279" t="s">
        <v>262</v>
      </c>
      <c r="T12" s="1168" t="s">
        <v>268</v>
      </c>
      <c r="U12" s="1169"/>
      <c r="V12" s="1169"/>
      <c r="W12" s="1170"/>
      <c r="Y12" s="1232" t="s">
        <v>269</v>
      </c>
      <c r="Z12" s="1233"/>
      <c r="AA12" s="8"/>
      <c r="AB12" s="8"/>
      <c r="AC12" s="8"/>
      <c r="AD12" s="8"/>
      <c r="AF12" s="1224" t="s">
        <v>366</v>
      </c>
      <c r="AG12" s="1225"/>
      <c r="AH12" s="1225"/>
      <c r="AI12" s="1226"/>
      <c r="AT12" s="334"/>
    </row>
    <row r="13" spans="1:52" s="37" customFormat="1" ht="21.6" thickBot="1">
      <c r="B13" s="102"/>
      <c r="C13" s="608"/>
      <c r="D13" s="609"/>
      <c r="E13" s="517"/>
      <c r="F13" s="505"/>
      <c r="G13" s="610">
        <f t="shared" ref="G13" si="4">J13*0.2</f>
        <v>0</v>
      </c>
      <c r="H13" s="465">
        <f t="shared" ref="H13" si="5">G13/0.2</f>
        <v>0</v>
      </c>
      <c r="I13" s="167"/>
      <c r="J13" s="82">
        <f t="shared" ref="J13" si="6">(K13*$K$3)+L13</f>
        <v>0</v>
      </c>
      <c r="K13" s="106"/>
      <c r="L13" s="106"/>
      <c r="M13" s="46"/>
      <c r="N13" s="340"/>
      <c r="O13" s="1190" t="s">
        <v>298</v>
      </c>
      <c r="P13" s="1191"/>
      <c r="Q13" s="1192"/>
      <c r="R13" s="300">
        <v>43.6</v>
      </c>
      <c r="T13" s="1165" t="s">
        <v>299</v>
      </c>
      <c r="U13" s="1166"/>
      <c r="V13" s="1167"/>
      <c r="W13" s="309">
        <v>72.8</v>
      </c>
      <c r="Y13" s="1234" t="s">
        <v>270</v>
      </c>
      <c r="Z13" s="1235"/>
      <c r="AA13" s="1238" t="s">
        <v>271</v>
      </c>
      <c r="AB13" s="319"/>
      <c r="AC13" s="321"/>
      <c r="AD13" s="321"/>
      <c r="AF13" s="1227"/>
      <c r="AG13" s="1228"/>
      <c r="AH13" s="1228"/>
      <c r="AI13" s="1229"/>
      <c r="AJ13" s="1135">
        <f>(R16-(AJ15*AA15))/(AJ15*AA15)</f>
        <v>5.7766990291262132</v>
      </c>
      <c r="AT13" s="334"/>
    </row>
    <row r="14" spans="1:52" s="37" customFormat="1" ht="22.2" thickTop="1" thickBot="1">
      <c r="B14" s="102"/>
      <c r="C14" s="608"/>
      <c r="D14" s="609"/>
      <c r="E14" s="517"/>
      <c r="F14" s="505"/>
      <c r="G14" s="610">
        <f t="shared" ref="G14" si="7">J14*0.2</f>
        <v>0</v>
      </c>
      <c r="H14" s="465">
        <f t="shared" ref="H14" si="8">G14/0.2</f>
        <v>0</v>
      </c>
      <c r="I14" s="167"/>
      <c r="J14" s="82">
        <f t="shared" ref="J14" si="9">(K14*$K$3)+L14</f>
        <v>0</v>
      </c>
      <c r="K14" s="106"/>
      <c r="L14" s="106"/>
      <c r="M14" s="46"/>
      <c r="N14" s="340"/>
      <c r="O14" s="1165" t="s">
        <v>299</v>
      </c>
      <c r="P14" s="1166"/>
      <c r="Q14" s="1167"/>
      <c r="R14" s="1119"/>
      <c r="T14" s="47" t="s">
        <v>339</v>
      </c>
      <c r="Y14" s="1236"/>
      <c r="Z14" s="1237"/>
      <c r="AA14" s="1239"/>
      <c r="AB14" s="319"/>
      <c r="AC14" s="1240" t="s">
        <v>272</v>
      </c>
      <c r="AD14" s="1241"/>
      <c r="AF14" s="999" t="s">
        <v>679</v>
      </c>
      <c r="AG14" s="960" t="s">
        <v>680</v>
      </c>
      <c r="AH14" s="1003" t="s">
        <v>268</v>
      </c>
      <c r="AI14" s="959" t="s">
        <v>681</v>
      </c>
      <c r="AJ14" s="37" t="s">
        <v>621</v>
      </c>
      <c r="AT14" s="334"/>
    </row>
    <row r="15" spans="1:52" s="37" customFormat="1" ht="22.2" thickTop="1" thickBot="1">
      <c r="B15" s="102"/>
      <c r="C15" s="608"/>
      <c r="D15" s="609"/>
      <c r="E15" s="517"/>
      <c r="F15" s="505"/>
      <c r="G15" s="610">
        <f t="shared" ref="G15" si="10">J15*0.2</f>
        <v>0</v>
      </c>
      <c r="H15" s="465">
        <f t="shared" ref="H15" si="11">G15/0.2</f>
        <v>0</v>
      </c>
      <c r="I15" s="167"/>
      <c r="J15" s="82">
        <f t="shared" ref="J15" si="12">(K15*$K$3)+L15</f>
        <v>0</v>
      </c>
      <c r="K15" s="106"/>
      <c r="L15" s="106"/>
      <c r="M15" s="46"/>
      <c r="N15" s="340"/>
      <c r="O15" s="1289" t="s">
        <v>242</v>
      </c>
      <c r="P15" s="1290"/>
      <c r="Q15" s="1291"/>
      <c r="R15" s="221">
        <f>SUM(R13:R14)</f>
        <v>43.6</v>
      </c>
      <c r="T15" s="47" t="s">
        <v>340</v>
      </c>
      <c r="Y15" s="1182">
        <f>R13+W13</f>
        <v>116.4</v>
      </c>
      <c r="Z15" s="1183"/>
      <c r="AA15" s="318">
        <v>97</v>
      </c>
      <c r="AB15" s="8"/>
      <c r="AC15" s="1292">
        <f>Y15/AA15</f>
        <v>1.2</v>
      </c>
      <c r="AD15" s="1293"/>
      <c r="AF15" s="1004">
        <v>0.78556701030927834</v>
      </c>
      <c r="AG15" s="1005">
        <v>1.2329896907216493</v>
      </c>
      <c r="AH15" s="1005">
        <v>1.4536082474226804</v>
      </c>
      <c r="AI15" s="1001">
        <v>1.2</v>
      </c>
      <c r="AJ15" s="1100">
        <f>AVERAGE(AF15:AI15)</f>
        <v>1.1680412371134021</v>
      </c>
      <c r="AT15" s="334"/>
    </row>
    <row r="16" spans="1:52" s="117" customFormat="1" ht="29.25" customHeight="1" thickBot="1">
      <c r="A16" s="37"/>
      <c r="B16" s="102"/>
      <c r="C16" s="608"/>
      <c r="D16" s="609"/>
      <c r="E16" s="517"/>
      <c r="F16" s="505"/>
      <c r="G16" s="610">
        <f t="shared" ref="G16" si="13">J16*0.2</f>
        <v>0</v>
      </c>
      <c r="H16" s="465">
        <f t="shared" ref="H16" si="14">G16/0.2</f>
        <v>0</v>
      </c>
      <c r="I16" s="167"/>
      <c r="J16" s="82">
        <f t="shared" ref="J16" si="15">(K16*$K$3)+L16</f>
        <v>0</v>
      </c>
      <c r="K16" s="106"/>
      <c r="L16" s="106"/>
      <c r="M16" s="46"/>
      <c r="N16" s="340"/>
      <c r="O16" s="280" t="s">
        <v>243</v>
      </c>
      <c r="P16" s="281"/>
      <c r="Q16" s="282"/>
      <c r="R16" s="222">
        <f>$G$17-R15</f>
        <v>767.80000000000007</v>
      </c>
      <c r="S16" s="390"/>
      <c r="T16" s="47" t="s">
        <v>341</v>
      </c>
      <c r="Y16" s="1381"/>
      <c r="Z16" s="1382"/>
      <c r="AA16" s="334">
        <v>97.75</v>
      </c>
      <c r="AB16" s="37"/>
      <c r="AC16" s="37"/>
      <c r="AD16" s="37"/>
      <c r="AO16" s="1389" t="s">
        <v>395</v>
      </c>
      <c r="AP16" s="1389"/>
      <c r="AQ16" s="1389"/>
      <c r="AR16" s="1389"/>
      <c r="AS16" s="1389"/>
      <c r="AT16" s="1389"/>
      <c r="AU16" s="1389"/>
      <c r="AV16" s="1389"/>
      <c r="AW16" s="1389"/>
      <c r="AX16" s="1389"/>
      <c r="AY16" s="1389"/>
      <c r="AZ16" s="1389"/>
    </row>
    <row r="17" spans="1:52" s="8" customFormat="1" ht="21.6" thickBot="1">
      <c r="A17" s="117"/>
      <c r="B17" s="117"/>
      <c r="C17" s="611"/>
      <c r="D17" s="612"/>
      <c r="E17" s="613"/>
      <c r="F17" s="614">
        <f>SUM(F4:F16)</f>
        <v>1350</v>
      </c>
      <c r="G17" s="615">
        <f>SUM(G4:G16)</f>
        <v>811.40000000000009</v>
      </c>
      <c r="H17" s="596">
        <f>SUM(H4:H16)</f>
        <v>4057</v>
      </c>
      <c r="I17" s="201"/>
      <c r="J17" s="61">
        <f>SUM(J4:J16)</f>
        <v>4637</v>
      </c>
      <c r="K17" s="117"/>
      <c r="L17" s="117"/>
      <c r="M17" s="1157">
        <f>894-811</f>
        <v>83</v>
      </c>
      <c r="N17" s="340"/>
      <c r="O17" s="8" t="s">
        <v>318</v>
      </c>
      <c r="Q17" s="8">
        <v>800</v>
      </c>
      <c r="S17" s="299"/>
      <c r="T17" s="299"/>
      <c r="W17" s="8" t="s">
        <v>301</v>
      </c>
      <c r="X17" s="117"/>
      <c r="Y17" s="396">
        <f>R16/Y15</f>
        <v>6.5962199312714782</v>
      </c>
      <c r="Z17" s="392" t="s">
        <v>302</v>
      </c>
      <c r="AA17" s="37"/>
      <c r="AB17" s="37"/>
      <c r="AC17" s="37"/>
      <c r="AD17" s="37"/>
      <c r="AO17" s="968" t="s">
        <v>396</v>
      </c>
      <c r="AP17" s="968" t="s">
        <v>397</v>
      </c>
      <c r="AQ17" s="968" t="s">
        <v>398</v>
      </c>
      <c r="AR17" s="968" t="s">
        <v>399</v>
      </c>
      <c r="AS17" s="968" t="s">
        <v>400</v>
      </c>
      <c r="AT17" s="969" t="s">
        <v>375</v>
      </c>
      <c r="AU17" s="968" t="s">
        <v>376</v>
      </c>
      <c r="AV17" s="968" t="s">
        <v>401</v>
      </c>
      <c r="AW17" s="968" t="s">
        <v>402</v>
      </c>
      <c r="AX17" s="968" t="s">
        <v>403</v>
      </c>
      <c r="AY17" s="968" t="s">
        <v>404</v>
      </c>
      <c r="AZ17" s="968" t="s">
        <v>405</v>
      </c>
    </row>
    <row r="18" spans="1:52" s="37" customFormat="1" ht="21.6" thickBot="1">
      <c r="A18" s="17"/>
      <c r="B18" s="17"/>
      <c r="C18" s="469"/>
      <c r="D18" s="469"/>
      <c r="E18" s="527"/>
      <c r="F18" s="469"/>
      <c r="G18" s="469"/>
      <c r="H18" s="469"/>
      <c r="I18" s="8"/>
      <c r="J18" s="8"/>
      <c r="K18" s="8"/>
      <c r="L18" s="8"/>
      <c r="M18" s="8"/>
      <c r="N18" s="340"/>
      <c r="O18" s="8" t="s">
        <v>328</v>
      </c>
      <c r="P18" s="8" t="s">
        <v>329</v>
      </c>
      <c r="Q18" s="8"/>
      <c r="R18" s="8">
        <v>107.2</v>
      </c>
      <c r="S18" s="449"/>
      <c r="T18" s="449"/>
      <c r="W18" s="8" t="s">
        <v>303</v>
      </c>
      <c r="X18" s="8"/>
      <c r="Y18" s="395">
        <f>(R16-Y15)/Y15</f>
        <v>5.5962199312714782</v>
      </c>
      <c r="Z18" s="392" t="s">
        <v>302</v>
      </c>
      <c r="AA18" s="117"/>
      <c r="AB18" s="117"/>
      <c r="AC18" s="117"/>
      <c r="AD18" s="117"/>
      <c r="AO18" s="497">
        <v>298</v>
      </c>
      <c r="AP18" s="497">
        <v>629</v>
      </c>
      <c r="AQ18" s="497">
        <v>802</v>
      </c>
      <c r="AR18" s="497">
        <v>446</v>
      </c>
      <c r="AS18" s="497">
        <v>542</v>
      </c>
      <c r="AT18" s="970">
        <v>720</v>
      </c>
      <c r="AU18" s="497">
        <v>835</v>
      </c>
      <c r="AV18" s="497">
        <v>758</v>
      </c>
      <c r="AW18" s="497">
        <v>465</v>
      </c>
      <c r="AX18" s="497">
        <v>428</v>
      </c>
      <c r="AY18" s="497">
        <v>727</v>
      </c>
      <c r="AZ18" s="497">
        <v>816</v>
      </c>
    </row>
    <row r="19" spans="1:52" s="8" customFormat="1" ht="30.6" thickBot="1">
      <c r="A19" s="116">
        <v>218</v>
      </c>
      <c r="B19" s="905" t="s">
        <v>89</v>
      </c>
      <c r="C19" s="616"/>
      <c r="D19" s="617"/>
      <c r="E19" s="618" t="s">
        <v>885</v>
      </c>
      <c r="F19" s="619"/>
      <c r="G19" s="620" t="s">
        <v>35</v>
      </c>
      <c r="H19" s="621"/>
      <c r="I19" s="169"/>
      <c r="J19" s="131"/>
      <c r="K19" s="103">
        <v>30</v>
      </c>
      <c r="L19" s="104" t="s">
        <v>39</v>
      </c>
      <c r="M19" s="105"/>
      <c r="N19" s="340" t="s">
        <v>540</v>
      </c>
      <c r="O19" s="37"/>
      <c r="R19" s="299"/>
      <c r="S19" s="299"/>
      <c r="T19" s="299"/>
      <c r="U19" s="299"/>
      <c r="AO19" s="1389" t="s">
        <v>424</v>
      </c>
      <c r="AP19" s="1389"/>
      <c r="AQ19" s="1389"/>
      <c r="AR19" s="1389"/>
      <c r="AS19" s="1389"/>
      <c r="AT19" s="1389"/>
      <c r="AU19" s="1389"/>
      <c r="AV19" s="1389"/>
      <c r="AW19" s="1389"/>
      <c r="AX19" s="1389"/>
      <c r="AY19" s="1389"/>
      <c r="AZ19" s="1389"/>
    </row>
    <row r="20" spans="1:52" s="8" customFormat="1">
      <c r="A20" s="64" t="s">
        <v>90</v>
      </c>
      <c r="B20" s="13"/>
      <c r="C20" s="479" t="s">
        <v>595</v>
      </c>
      <c r="D20" s="623" t="s">
        <v>219</v>
      </c>
      <c r="E20" s="517" t="s">
        <v>596</v>
      </c>
      <c r="F20" s="503">
        <v>150</v>
      </c>
      <c r="G20" s="487">
        <f>H20*0.2</f>
        <v>21.6</v>
      </c>
      <c r="H20" s="465">
        <v>108</v>
      </c>
      <c r="I20" s="167"/>
      <c r="J20" s="27">
        <v>520</v>
      </c>
      <c r="K20" s="96">
        <v>17</v>
      </c>
      <c r="L20" s="96">
        <v>10</v>
      </c>
      <c r="M20" s="46">
        <v>239</v>
      </c>
      <c r="N20" s="1065"/>
      <c r="U20" s="299"/>
      <c r="Y20" s="37"/>
      <c r="Z20" s="37"/>
      <c r="AA20" s="37"/>
      <c r="AB20" s="37"/>
      <c r="AC20" s="37"/>
      <c r="AD20" s="37"/>
      <c r="AO20" s="968" t="s">
        <v>396</v>
      </c>
      <c r="AP20" s="968" t="s">
        <v>397</v>
      </c>
      <c r="AQ20" s="968" t="s">
        <v>398</v>
      </c>
      <c r="AR20" s="968" t="s">
        <v>399</v>
      </c>
      <c r="AS20" s="968" t="s">
        <v>400</v>
      </c>
      <c r="AT20" s="969" t="s">
        <v>375</v>
      </c>
      <c r="AU20" s="968" t="s">
        <v>376</v>
      </c>
      <c r="AV20" s="968" t="s">
        <v>401</v>
      </c>
      <c r="AW20" s="968" t="s">
        <v>402</v>
      </c>
      <c r="AX20" s="968" t="s">
        <v>403</v>
      </c>
      <c r="AY20" s="968" t="s">
        <v>404</v>
      </c>
      <c r="AZ20" s="968" t="s">
        <v>405</v>
      </c>
    </row>
    <row r="21" spans="1:52" s="8" customFormat="1">
      <c r="A21" s="117" t="s">
        <v>88</v>
      </c>
      <c r="B21" s="13"/>
      <c r="C21" s="479" t="s">
        <v>610</v>
      </c>
      <c r="D21" s="623" t="s">
        <v>219</v>
      </c>
      <c r="E21" s="517" t="s">
        <v>623</v>
      </c>
      <c r="F21" s="503">
        <v>150</v>
      </c>
      <c r="G21" s="487">
        <f t="shared" ref="G21:G22" si="16">H21*0.2</f>
        <v>84.800000000000011</v>
      </c>
      <c r="H21" s="465">
        <v>424</v>
      </c>
      <c r="I21" s="167"/>
      <c r="J21" s="27">
        <v>512</v>
      </c>
      <c r="K21" s="96">
        <v>17</v>
      </c>
      <c r="L21" s="96">
        <v>2</v>
      </c>
      <c r="M21" s="46"/>
      <c r="N21" s="340"/>
      <c r="AI21" s="11">
        <v>1250</v>
      </c>
      <c r="AO21" s="1035">
        <v>566</v>
      </c>
      <c r="AP21" s="1035">
        <v>949</v>
      </c>
      <c r="AQ21" s="1036">
        <v>676.8</v>
      </c>
      <c r="AR21" s="1036">
        <v>509</v>
      </c>
      <c r="AS21" s="1036">
        <v>469</v>
      </c>
      <c r="AT21" s="1039">
        <v>607</v>
      </c>
      <c r="AU21" s="1036">
        <v>509</v>
      </c>
      <c r="AV21" s="1036">
        <v>608</v>
      </c>
      <c r="AW21" s="1036">
        <v>291</v>
      </c>
      <c r="AX21" s="1036">
        <v>330</v>
      </c>
      <c r="AY21" s="1036">
        <v>559</v>
      </c>
      <c r="AZ21" s="1036">
        <v>775</v>
      </c>
    </row>
    <row r="22" spans="1:52" s="8" customFormat="1">
      <c r="A22" s="117" t="s">
        <v>91</v>
      </c>
      <c r="B22" s="13"/>
      <c r="C22" s="479" t="s">
        <v>654</v>
      </c>
      <c r="D22" s="623" t="s">
        <v>219</v>
      </c>
      <c r="E22" s="517" t="s">
        <v>671</v>
      </c>
      <c r="F22" s="503">
        <v>150</v>
      </c>
      <c r="G22" s="487">
        <f t="shared" si="16"/>
        <v>86.800000000000011</v>
      </c>
      <c r="H22" s="465">
        <v>434</v>
      </c>
      <c r="I22" s="167"/>
      <c r="J22" s="27">
        <v>486</v>
      </c>
      <c r="K22" s="96">
        <v>16</v>
      </c>
      <c r="L22" s="96">
        <v>6</v>
      </c>
      <c r="M22" s="46"/>
      <c r="N22" s="340"/>
      <c r="AT22" s="332"/>
    </row>
    <row r="23" spans="1:52" s="8" customFormat="1">
      <c r="B23" s="13"/>
      <c r="C23" s="479" t="s">
        <v>746</v>
      </c>
      <c r="D23" s="623" t="s">
        <v>219</v>
      </c>
      <c r="E23" s="517" t="s">
        <v>756</v>
      </c>
      <c r="F23" s="503">
        <v>150</v>
      </c>
      <c r="G23" s="487">
        <f t="shared" ref="G23:G27" si="17">J23*0.2</f>
        <v>103.80000000000001</v>
      </c>
      <c r="H23" s="465">
        <f t="shared" ref="H23:H27" si="18">G23/0.2</f>
        <v>519</v>
      </c>
      <c r="I23" s="167"/>
      <c r="J23" s="27">
        <f t="shared" ref="J23:J27" si="19">(K23*$K$19)+L23</f>
        <v>519</v>
      </c>
      <c r="K23" s="96">
        <v>17</v>
      </c>
      <c r="L23" s="96">
        <v>9</v>
      </c>
      <c r="M23" s="46"/>
      <c r="N23" s="340"/>
      <c r="AT23" s="332"/>
    </row>
    <row r="24" spans="1:52" s="8" customFormat="1" ht="21.6" thickBot="1">
      <c r="B24" s="13"/>
      <c r="C24" s="479" t="s">
        <v>809</v>
      </c>
      <c r="D24" s="623" t="s">
        <v>219</v>
      </c>
      <c r="E24" s="517" t="s">
        <v>837</v>
      </c>
      <c r="F24" s="503">
        <v>150</v>
      </c>
      <c r="G24" s="487">
        <f>H24*0.2</f>
        <v>104.4</v>
      </c>
      <c r="H24" s="465">
        <v>522</v>
      </c>
      <c r="I24" s="167"/>
      <c r="J24" s="27">
        <f t="shared" si="19"/>
        <v>522</v>
      </c>
      <c r="K24" s="96">
        <v>17</v>
      </c>
      <c r="L24" s="96">
        <v>12</v>
      </c>
      <c r="M24" s="46"/>
      <c r="N24" s="340"/>
      <c r="AT24" s="332"/>
    </row>
    <row r="25" spans="1:52" s="8" customFormat="1" ht="30.6" thickBot="1">
      <c r="B25" s="13"/>
      <c r="C25" s="479"/>
      <c r="D25" s="623"/>
      <c r="E25" s="517"/>
      <c r="F25" s="503"/>
      <c r="G25" s="487">
        <f t="shared" si="17"/>
        <v>0</v>
      </c>
      <c r="H25" s="465">
        <f t="shared" si="18"/>
        <v>0</v>
      </c>
      <c r="I25" s="167"/>
      <c r="J25" s="27">
        <f t="shared" si="19"/>
        <v>0</v>
      </c>
      <c r="K25" s="96"/>
      <c r="L25" s="96"/>
      <c r="M25" s="46"/>
      <c r="N25" s="340"/>
      <c r="O25" s="1369" t="s">
        <v>89</v>
      </c>
      <c r="P25" s="1369"/>
      <c r="Q25" s="1370"/>
      <c r="R25" s="279" t="s">
        <v>262</v>
      </c>
      <c r="T25" s="1168" t="s">
        <v>268</v>
      </c>
      <c r="U25" s="1169"/>
      <c r="V25" s="1169"/>
      <c r="W25" s="1170"/>
      <c r="Y25" s="1232" t="s">
        <v>269</v>
      </c>
      <c r="Z25" s="1233"/>
      <c r="AF25" s="1224" t="s">
        <v>366</v>
      </c>
      <c r="AG25" s="1225"/>
      <c r="AH25" s="1225"/>
      <c r="AI25" s="1226"/>
      <c r="AO25" s="1389" t="s">
        <v>406</v>
      </c>
      <c r="AP25" s="1389"/>
      <c r="AQ25" s="1389"/>
      <c r="AR25" s="1389"/>
      <c r="AS25" s="1389"/>
      <c r="AT25" s="1389"/>
      <c r="AU25" s="1389"/>
      <c r="AV25" s="1389"/>
      <c r="AW25" s="1389"/>
      <c r="AX25" s="1389"/>
      <c r="AY25" s="1389"/>
      <c r="AZ25" s="1389"/>
    </row>
    <row r="26" spans="1:52" s="8" customFormat="1" ht="21.6" thickBot="1">
      <c r="B26" s="13"/>
      <c r="C26" s="479"/>
      <c r="D26" s="623"/>
      <c r="E26" s="517"/>
      <c r="F26" s="503"/>
      <c r="G26" s="487">
        <f t="shared" si="17"/>
        <v>0</v>
      </c>
      <c r="H26" s="465">
        <f t="shared" si="18"/>
        <v>0</v>
      </c>
      <c r="I26" s="167"/>
      <c r="J26" s="27">
        <f t="shared" si="19"/>
        <v>0</v>
      </c>
      <c r="K26" s="96"/>
      <c r="L26" s="96"/>
      <c r="M26" s="46"/>
      <c r="N26" s="340"/>
      <c r="O26" s="1190" t="s">
        <v>298</v>
      </c>
      <c r="P26" s="1191"/>
      <c r="Q26" s="1192"/>
      <c r="R26" s="220">
        <v>25.6</v>
      </c>
      <c r="T26" s="1165" t="s">
        <v>299</v>
      </c>
      <c r="U26" s="1166"/>
      <c r="V26" s="1167"/>
      <c r="W26" s="309">
        <v>41.4</v>
      </c>
      <c r="Y26" s="1234" t="s">
        <v>270</v>
      </c>
      <c r="Z26" s="1235"/>
      <c r="AA26" s="1238" t="s">
        <v>271</v>
      </c>
      <c r="AB26" s="319"/>
      <c r="AC26" s="321"/>
      <c r="AD26" s="321"/>
      <c r="AF26" s="1227"/>
      <c r="AG26" s="1228"/>
      <c r="AH26" s="1228"/>
      <c r="AI26" s="1229"/>
      <c r="AJ26" s="1135">
        <f>(R29-(AJ28*AA28))/(AJ28*AA28)</f>
        <v>7.0652430518295937</v>
      </c>
      <c r="AO26" s="968" t="s">
        <v>396</v>
      </c>
      <c r="AP26" s="968" t="s">
        <v>397</v>
      </c>
      <c r="AQ26" s="968" t="s">
        <v>398</v>
      </c>
      <c r="AR26" s="968" t="s">
        <v>399</v>
      </c>
      <c r="AS26" s="968" t="s">
        <v>400</v>
      </c>
      <c r="AT26" s="969" t="s">
        <v>375</v>
      </c>
      <c r="AU26" s="968" t="s">
        <v>376</v>
      </c>
      <c r="AV26" s="968" t="s">
        <v>401</v>
      </c>
      <c r="AW26" s="968" t="s">
        <v>402</v>
      </c>
      <c r="AX26" s="968" t="s">
        <v>403</v>
      </c>
      <c r="AY26" s="968" t="s">
        <v>404</v>
      </c>
      <c r="AZ26" s="968" t="s">
        <v>405</v>
      </c>
    </row>
    <row r="27" spans="1:52" s="8" customFormat="1" ht="22.2" thickTop="1" thickBot="1">
      <c r="B27" s="13"/>
      <c r="C27" s="479"/>
      <c r="D27" s="623"/>
      <c r="E27" s="517"/>
      <c r="F27" s="503"/>
      <c r="G27" s="487">
        <f t="shared" si="17"/>
        <v>0</v>
      </c>
      <c r="H27" s="465">
        <f t="shared" si="18"/>
        <v>0</v>
      </c>
      <c r="I27" s="167"/>
      <c r="J27" s="27">
        <f t="shared" si="19"/>
        <v>0</v>
      </c>
      <c r="K27" s="96"/>
      <c r="L27" s="96"/>
      <c r="M27" s="46"/>
      <c r="N27" s="340"/>
      <c r="O27" s="1165" t="s">
        <v>299</v>
      </c>
      <c r="P27" s="1166"/>
      <c r="Q27" s="1167"/>
      <c r="R27" s="1114"/>
      <c r="Y27" s="1236"/>
      <c r="Z27" s="1237"/>
      <c r="AA27" s="1239"/>
      <c r="AB27" s="319"/>
      <c r="AC27" s="1240" t="s">
        <v>272</v>
      </c>
      <c r="AD27" s="1241"/>
      <c r="AF27" s="999" t="s">
        <v>679</v>
      </c>
      <c r="AG27" s="960" t="s">
        <v>680</v>
      </c>
      <c r="AH27" s="1003" t="s">
        <v>268</v>
      </c>
      <c r="AI27" s="959" t="s">
        <v>681</v>
      </c>
      <c r="AJ27" s="8" t="s">
        <v>622</v>
      </c>
      <c r="AO27" s="497">
        <v>176</v>
      </c>
      <c r="AP27" s="497">
        <v>293</v>
      </c>
      <c r="AQ27" s="497">
        <v>447</v>
      </c>
      <c r="AR27" s="497">
        <v>322</v>
      </c>
      <c r="AS27" s="497">
        <v>407</v>
      </c>
      <c r="AT27" s="970">
        <v>473</v>
      </c>
      <c r="AU27" s="497">
        <v>573</v>
      </c>
      <c r="AV27" s="497">
        <v>439</v>
      </c>
      <c r="AW27" s="497">
        <v>373</v>
      </c>
      <c r="AX27" s="497">
        <v>263</v>
      </c>
      <c r="AY27" s="497">
        <v>390</v>
      </c>
      <c r="AZ27" s="497">
        <v>388</v>
      </c>
    </row>
    <row r="28" spans="1:52" s="8" customFormat="1" ht="31.2" thickTop="1" thickBot="1">
      <c r="B28" s="13"/>
      <c r="C28" s="479"/>
      <c r="D28" s="623"/>
      <c r="E28" s="517"/>
      <c r="F28" s="503"/>
      <c r="G28" s="487">
        <f t="shared" ref="G28:G29" si="20">J28*0.2</f>
        <v>0</v>
      </c>
      <c r="H28" s="465">
        <f t="shared" ref="H28:H29" si="21">G28/0.2</f>
        <v>0</v>
      </c>
      <c r="I28" s="167"/>
      <c r="J28" s="27">
        <f t="shared" ref="J28:J29" si="22">(K28*$K$19)+L28</f>
        <v>0</v>
      </c>
      <c r="K28" s="96"/>
      <c r="L28" s="96"/>
      <c r="M28" s="46"/>
      <c r="N28" s="340"/>
      <c r="O28" s="1289" t="s">
        <v>242</v>
      </c>
      <c r="P28" s="1290"/>
      <c r="Q28" s="1291"/>
      <c r="R28" s="221">
        <f>SUM(R26:R27)</f>
        <v>25.6</v>
      </c>
      <c r="S28" s="277"/>
      <c r="Y28" s="1182">
        <f>R26+W26</f>
        <v>67</v>
      </c>
      <c r="Z28" s="1183"/>
      <c r="AA28" s="318">
        <v>97</v>
      </c>
      <c r="AC28" s="1292">
        <f>Y28/AA28</f>
        <v>0.69072164948453607</v>
      </c>
      <c r="AD28" s="1293"/>
      <c r="AF28" s="1004">
        <v>0.54618556701030929</v>
      </c>
      <c r="AG28" s="1005">
        <v>0.23092783505154638</v>
      </c>
      <c r="AH28" s="1005">
        <v>0.45360824742268041</v>
      </c>
      <c r="AI28" s="1001">
        <v>0.69072164948453607</v>
      </c>
      <c r="AJ28" s="229">
        <f>AVERAGE(AF28:AI28)</f>
        <v>0.48036082474226804</v>
      </c>
      <c r="AO28" s="1389" t="s">
        <v>425</v>
      </c>
      <c r="AP28" s="1389"/>
      <c r="AQ28" s="1389"/>
      <c r="AR28" s="1389"/>
      <c r="AS28" s="1389"/>
      <c r="AT28" s="1389"/>
      <c r="AU28" s="1389"/>
      <c r="AV28" s="1389"/>
      <c r="AW28" s="1389"/>
      <c r="AX28" s="1389"/>
      <c r="AY28" s="1389"/>
      <c r="AZ28" s="1389"/>
    </row>
    <row r="29" spans="1:52" s="117" customFormat="1" ht="29.25" customHeight="1" thickBot="1">
      <c r="A29" s="8"/>
      <c r="B29" s="13"/>
      <c r="C29" s="479"/>
      <c r="D29" s="623"/>
      <c r="E29" s="517"/>
      <c r="F29" s="505"/>
      <c r="G29" s="610">
        <f t="shared" si="20"/>
        <v>0</v>
      </c>
      <c r="H29" s="465">
        <f t="shared" si="21"/>
        <v>0</v>
      </c>
      <c r="I29" s="167"/>
      <c r="J29" s="82">
        <f t="shared" si="22"/>
        <v>0</v>
      </c>
      <c r="K29" s="96"/>
      <c r="L29" s="96"/>
      <c r="M29" s="46"/>
      <c r="N29" s="340"/>
      <c r="O29" s="1175" t="s">
        <v>243</v>
      </c>
      <c r="P29" s="1176"/>
      <c r="Q29" s="1177"/>
      <c r="R29" s="222">
        <f>$G$30-R28</f>
        <v>375.79999999999995</v>
      </c>
      <c r="S29" s="937"/>
      <c r="T29" s="390"/>
      <c r="U29" s="390"/>
      <c r="Y29" s="1256"/>
      <c r="Z29" s="1162"/>
      <c r="AA29" s="332">
        <v>96.1</v>
      </c>
      <c r="AB29" s="8"/>
      <c r="AC29" s="8"/>
      <c r="AD29" s="8"/>
      <c r="AO29" s="968" t="s">
        <v>396</v>
      </c>
      <c r="AP29" s="968" t="s">
        <v>397</v>
      </c>
      <c r="AQ29" s="968" t="s">
        <v>398</v>
      </c>
      <c r="AR29" s="968" t="s">
        <v>399</v>
      </c>
      <c r="AS29" s="968" t="s">
        <v>400</v>
      </c>
      <c r="AT29" s="969" t="s">
        <v>375</v>
      </c>
      <c r="AU29" s="968" t="s">
        <v>376</v>
      </c>
      <c r="AV29" s="968" t="s">
        <v>401</v>
      </c>
      <c r="AW29" s="968" t="s">
        <v>402</v>
      </c>
      <c r="AX29" s="968" t="s">
        <v>403</v>
      </c>
      <c r="AY29" s="968" t="s">
        <v>404</v>
      </c>
      <c r="AZ29" s="968" t="s">
        <v>405</v>
      </c>
    </row>
    <row r="30" spans="1:52" s="8" customFormat="1" ht="21.6" thickBot="1">
      <c r="A30" s="117"/>
      <c r="B30" s="117"/>
      <c r="C30" s="611"/>
      <c r="D30" s="612"/>
      <c r="E30" s="613"/>
      <c r="F30" s="614">
        <f>SUM(F20:F29)</f>
        <v>750</v>
      </c>
      <c r="G30" s="615">
        <f>SUM(G20:G29)</f>
        <v>401.4</v>
      </c>
      <c r="H30" s="596">
        <f>SUM(H20:H29)</f>
        <v>2007</v>
      </c>
      <c r="I30" s="201"/>
      <c r="J30" s="61">
        <f>SUM(J20:J29)</f>
        <v>2559</v>
      </c>
      <c r="K30" s="117"/>
      <c r="L30" s="117"/>
      <c r="M30" s="1151">
        <f>351-297</f>
        <v>54</v>
      </c>
      <c r="N30" s="340"/>
      <c r="S30" s="299"/>
      <c r="T30" s="299"/>
      <c r="W30" s="8" t="s">
        <v>301</v>
      </c>
      <c r="X30" s="117"/>
      <c r="Y30" s="396">
        <f>R29/Y28</f>
        <v>5.6089552238805966</v>
      </c>
      <c r="Z30" s="392" t="s">
        <v>302</v>
      </c>
      <c r="AO30" s="1035">
        <v>277</v>
      </c>
      <c r="AP30" s="1035">
        <v>363</v>
      </c>
      <c r="AQ30" s="1036">
        <v>320.2</v>
      </c>
      <c r="AR30" s="1036">
        <v>268.8</v>
      </c>
      <c r="AS30" s="1036">
        <v>339</v>
      </c>
      <c r="AT30" s="1039">
        <v>350</v>
      </c>
      <c r="AU30" s="1036">
        <v>315</v>
      </c>
      <c r="AV30" s="1036">
        <v>404</v>
      </c>
      <c r="AW30" s="1036">
        <v>184</v>
      </c>
      <c r="AX30" s="1036">
        <v>225</v>
      </c>
      <c r="AY30" s="1036">
        <v>337</v>
      </c>
      <c r="AZ30" s="1036">
        <v>340</v>
      </c>
    </row>
    <row r="31" spans="1:52" s="8" customFormat="1" ht="21.6" thickBot="1">
      <c r="A31" s="17"/>
      <c r="B31" s="17"/>
      <c r="C31" s="469"/>
      <c r="D31" s="469"/>
      <c r="E31" s="527"/>
      <c r="F31" s="469"/>
      <c r="G31" s="469"/>
      <c r="H31" s="469"/>
      <c r="N31" s="340"/>
      <c r="S31" s="299"/>
      <c r="T31" s="299"/>
      <c r="W31" s="8" t="s">
        <v>303</v>
      </c>
      <c r="Y31" s="395">
        <f>(R29-Y28)/Y28</f>
        <v>4.6089552238805966</v>
      </c>
      <c r="Z31" s="392" t="s">
        <v>302</v>
      </c>
      <c r="AA31" s="117"/>
      <c r="AB31" s="117"/>
      <c r="AC31" s="117"/>
      <c r="AD31" s="117"/>
      <c r="AT31" s="332"/>
    </row>
    <row r="32" spans="1:52" s="8" customFormat="1" ht="23.4" thickBot="1">
      <c r="A32" s="116">
        <v>139</v>
      </c>
      <c r="B32" s="905" t="s">
        <v>92</v>
      </c>
      <c r="C32" s="616"/>
      <c r="D32" s="617"/>
      <c r="E32" s="618" t="s">
        <v>885</v>
      </c>
      <c r="F32" s="619"/>
      <c r="G32" s="620" t="s">
        <v>35</v>
      </c>
      <c r="H32" s="621"/>
      <c r="I32" s="169"/>
      <c r="J32" s="131"/>
      <c r="K32" s="103">
        <v>30</v>
      </c>
      <c r="L32" s="104" t="s">
        <v>39</v>
      </c>
      <c r="M32" s="105"/>
      <c r="N32" s="340" t="s">
        <v>544</v>
      </c>
      <c r="O32" s="37"/>
      <c r="T32" s="299"/>
      <c r="AT32" s="332"/>
    </row>
    <row r="33" spans="1:52" s="8" customFormat="1">
      <c r="A33" s="115" t="s">
        <v>88</v>
      </c>
      <c r="C33" s="626" t="s">
        <v>610</v>
      </c>
      <c r="D33" s="627" t="s">
        <v>219</v>
      </c>
      <c r="E33" s="624" t="s">
        <v>623</v>
      </c>
      <c r="F33" s="505">
        <v>150</v>
      </c>
      <c r="G33" s="610">
        <f>H33*0.2</f>
        <v>39.400000000000006</v>
      </c>
      <c r="H33" s="625">
        <v>197</v>
      </c>
      <c r="I33" s="167"/>
      <c r="J33" s="82">
        <v>517</v>
      </c>
      <c r="K33" s="410">
        <v>17</v>
      </c>
      <c r="L33" s="410">
        <v>7</v>
      </c>
      <c r="M33" s="150">
        <v>342</v>
      </c>
      <c r="N33" s="1065" t="s">
        <v>874</v>
      </c>
      <c r="AI33" s="305">
        <f>860</f>
        <v>860</v>
      </c>
      <c r="AT33" s="332"/>
    </row>
    <row r="34" spans="1:52" s="8" customFormat="1" ht="21.6" thickBot="1">
      <c r="A34" s="64" t="s">
        <v>93</v>
      </c>
      <c r="C34" s="626" t="s">
        <v>701</v>
      </c>
      <c r="D34" s="627" t="s">
        <v>219</v>
      </c>
      <c r="E34" s="624" t="s">
        <v>747</v>
      </c>
      <c r="F34" s="505">
        <v>150</v>
      </c>
      <c r="G34" s="610">
        <f>H34*0.2</f>
        <v>94.2</v>
      </c>
      <c r="H34" s="625">
        <v>471</v>
      </c>
      <c r="I34" s="167"/>
      <c r="J34" s="82">
        <v>497</v>
      </c>
      <c r="K34" s="410">
        <v>16</v>
      </c>
      <c r="L34" s="410">
        <v>17</v>
      </c>
      <c r="M34" s="150"/>
      <c r="N34" s="340"/>
      <c r="AT34" s="332"/>
    </row>
    <row r="35" spans="1:52" s="8" customFormat="1" ht="30.6" thickBot="1">
      <c r="A35" s="64" t="s">
        <v>94</v>
      </c>
      <c r="C35" s="626" t="s">
        <v>755</v>
      </c>
      <c r="D35" s="627" t="s">
        <v>219</v>
      </c>
      <c r="E35" s="624" t="s">
        <v>775</v>
      </c>
      <c r="F35" s="505">
        <v>150</v>
      </c>
      <c r="G35" s="610">
        <f t="shared" ref="G35:G38" si="23">J35*0.2</f>
        <v>105.2</v>
      </c>
      <c r="H35" s="625">
        <f t="shared" ref="H35:H38" si="24">G35/0.2</f>
        <v>526</v>
      </c>
      <c r="I35" s="167"/>
      <c r="J35" s="82">
        <f t="shared" ref="J35:J38" si="25">(K35*$K$32)+L35</f>
        <v>526</v>
      </c>
      <c r="K35" s="410">
        <v>17</v>
      </c>
      <c r="L35" s="410">
        <v>16</v>
      </c>
      <c r="M35" s="150"/>
      <c r="N35" s="340"/>
      <c r="O35" s="1369" t="s">
        <v>92</v>
      </c>
      <c r="P35" s="1369"/>
      <c r="Q35" s="1370"/>
      <c r="R35" s="279" t="s">
        <v>262</v>
      </c>
      <c r="T35" s="1168" t="s">
        <v>268</v>
      </c>
      <c r="U35" s="1169"/>
      <c r="V35" s="1169"/>
      <c r="W35" s="1170"/>
      <c r="Y35" s="1232" t="s">
        <v>269</v>
      </c>
      <c r="Z35" s="1233"/>
      <c r="AF35" s="1224" t="s">
        <v>366</v>
      </c>
      <c r="AG35" s="1225"/>
      <c r="AH35" s="1225"/>
      <c r="AI35" s="1226"/>
      <c r="AO35" s="1389" t="s">
        <v>407</v>
      </c>
      <c r="AP35" s="1389"/>
      <c r="AQ35" s="1389"/>
      <c r="AR35" s="1389"/>
      <c r="AS35" s="1389"/>
      <c r="AT35" s="1389"/>
      <c r="AU35" s="1389"/>
      <c r="AV35" s="1389"/>
      <c r="AW35" s="1389"/>
      <c r="AX35" s="1389"/>
      <c r="AY35" s="1389"/>
      <c r="AZ35" s="1389"/>
    </row>
    <row r="36" spans="1:52" s="8" customFormat="1" ht="21.6" thickBot="1">
      <c r="C36" s="626" t="s">
        <v>809</v>
      </c>
      <c r="D36" s="627" t="s">
        <v>218</v>
      </c>
      <c r="E36" s="624" t="s">
        <v>838</v>
      </c>
      <c r="F36" s="505">
        <v>300</v>
      </c>
      <c r="G36" s="610">
        <f>H36*0.2</f>
        <v>207</v>
      </c>
      <c r="H36" s="625">
        <v>1035</v>
      </c>
      <c r="I36" s="167"/>
      <c r="J36" s="82">
        <f t="shared" si="25"/>
        <v>1035</v>
      </c>
      <c r="K36" s="410">
        <v>34</v>
      </c>
      <c r="L36" s="410">
        <v>15</v>
      </c>
      <c r="M36" s="150"/>
      <c r="N36" s="340"/>
      <c r="O36" s="1190" t="s">
        <v>298</v>
      </c>
      <c r="P36" s="1191"/>
      <c r="Q36" s="1192"/>
      <c r="R36" s="220">
        <v>29.6</v>
      </c>
      <c r="T36" s="1165" t="s">
        <v>299</v>
      </c>
      <c r="U36" s="1166"/>
      <c r="V36" s="1167"/>
      <c r="W36" s="309">
        <v>22.8</v>
      </c>
      <c r="Y36" s="1234" t="s">
        <v>270</v>
      </c>
      <c r="Z36" s="1235"/>
      <c r="AA36" s="1238" t="s">
        <v>271</v>
      </c>
      <c r="AB36" s="319"/>
      <c r="AC36" s="321"/>
      <c r="AD36" s="321"/>
      <c r="AF36" s="1227"/>
      <c r="AG36" s="1228"/>
      <c r="AH36" s="1228"/>
      <c r="AI36" s="1229"/>
      <c r="AJ36" s="1135">
        <f>(R39-(AJ38*AA38))/(AJ38*AA38)</f>
        <v>6.8676748582230607</v>
      </c>
      <c r="AO36" s="968" t="s">
        <v>396</v>
      </c>
      <c r="AP36" s="968" t="s">
        <v>397</v>
      </c>
      <c r="AQ36" s="968" t="s">
        <v>398</v>
      </c>
      <c r="AR36" s="968" t="s">
        <v>399</v>
      </c>
      <c r="AS36" s="968" t="s">
        <v>400</v>
      </c>
      <c r="AT36" s="969" t="s">
        <v>375</v>
      </c>
      <c r="AU36" s="968" t="s">
        <v>376</v>
      </c>
      <c r="AV36" s="968" t="s">
        <v>401</v>
      </c>
      <c r="AW36" s="968" t="s">
        <v>402</v>
      </c>
      <c r="AX36" s="968" t="s">
        <v>403</v>
      </c>
      <c r="AY36" s="968" t="s">
        <v>404</v>
      </c>
      <c r="AZ36" s="968" t="s">
        <v>405</v>
      </c>
    </row>
    <row r="37" spans="1:52" s="8" customFormat="1" ht="32.25" customHeight="1" thickTop="1" thickBot="1">
      <c r="C37" s="626"/>
      <c r="D37" s="627"/>
      <c r="E37" s="624"/>
      <c r="F37" s="505"/>
      <c r="G37" s="610">
        <f t="shared" si="23"/>
        <v>0</v>
      </c>
      <c r="H37" s="625">
        <f t="shared" si="24"/>
        <v>0</v>
      </c>
      <c r="I37" s="167"/>
      <c r="J37" s="82">
        <f t="shared" si="25"/>
        <v>0</v>
      </c>
      <c r="K37" s="410"/>
      <c r="L37" s="410"/>
      <c r="M37" s="150"/>
      <c r="N37" s="340"/>
      <c r="O37" s="1165" t="s">
        <v>299</v>
      </c>
      <c r="P37" s="1166"/>
      <c r="Q37" s="1167"/>
      <c r="R37" s="1114"/>
      <c r="Y37" s="1236"/>
      <c r="Z37" s="1237"/>
      <c r="AA37" s="1239"/>
      <c r="AB37" s="319"/>
      <c r="AC37" s="1240" t="s">
        <v>272</v>
      </c>
      <c r="AD37" s="1241"/>
      <c r="AF37" s="999" t="s">
        <v>679</v>
      </c>
      <c r="AG37" s="960" t="s">
        <v>680</v>
      </c>
      <c r="AH37" s="1003" t="s">
        <v>268</v>
      </c>
      <c r="AI37" s="959" t="s">
        <v>681</v>
      </c>
      <c r="AJ37" s="8" t="s">
        <v>622</v>
      </c>
      <c r="AO37" s="497">
        <v>164</v>
      </c>
      <c r="AP37" s="497">
        <v>297</v>
      </c>
      <c r="AQ37" s="497">
        <v>416</v>
      </c>
      <c r="AR37" s="497">
        <v>231</v>
      </c>
      <c r="AS37" s="497">
        <v>400</v>
      </c>
      <c r="AT37" s="970">
        <v>377</v>
      </c>
      <c r="AU37" s="497">
        <v>447</v>
      </c>
      <c r="AV37" s="497">
        <v>397</v>
      </c>
      <c r="AW37" s="497">
        <v>278</v>
      </c>
      <c r="AX37" s="497">
        <v>243</v>
      </c>
      <c r="AY37" s="497">
        <v>396</v>
      </c>
      <c r="AZ37" s="497">
        <v>456</v>
      </c>
    </row>
    <row r="38" spans="1:52" s="8" customFormat="1" ht="31.2" thickTop="1" thickBot="1">
      <c r="C38" s="626"/>
      <c r="D38" s="627"/>
      <c r="E38" s="624"/>
      <c r="F38" s="505"/>
      <c r="G38" s="610">
        <f t="shared" si="23"/>
        <v>0</v>
      </c>
      <c r="H38" s="625">
        <f t="shared" si="24"/>
        <v>0</v>
      </c>
      <c r="I38" s="167"/>
      <c r="J38" s="82">
        <f t="shared" si="25"/>
        <v>0</v>
      </c>
      <c r="K38" s="410"/>
      <c r="L38" s="410"/>
      <c r="M38" s="150"/>
      <c r="N38" s="340"/>
      <c r="O38" s="1289" t="s">
        <v>242</v>
      </c>
      <c r="P38" s="1290"/>
      <c r="Q38" s="1291"/>
      <c r="R38" s="221">
        <f>SUM(R36:R37)</f>
        <v>29.6</v>
      </c>
      <c r="S38" s="854"/>
      <c r="T38" s="299"/>
      <c r="Y38" s="1182">
        <f>R36+W36</f>
        <v>52.400000000000006</v>
      </c>
      <c r="Z38" s="1183"/>
      <c r="AA38" s="318">
        <v>97</v>
      </c>
      <c r="AC38" s="1292">
        <f>Y38/AA38</f>
        <v>0.54020618556701039</v>
      </c>
      <c r="AD38" s="1293"/>
      <c r="AF38" s="1004">
        <v>0.42061855670103088</v>
      </c>
      <c r="AG38" s="1005">
        <v>0.42886597938144333</v>
      </c>
      <c r="AH38" s="1005">
        <v>0.79175257731958759</v>
      </c>
      <c r="AI38" s="1001">
        <v>0.54020618556701039</v>
      </c>
      <c r="AJ38" s="229">
        <f>AVERAGE(AF38:AI38)</f>
        <v>0.5453608247422681</v>
      </c>
      <c r="AO38" s="1389" t="s">
        <v>426</v>
      </c>
      <c r="AP38" s="1389"/>
      <c r="AQ38" s="1389"/>
      <c r="AR38" s="1389"/>
      <c r="AS38" s="1389"/>
      <c r="AT38" s="1389"/>
      <c r="AU38" s="1389"/>
      <c r="AV38" s="1389"/>
      <c r="AW38" s="1389"/>
      <c r="AX38" s="1389"/>
      <c r="AY38" s="1389"/>
      <c r="AZ38" s="1389"/>
    </row>
    <row r="39" spans="1:52" s="117" customFormat="1" ht="26.25" customHeight="1" thickBot="1">
      <c r="A39" s="8"/>
      <c r="B39" s="8"/>
      <c r="C39" s="626"/>
      <c r="D39" s="627"/>
      <c r="E39" s="624"/>
      <c r="F39" s="505"/>
      <c r="G39" s="610">
        <f t="shared" ref="G39" si="26">J39*0.2</f>
        <v>0</v>
      </c>
      <c r="H39" s="625">
        <f t="shared" ref="H39" si="27">G39/0.2</f>
        <v>0</v>
      </c>
      <c r="I39" s="167"/>
      <c r="J39" s="82">
        <f t="shared" ref="J39" si="28">(K39*$K$32)+L39</f>
        <v>0</v>
      </c>
      <c r="K39" s="410"/>
      <c r="L39" s="410"/>
      <c r="M39" s="150"/>
      <c r="N39" s="340"/>
      <c r="O39" s="1175" t="s">
        <v>243</v>
      </c>
      <c r="P39" s="1176"/>
      <c r="Q39" s="1177"/>
      <c r="R39" s="222">
        <f>$G$44-R38</f>
        <v>416.2</v>
      </c>
      <c r="T39" s="390"/>
      <c r="Y39" s="1242"/>
      <c r="Z39" s="1243"/>
      <c r="AA39" s="332">
        <v>97.53</v>
      </c>
      <c r="AB39" s="8"/>
      <c r="AC39" s="8"/>
      <c r="AD39" s="8"/>
      <c r="AO39" s="968" t="s">
        <v>396</v>
      </c>
      <c r="AP39" s="968" t="s">
        <v>397</v>
      </c>
      <c r="AQ39" s="968" t="s">
        <v>398</v>
      </c>
      <c r="AR39" s="968" t="s">
        <v>399</v>
      </c>
      <c r="AS39" s="968" t="s">
        <v>400</v>
      </c>
      <c r="AT39" s="969" t="s">
        <v>375</v>
      </c>
      <c r="AU39" s="968" t="s">
        <v>376</v>
      </c>
      <c r="AV39" s="968" t="s">
        <v>401</v>
      </c>
      <c r="AW39" s="968" t="s">
        <v>402</v>
      </c>
      <c r="AX39" s="968" t="s">
        <v>403</v>
      </c>
      <c r="AY39" s="968" t="s">
        <v>404</v>
      </c>
      <c r="AZ39" s="968" t="s">
        <v>405</v>
      </c>
    </row>
    <row r="40" spans="1:52" s="117" customFormat="1" ht="26.25" customHeight="1">
      <c r="A40" s="8"/>
      <c r="B40" s="8"/>
      <c r="C40" s="626"/>
      <c r="D40" s="627"/>
      <c r="E40" s="624"/>
      <c r="F40" s="505"/>
      <c r="G40" s="610">
        <f t="shared" ref="G40" si="29">J40*0.2</f>
        <v>0</v>
      </c>
      <c r="H40" s="625">
        <f t="shared" ref="H40" si="30">G40/0.2</f>
        <v>0</v>
      </c>
      <c r="I40" s="167"/>
      <c r="J40" s="82">
        <f t="shared" ref="J40" si="31">(K40*$K$32)+L40</f>
        <v>0</v>
      </c>
      <c r="K40" s="410"/>
      <c r="L40" s="410"/>
      <c r="M40" s="150"/>
      <c r="N40" s="340"/>
      <c r="O40" s="340"/>
      <c r="P40" s="340"/>
      <c r="Q40" s="340"/>
      <c r="R40" s="433"/>
      <c r="T40" s="390"/>
      <c r="Y40" s="8"/>
      <c r="Z40" s="8"/>
      <c r="AA40" s="332"/>
      <c r="AB40" s="8"/>
      <c r="AC40" s="8"/>
      <c r="AD40" s="8"/>
      <c r="AO40" s="1035">
        <v>178</v>
      </c>
      <c r="AP40" s="1035">
        <v>359</v>
      </c>
      <c r="AQ40" s="1036">
        <v>298.60000000000002</v>
      </c>
      <c r="AR40" s="1036">
        <v>266.60000000000002</v>
      </c>
      <c r="AS40" s="1036">
        <v>276</v>
      </c>
      <c r="AT40" s="1039">
        <v>351</v>
      </c>
      <c r="AU40" s="1036">
        <v>322</v>
      </c>
      <c r="AV40" s="1036">
        <v>285</v>
      </c>
      <c r="AW40" s="1036">
        <v>120</v>
      </c>
      <c r="AX40" s="1036">
        <v>213</v>
      </c>
      <c r="AY40" s="1036">
        <v>347</v>
      </c>
      <c r="AZ40" s="1036">
        <v>239</v>
      </c>
    </row>
    <row r="41" spans="1:52" s="117" customFormat="1" ht="26.25" customHeight="1">
      <c r="A41" s="8"/>
      <c r="B41" s="8"/>
      <c r="C41" s="626"/>
      <c r="D41" s="627"/>
      <c r="E41" s="624"/>
      <c r="F41" s="505"/>
      <c r="G41" s="610">
        <f t="shared" ref="G41" si="32">J41*0.2</f>
        <v>0</v>
      </c>
      <c r="H41" s="625">
        <f t="shared" ref="H41" si="33">G41/0.2</f>
        <v>0</v>
      </c>
      <c r="I41" s="167"/>
      <c r="J41" s="82">
        <f t="shared" ref="J41" si="34">(K41*$K$32)+L41</f>
        <v>0</v>
      </c>
      <c r="K41" s="410"/>
      <c r="L41" s="410"/>
      <c r="M41" s="150"/>
      <c r="N41" s="340"/>
      <c r="O41" s="340"/>
      <c r="P41" s="340"/>
      <c r="Q41" s="340"/>
      <c r="R41" s="433"/>
      <c r="T41" s="390"/>
      <c r="Y41" s="8"/>
      <c r="Z41" s="8"/>
      <c r="AA41" s="332"/>
      <c r="AB41" s="8"/>
      <c r="AC41" s="8"/>
      <c r="AD41" s="8"/>
      <c r="AT41" s="971"/>
    </row>
    <row r="42" spans="1:52" s="8" customFormat="1" ht="16.2" thickBot="1">
      <c r="A42" s="445" t="s">
        <v>310</v>
      </c>
      <c r="B42" s="1351" t="s">
        <v>152</v>
      </c>
      <c r="C42" s="1352"/>
      <c r="D42" s="1352"/>
      <c r="E42" s="1352"/>
      <c r="F42" s="1352"/>
      <c r="G42" s="1352"/>
      <c r="H42" s="1352"/>
      <c r="I42" s="423"/>
      <c r="J42" s="424"/>
      <c r="K42" s="416">
        <v>28</v>
      </c>
      <c r="L42" s="416" t="s">
        <v>153</v>
      </c>
      <c r="M42" s="417"/>
      <c r="N42" s="340"/>
      <c r="S42" s="299"/>
      <c r="T42" s="299"/>
      <c r="AA42" s="117"/>
      <c r="AB42" s="117"/>
      <c r="AC42" s="117"/>
      <c r="AD42" s="117"/>
      <c r="AT42" s="332"/>
    </row>
    <row r="43" spans="1:52" s="8" customFormat="1" ht="24" customHeight="1" thickBot="1">
      <c r="B43" s="413"/>
      <c r="C43" s="628"/>
      <c r="D43" s="629"/>
      <c r="E43" s="630"/>
      <c r="F43" s="631"/>
      <c r="G43" s="610"/>
      <c r="H43" s="625"/>
      <c r="I43" s="167"/>
      <c r="J43" s="82"/>
      <c r="K43" s="415"/>
      <c r="L43" s="415"/>
      <c r="M43" s="447"/>
      <c r="N43" s="1066"/>
      <c r="S43" s="299"/>
      <c r="T43" s="299"/>
      <c r="W43" s="8" t="s">
        <v>301</v>
      </c>
      <c r="X43" s="117"/>
      <c r="Y43" s="396">
        <f>R39/Y38</f>
        <v>7.9427480916030522</v>
      </c>
      <c r="Z43" s="392" t="s">
        <v>302</v>
      </c>
      <c r="AT43" s="332"/>
    </row>
    <row r="44" spans="1:52" s="8" customFormat="1" ht="21.6" thickBot="1">
      <c r="A44" s="117"/>
      <c r="B44" s="117"/>
      <c r="C44" s="453"/>
      <c r="D44" s="632"/>
      <c r="E44" s="613"/>
      <c r="F44" s="633">
        <f>SUM(F33:F41)+F43</f>
        <v>750</v>
      </c>
      <c r="G44" s="634">
        <f>SUM(G33:G41)+G43</f>
        <v>445.8</v>
      </c>
      <c r="H44" s="686">
        <f>SUM(H33:H41)+H43</f>
        <v>2229</v>
      </c>
      <c r="I44" s="201"/>
      <c r="J44" s="422">
        <f>SUM(J33:J41)+J43</f>
        <v>2575</v>
      </c>
      <c r="K44" s="117"/>
      <c r="L44" s="117">
        <f>273-238</f>
        <v>35</v>
      </c>
      <c r="M44" s="117"/>
      <c r="N44" s="340"/>
      <c r="S44" s="299"/>
      <c r="T44" s="299"/>
      <c r="W44" s="8" t="s">
        <v>303</v>
      </c>
      <c r="Y44" s="395">
        <f>(R39-Y38)/Y38</f>
        <v>6.9427480916030522</v>
      </c>
      <c r="Z44" s="392" t="s">
        <v>302</v>
      </c>
      <c r="AT44" s="332"/>
    </row>
    <row r="45" spans="1:52" s="8" customFormat="1" ht="21.6" thickBot="1">
      <c r="B45" s="118"/>
      <c r="C45" s="471"/>
      <c r="D45" s="527"/>
      <c r="E45" s="521"/>
      <c r="F45" s="469"/>
      <c r="G45" s="635"/>
      <c r="H45" s="636"/>
      <c r="I45" s="162"/>
      <c r="J45" s="17"/>
      <c r="N45" s="340"/>
      <c r="T45" s="299"/>
      <c r="AI45" s="305">
        <v>650</v>
      </c>
      <c r="AT45" s="332"/>
    </row>
    <row r="46" spans="1:52" s="8" customFormat="1" ht="23.4" thickBot="1">
      <c r="A46" s="116">
        <v>215</v>
      </c>
      <c r="B46" s="905" t="s">
        <v>240</v>
      </c>
      <c r="C46" s="616"/>
      <c r="D46" s="617"/>
      <c r="E46" s="618" t="s">
        <v>885</v>
      </c>
      <c r="F46" s="619"/>
      <c r="G46" s="620" t="s">
        <v>35</v>
      </c>
      <c r="H46" s="621"/>
      <c r="I46" s="169"/>
      <c r="J46" s="131"/>
      <c r="K46" s="103">
        <v>30</v>
      </c>
      <c r="L46" s="104" t="s">
        <v>39</v>
      </c>
      <c r="M46" s="105"/>
      <c r="N46" s="340" t="s">
        <v>538</v>
      </c>
      <c r="O46" s="37"/>
      <c r="AT46" s="332"/>
    </row>
    <row r="47" spans="1:52" s="8" customFormat="1">
      <c r="A47" s="64" t="s">
        <v>95</v>
      </c>
      <c r="B47" s="13"/>
      <c r="C47" s="479" t="s">
        <v>633</v>
      </c>
      <c r="D47" s="623" t="s">
        <v>217</v>
      </c>
      <c r="E47" s="517" t="s">
        <v>642</v>
      </c>
      <c r="F47" s="503">
        <v>75</v>
      </c>
      <c r="G47" s="487">
        <f>H47*0.2</f>
        <v>49</v>
      </c>
      <c r="H47" s="465">
        <v>245</v>
      </c>
      <c r="I47" s="167"/>
      <c r="J47" s="27">
        <v>279</v>
      </c>
      <c r="K47" s="96">
        <v>9</v>
      </c>
      <c r="L47" s="96">
        <v>9</v>
      </c>
      <c r="M47" s="46">
        <v>260</v>
      </c>
      <c r="N47" s="340"/>
      <c r="AT47" s="332"/>
    </row>
    <row r="48" spans="1:52" s="8" customFormat="1">
      <c r="A48" s="64" t="s">
        <v>96</v>
      </c>
      <c r="B48" s="13"/>
      <c r="C48" s="479" t="s">
        <v>701</v>
      </c>
      <c r="D48" s="623" t="s">
        <v>217</v>
      </c>
      <c r="E48" s="517" t="s">
        <v>747</v>
      </c>
      <c r="F48" s="503">
        <v>75</v>
      </c>
      <c r="G48" s="487">
        <f>H48*0.2</f>
        <v>40.800000000000004</v>
      </c>
      <c r="H48" s="465">
        <v>204</v>
      </c>
      <c r="I48" s="167"/>
      <c r="J48" s="27">
        <v>276</v>
      </c>
      <c r="K48" s="96">
        <v>9</v>
      </c>
      <c r="L48" s="96">
        <v>6</v>
      </c>
      <c r="M48" s="46">
        <v>-52</v>
      </c>
      <c r="N48" s="340"/>
      <c r="AT48" s="332"/>
    </row>
    <row r="49" spans="1:52" s="8" customFormat="1" ht="21.6" thickBot="1">
      <c r="B49" s="13"/>
      <c r="C49" s="479"/>
      <c r="D49" s="623"/>
      <c r="E49" s="517"/>
      <c r="F49" s="503"/>
      <c r="G49" s="487">
        <f t="shared" ref="G49:G52" si="35">J49*0.2</f>
        <v>0</v>
      </c>
      <c r="H49" s="465">
        <f t="shared" ref="H49:H51" si="36">G49/0.2</f>
        <v>0</v>
      </c>
      <c r="I49" s="167"/>
      <c r="J49" s="27">
        <f t="shared" ref="J49:J52" si="37">(K49*$K$46)+L49</f>
        <v>0</v>
      </c>
      <c r="K49" s="96"/>
      <c r="L49" s="96"/>
      <c r="M49" s="46"/>
      <c r="N49" s="340"/>
      <c r="AT49" s="332"/>
    </row>
    <row r="50" spans="1:52" s="8" customFormat="1" ht="30.6" thickBot="1">
      <c r="B50" s="13"/>
      <c r="C50" s="479"/>
      <c r="D50" s="623"/>
      <c r="E50" s="517"/>
      <c r="F50" s="503"/>
      <c r="G50" s="487">
        <f t="shared" si="35"/>
        <v>0</v>
      </c>
      <c r="H50" s="465">
        <f t="shared" si="36"/>
        <v>0</v>
      </c>
      <c r="I50" s="167"/>
      <c r="J50" s="27">
        <f t="shared" si="37"/>
        <v>0</v>
      </c>
      <c r="K50" s="96"/>
      <c r="L50" s="96"/>
      <c r="M50" s="46"/>
      <c r="N50" s="340"/>
      <c r="O50" s="1369" t="s">
        <v>240</v>
      </c>
      <c r="P50" s="1369"/>
      <c r="Q50" s="1370"/>
      <c r="R50" s="279" t="s">
        <v>262</v>
      </c>
      <c r="T50" s="1168" t="s">
        <v>268</v>
      </c>
      <c r="U50" s="1169"/>
      <c r="V50" s="1169"/>
      <c r="W50" s="1170"/>
      <c r="Y50" s="1232" t="s">
        <v>269</v>
      </c>
      <c r="Z50" s="1233"/>
      <c r="AF50" s="1224" t="s">
        <v>366</v>
      </c>
      <c r="AG50" s="1225"/>
      <c r="AH50" s="1225"/>
      <c r="AI50" s="1226"/>
      <c r="AO50" s="1389" t="s">
        <v>408</v>
      </c>
      <c r="AP50" s="1389"/>
      <c r="AQ50" s="1389"/>
      <c r="AR50" s="1389"/>
      <c r="AS50" s="1389"/>
      <c r="AT50" s="1389"/>
      <c r="AU50" s="1389"/>
      <c r="AV50" s="1389"/>
      <c r="AW50" s="1389"/>
      <c r="AX50" s="1389"/>
      <c r="AY50" s="1389"/>
      <c r="AZ50" s="1389"/>
    </row>
    <row r="51" spans="1:52" s="8" customFormat="1" ht="21.6" thickBot="1">
      <c r="B51" s="13"/>
      <c r="C51" s="479"/>
      <c r="D51" s="623"/>
      <c r="E51" s="517"/>
      <c r="F51" s="503"/>
      <c r="G51" s="487">
        <f t="shared" si="35"/>
        <v>0</v>
      </c>
      <c r="H51" s="465">
        <f t="shared" si="36"/>
        <v>0</v>
      </c>
      <c r="I51" s="167"/>
      <c r="J51" s="27">
        <f t="shared" si="37"/>
        <v>0</v>
      </c>
      <c r="K51" s="96"/>
      <c r="L51" s="96"/>
      <c r="M51" s="46"/>
      <c r="N51" s="340"/>
      <c r="O51" s="1190" t="s">
        <v>298</v>
      </c>
      <c r="P51" s="1191"/>
      <c r="Q51" s="1192"/>
      <c r="R51" s="220">
        <v>3.2</v>
      </c>
      <c r="T51" s="1165" t="s">
        <v>299</v>
      </c>
      <c r="U51" s="1166"/>
      <c r="V51" s="1167"/>
      <c r="W51" s="309">
        <v>19.600000000000001</v>
      </c>
      <c r="Y51" s="1234" t="s">
        <v>270</v>
      </c>
      <c r="Z51" s="1235"/>
      <c r="AA51" s="1238" t="s">
        <v>271</v>
      </c>
      <c r="AB51" s="319"/>
      <c r="AC51" s="321"/>
      <c r="AD51" s="321"/>
      <c r="AF51" s="1227"/>
      <c r="AG51" s="1228"/>
      <c r="AH51" s="1228"/>
      <c r="AI51" s="1229"/>
      <c r="AJ51" s="1135">
        <f>(R54-(AJ53*AA53))/(AJ53*AA53)</f>
        <v>4.6601307189542496</v>
      </c>
      <c r="AO51" s="968" t="s">
        <v>396</v>
      </c>
      <c r="AP51" s="968" t="s">
        <v>397</v>
      </c>
      <c r="AQ51" s="968" t="s">
        <v>398</v>
      </c>
      <c r="AR51" s="968" t="s">
        <v>399</v>
      </c>
      <c r="AS51" s="968" t="s">
        <v>400</v>
      </c>
      <c r="AT51" s="969" t="s">
        <v>375</v>
      </c>
      <c r="AU51" s="968" t="s">
        <v>376</v>
      </c>
      <c r="AV51" s="968" t="s">
        <v>401</v>
      </c>
      <c r="AW51" s="968" t="s">
        <v>402</v>
      </c>
      <c r="AX51" s="968" t="s">
        <v>403</v>
      </c>
      <c r="AY51" s="968" t="s">
        <v>404</v>
      </c>
      <c r="AZ51" s="968" t="s">
        <v>405</v>
      </c>
    </row>
    <row r="52" spans="1:52" s="8" customFormat="1" ht="22.2" thickTop="1" thickBot="1">
      <c r="B52" s="13"/>
      <c r="C52" s="479"/>
      <c r="D52" s="623"/>
      <c r="E52" s="517"/>
      <c r="F52" s="503"/>
      <c r="G52" s="487">
        <f t="shared" si="35"/>
        <v>0</v>
      </c>
      <c r="H52" s="465">
        <f t="shared" ref="H52" si="38">G52/0.2</f>
        <v>0</v>
      </c>
      <c r="I52" s="167"/>
      <c r="J52" s="27">
        <f t="shared" si="37"/>
        <v>0</v>
      </c>
      <c r="K52" s="96"/>
      <c r="L52" s="96"/>
      <c r="M52" s="46"/>
      <c r="N52" s="340"/>
      <c r="O52" s="1165" t="s">
        <v>299</v>
      </c>
      <c r="P52" s="1166"/>
      <c r="Q52" s="1167"/>
      <c r="R52" s="1114"/>
      <c r="T52" s="305" t="s">
        <v>337</v>
      </c>
      <c r="Y52" s="1236"/>
      <c r="Z52" s="1237"/>
      <c r="AA52" s="1239"/>
      <c r="AB52" s="319"/>
      <c r="AC52" s="1240" t="s">
        <v>272</v>
      </c>
      <c r="AD52" s="1241"/>
      <c r="AF52" s="999" t="s">
        <v>679</v>
      </c>
      <c r="AG52" s="960" t="s">
        <v>680</v>
      </c>
      <c r="AH52" s="1003" t="s">
        <v>268</v>
      </c>
      <c r="AI52" s="959" t="s">
        <v>681</v>
      </c>
      <c r="AJ52" s="8" t="s">
        <v>622</v>
      </c>
      <c r="AO52" s="497">
        <v>41</v>
      </c>
      <c r="AP52" s="497">
        <v>129</v>
      </c>
      <c r="AQ52" s="497">
        <v>142</v>
      </c>
      <c r="AR52" s="497">
        <v>61</v>
      </c>
      <c r="AS52" s="497">
        <v>106</v>
      </c>
      <c r="AT52" s="970">
        <v>73</v>
      </c>
      <c r="AU52" s="497">
        <v>134</v>
      </c>
      <c r="AV52" s="497">
        <v>144</v>
      </c>
      <c r="AW52" s="497">
        <v>72</v>
      </c>
      <c r="AX52" s="497">
        <v>104</v>
      </c>
      <c r="AY52" s="497">
        <v>127</v>
      </c>
      <c r="AZ52" s="497">
        <v>139</v>
      </c>
    </row>
    <row r="53" spans="1:52" s="8" customFormat="1" ht="31.2" thickTop="1" thickBot="1">
      <c r="B53" s="13"/>
      <c r="C53" s="479"/>
      <c r="D53" s="623"/>
      <c r="E53" s="517"/>
      <c r="F53" s="503"/>
      <c r="G53" s="487">
        <f t="shared" ref="G53" si="39">J53*0.2</f>
        <v>0</v>
      </c>
      <c r="H53" s="465">
        <f t="shared" ref="H53:H54" si="40">G53/0.2</f>
        <v>0</v>
      </c>
      <c r="I53" s="167"/>
      <c r="J53" s="27">
        <f t="shared" ref="J53:J54" si="41">(K53*$K$46)+L53</f>
        <v>0</v>
      </c>
      <c r="K53" s="96"/>
      <c r="L53" s="96"/>
      <c r="M53" s="46"/>
      <c r="N53" s="340"/>
      <c r="O53" s="1289" t="s">
        <v>242</v>
      </c>
      <c r="P53" s="1290"/>
      <c r="Q53" s="1291"/>
      <c r="R53" s="221">
        <f>SUM(R51:R52)</f>
        <v>3.2</v>
      </c>
      <c r="S53" s="327"/>
      <c r="T53" s="305" t="s">
        <v>338</v>
      </c>
      <c r="Y53" s="1182">
        <f>R51+W51</f>
        <v>22.8</v>
      </c>
      <c r="Z53" s="1183"/>
      <c r="AA53" s="318">
        <v>99</v>
      </c>
      <c r="AC53" s="1230">
        <f>Y53/AA53</f>
        <v>0.23030303030303031</v>
      </c>
      <c r="AD53" s="1231"/>
      <c r="AF53" s="1004">
        <v>0.11717171717171716</v>
      </c>
      <c r="AG53" s="1005">
        <v>0</v>
      </c>
      <c r="AH53" s="1005">
        <v>0.27070707070707073</v>
      </c>
      <c r="AI53" s="1001">
        <v>0.23030303030303031</v>
      </c>
      <c r="AJ53" s="229">
        <f>AVERAGE(AF53:AI53)</f>
        <v>0.15454545454545454</v>
      </c>
      <c r="AO53" s="1389" t="s">
        <v>427</v>
      </c>
      <c r="AP53" s="1389"/>
      <c r="AQ53" s="1389"/>
      <c r="AR53" s="1389"/>
      <c r="AS53" s="1389"/>
      <c r="AT53" s="1389"/>
      <c r="AU53" s="1389"/>
      <c r="AV53" s="1389"/>
      <c r="AW53" s="1389"/>
      <c r="AX53" s="1389"/>
      <c r="AY53" s="1389"/>
      <c r="AZ53" s="1389"/>
    </row>
    <row r="54" spans="1:52" s="117" customFormat="1" ht="27.75" customHeight="1" thickBot="1">
      <c r="A54" s="8"/>
      <c r="B54" s="13"/>
      <c r="C54" s="479"/>
      <c r="D54" s="623"/>
      <c r="E54" s="517"/>
      <c r="F54" s="505"/>
      <c r="G54" s="610">
        <f>J54*0.2</f>
        <v>0</v>
      </c>
      <c r="H54" s="465">
        <f t="shared" si="40"/>
        <v>0</v>
      </c>
      <c r="I54" s="167"/>
      <c r="J54" s="82">
        <f t="shared" si="41"/>
        <v>0</v>
      </c>
      <c r="K54" s="96"/>
      <c r="L54" s="96"/>
      <c r="M54" s="13"/>
      <c r="N54" s="340"/>
      <c r="O54" s="1175" t="s">
        <v>243</v>
      </c>
      <c r="P54" s="1176"/>
      <c r="Q54" s="1177"/>
      <c r="R54" s="222">
        <f>$G$55-R53</f>
        <v>86.600000000000009</v>
      </c>
      <c r="Y54" s="1256"/>
      <c r="Z54" s="1162"/>
      <c r="AA54" s="332">
        <v>99</v>
      </c>
      <c r="AB54" s="8"/>
      <c r="AC54" s="8"/>
      <c r="AD54" s="8"/>
      <c r="AJ54" s="957"/>
      <c r="AO54" s="968" t="s">
        <v>396</v>
      </c>
      <c r="AP54" s="968" t="s">
        <v>397</v>
      </c>
      <c r="AQ54" s="968" t="s">
        <v>398</v>
      </c>
      <c r="AR54" s="968" t="s">
        <v>399</v>
      </c>
      <c r="AS54" s="968" t="s">
        <v>400</v>
      </c>
      <c r="AT54" s="969" t="s">
        <v>375</v>
      </c>
      <c r="AU54" s="968" t="s">
        <v>376</v>
      </c>
      <c r="AV54" s="968" t="s">
        <v>401</v>
      </c>
      <c r="AW54" s="968" t="s">
        <v>402</v>
      </c>
      <c r="AX54" s="968" t="s">
        <v>403</v>
      </c>
      <c r="AY54" s="968" t="s">
        <v>404</v>
      </c>
      <c r="AZ54" s="968" t="s">
        <v>405</v>
      </c>
    </row>
    <row r="55" spans="1:52" s="8" customFormat="1" ht="21" customHeight="1" thickBot="1">
      <c r="A55" s="117"/>
      <c r="B55" s="117"/>
      <c r="C55" s="453"/>
      <c r="D55" s="632"/>
      <c r="E55" s="613"/>
      <c r="F55" s="614">
        <f>SUM(F47:F54)</f>
        <v>150</v>
      </c>
      <c r="G55" s="615">
        <f>SUM(G47:G54)</f>
        <v>89.800000000000011</v>
      </c>
      <c r="H55" s="596">
        <f>SUM(H47:H54)</f>
        <v>449</v>
      </c>
      <c r="I55" s="201"/>
      <c r="J55" s="61">
        <f>SUM(J47:J54)</f>
        <v>555</v>
      </c>
      <c r="K55" s="117"/>
      <c r="L55" s="117"/>
      <c r="M55" s="1157">
        <f>110-89</f>
        <v>21</v>
      </c>
      <c r="N55" s="340"/>
      <c r="O55" s="8" t="s">
        <v>318</v>
      </c>
      <c r="Q55" s="8">
        <v>190</v>
      </c>
      <c r="R55" s="285"/>
      <c r="S55" s="299"/>
      <c r="W55" s="8" t="s">
        <v>301</v>
      </c>
      <c r="X55" s="117"/>
      <c r="Y55" s="396">
        <f>R54/Y53</f>
        <v>3.7982456140350878</v>
      </c>
      <c r="Z55" s="392" t="s">
        <v>302</v>
      </c>
      <c r="AO55" s="1035">
        <v>114</v>
      </c>
      <c r="AP55" s="1035">
        <v>185</v>
      </c>
      <c r="AQ55" s="1036">
        <v>143</v>
      </c>
      <c r="AR55" s="1036">
        <v>91.4</v>
      </c>
      <c r="AS55" s="1036">
        <v>39</v>
      </c>
      <c r="AT55" s="1039">
        <v>87</v>
      </c>
      <c r="AU55" s="1036">
        <v>80</v>
      </c>
      <c r="AV55" s="1036">
        <v>111</v>
      </c>
      <c r="AW55" s="1036">
        <v>51</v>
      </c>
      <c r="AX55" s="1036">
        <v>64</v>
      </c>
      <c r="AY55" s="1036">
        <v>101</v>
      </c>
      <c r="AZ55" s="1036">
        <v>158</v>
      </c>
    </row>
    <row r="56" spans="1:52" s="8" customFormat="1" ht="21.6" thickBot="1">
      <c r="C56" s="471"/>
      <c r="D56" s="527"/>
      <c r="E56" s="521"/>
      <c r="F56" s="637"/>
      <c r="G56" s="638"/>
      <c r="H56" s="639"/>
      <c r="I56" s="17"/>
      <c r="J56" s="283"/>
      <c r="N56" s="340"/>
      <c r="O56" s="8" t="s">
        <v>328</v>
      </c>
      <c r="P56" s="8" t="s">
        <v>329</v>
      </c>
      <c r="R56" s="8">
        <v>12.4</v>
      </c>
      <c r="S56" s="299"/>
      <c r="W56" s="8" t="s">
        <v>303</v>
      </c>
      <c r="Y56" s="395">
        <f>(R54-Y53)/Y53</f>
        <v>2.7982456140350882</v>
      </c>
      <c r="Z56" s="392" t="s">
        <v>302</v>
      </c>
      <c r="AA56" s="117"/>
      <c r="AB56" s="117"/>
      <c r="AC56" s="117"/>
      <c r="AD56" s="117"/>
      <c r="AT56" s="332"/>
    </row>
    <row r="57" spans="1:52" s="8" customFormat="1" ht="23.4" thickBot="1">
      <c r="A57" s="119">
        <v>111</v>
      </c>
      <c r="B57" s="906" t="s">
        <v>97</v>
      </c>
      <c r="C57" s="640"/>
      <c r="D57" s="641"/>
      <c r="E57" s="642" t="s">
        <v>885</v>
      </c>
      <c r="F57" s="643"/>
      <c r="G57" s="644"/>
      <c r="H57" s="645"/>
      <c r="I57" s="169"/>
      <c r="J57" s="132"/>
      <c r="K57" s="107">
        <v>30</v>
      </c>
      <c r="L57" s="108" t="s">
        <v>39</v>
      </c>
      <c r="M57" s="109"/>
      <c r="N57" s="340" t="s">
        <v>538</v>
      </c>
      <c r="AJ57" s="305">
        <f>225</f>
        <v>225</v>
      </c>
      <c r="AT57" s="332"/>
    </row>
    <row r="58" spans="1:52" s="8" customFormat="1">
      <c r="A58" s="64" t="s">
        <v>99</v>
      </c>
      <c r="B58" s="72"/>
      <c r="C58" s="1143" t="s">
        <v>610</v>
      </c>
      <c r="D58" s="1144" t="s">
        <v>218</v>
      </c>
      <c r="E58" s="548" t="s">
        <v>614</v>
      </c>
      <c r="F58" s="1145">
        <v>300</v>
      </c>
      <c r="G58" s="487">
        <f>H58*0.2</f>
        <v>134.4</v>
      </c>
      <c r="H58" s="465">
        <v>672</v>
      </c>
      <c r="I58" s="1146"/>
      <c r="J58" s="27">
        <v>1082</v>
      </c>
      <c r="K58" s="289">
        <v>36</v>
      </c>
      <c r="L58" s="289">
        <v>2</v>
      </c>
      <c r="M58" s="399">
        <v>920</v>
      </c>
      <c r="N58" s="1067"/>
      <c r="AT58" s="332"/>
    </row>
    <row r="59" spans="1:52" s="8" customFormat="1">
      <c r="A59" s="64" t="s">
        <v>100</v>
      </c>
      <c r="B59" s="13"/>
      <c r="C59" s="479" t="s">
        <v>633</v>
      </c>
      <c r="D59" s="623" t="s">
        <v>218</v>
      </c>
      <c r="E59" s="517" t="s">
        <v>641</v>
      </c>
      <c r="F59" s="503">
        <v>300</v>
      </c>
      <c r="G59" s="487">
        <v>216.8</v>
      </c>
      <c r="H59" s="465">
        <f t="shared" ref="H59:H65" si="42">G59/0.2</f>
        <v>1084</v>
      </c>
      <c r="I59" s="1147"/>
      <c r="J59" s="27">
        <v>1084</v>
      </c>
      <c r="K59" s="96">
        <v>36</v>
      </c>
      <c r="L59" s="96">
        <v>4</v>
      </c>
      <c r="M59" s="46"/>
      <c r="N59" s="1067"/>
      <c r="AT59" s="332"/>
    </row>
    <row r="60" spans="1:52" s="8" customFormat="1">
      <c r="A60" s="115" t="s">
        <v>101</v>
      </c>
      <c r="B60" s="13"/>
      <c r="C60" s="479" t="s">
        <v>701</v>
      </c>
      <c r="D60" s="623" t="s">
        <v>218</v>
      </c>
      <c r="E60" s="517" t="s">
        <v>748</v>
      </c>
      <c r="F60" s="503">
        <v>300</v>
      </c>
      <c r="G60" s="487">
        <f>H60*0.2</f>
        <v>192.8</v>
      </c>
      <c r="H60" s="465">
        <v>964</v>
      </c>
      <c r="I60" s="1147"/>
      <c r="J60" s="27">
        <v>1088</v>
      </c>
      <c r="K60" s="96">
        <v>36</v>
      </c>
      <c r="L60" s="96">
        <v>8</v>
      </c>
      <c r="M60" s="46"/>
      <c r="N60" s="1068"/>
      <c r="AT60" s="332"/>
    </row>
    <row r="61" spans="1:52" s="8" customFormat="1">
      <c r="A61" s="115" t="s">
        <v>102</v>
      </c>
      <c r="B61" s="13"/>
      <c r="C61" s="1148" t="s">
        <v>695</v>
      </c>
      <c r="D61" s="623" t="s">
        <v>218</v>
      </c>
      <c r="E61" s="517" t="s">
        <v>749</v>
      </c>
      <c r="F61" s="503">
        <v>300</v>
      </c>
      <c r="G61" s="487">
        <v>216.20000000000002</v>
      </c>
      <c r="H61" s="465">
        <f t="shared" si="42"/>
        <v>1081</v>
      </c>
      <c r="I61" s="1147"/>
      <c r="J61" s="27">
        <v>1081</v>
      </c>
      <c r="K61" s="96">
        <v>36</v>
      </c>
      <c r="L61" s="96">
        <v>1</v>
      </c>
      <c r="M61" s="46"/>
      <c r="N61" s="1067"/>
      <c r="AT61" s="332"/>
    </row>
    <row r="62" spans="1:52" s="8" customFormat="1" ht="21.6" thickBot="1">
      <c r="A62" s="115" t="s">
        <v>103</v>
      </c>
      <c r="B62" s="13"/>
      <c r="C62" s="479" t="s">
        <v>788</v>
      </c>
      <c r="D62" s="623" t="s">
        <v>218</v>
      </c>
      <c r="E62" s="517" t="s">
        <v>789</v>
      </c>
      <c r="F62" s="503">
        <v>300</v>
      </c>
      <c r="G62" s="487">
        <f t="shared" ref="G62:G65" si="43">J62*0.2</f>
        <v>218.4</v>
      </c>
      <c r="H62" s="465">
        <f t="shared" si="42"/>
        <v>1092</v>
      </c>
      <c r="I62" s="1147"/>
      <c r="J62" s="27">
        <f t="shared" ref="J62:J65" si="44">(K62*$K$57)+L62</f>
        <v>1092</v>
      </c>
      <c r="K62" s="96">
        <v>36</v>
      </c>
      <c r="L62" s="96">
        <v>12</v>
      </c>
      <c r="M62" s="46"/>
      <c r="N62" s="340"/>
      <c r="AT62" s="332"/>
    </row>
    <row r="63" spans="1:52" s="8" customFormat="1" ht="30.6" thickBot="1">
      <c r="B63" s="13"/>
      <c r="C63" s="479" t="s">
        <v>809</v>
      </c>
      <c r="D63" s="623" t="s">
        <v>219</v>
      </c>
      <c r="E63" s="517" t="s">
        <v>837</v>
      </c>
      <c r="F63" s="503">
        <v>150</v>
      </c>
      <c r="G63" s="487">
        <f>H63*0.2</f>
        <v>109</v>
      </c>
      <c r="H63" s="465">
        <v>545</v>
      </c>
      <c r="I63" s="1147"/>
      <c r="J63" s="27">
        <f t="shared" si="44"/>
        <v>545</v>
      </c>
      <c r="K63" s="96">
        <v>18</v>
      </c>
      <c r="L63" s="96">
        <v>5</v>
      </c>
      <c r="M63" s="46"/>
      <c r="N63" s="340"/>
      <c r="O63" s="1355" t="s">
        <v>97</v>
      </c>
      <c r="P63" s="1356"/>
      <c r="Q63" s="1357"/>
      <c r="R63" s="279" t="s">
        <v>262</v>
      </c>
      <c r="T63" s="1168" t="s">
        <v>268</v>
      </c>
      <c r="U63" s="1169"/>
      <c r="V63" s="1169"/>
      <c r="W63" s="1170"/>
      <c r="Y63" s="1232" t="s">
        <v>269</v>
      </c>
      <c r="Z63" s="1233"/>
      <c r="AF63" s="1224" t="s">
        <v>366</v>
      </c>
      <c r="AG63" s="1225"/>
      <c r="AH63" s="1225"/>
      <c r="AI63" s="1226"/>
      <c r="AO63" s="1389" t="s">
        <v>409</v>
      </c>
      <c r="AP63" s="1389"/>
      <c r="AQ63" s="1389"/>
      <c r="AR63" s="1389"/>
      <c r="AS63" s="1389"/>
      <c r="AT63" s="1389"/>
      <c r="AU63" s="1389"/>
      <c r="AV63" s="1389"/>
      <c r="AW63" s="1389"/>
      <c r="AX63" s="1389"/>
      <c r="AY63" s="1389"/>
      <c r="AZ63" s="1389"/>
    </row>
    <row r="64" spans="1:52" s="8" customFormat="1" ht="21.6" thickBot="1">
      <c r="B64" s="13"/>
      <c r="C64" s="479"/>
      <c r="D64" s="623"/>
      <c r="E64" s="517"/>
      <c r="F64" s="503"/>
      <c r="G64" s="487">
        <f t="shared" si="43"/>
        <v>0</v>
      </c>
      <c r="H64" s="465">
        <f t="shared" si="42"/>
        <v>0</v>
      </c>
      <c r="I64" s="1147"/>
      <c r="J64" s="27">
        <f t="shared" si="44"/>
        <v>0</v>
      </c>
      <c r="K64" s="96"/>
      <c r="L64" s="96"/>
      <c r="M64" s="46"/>
      <c r="N64" s="340"/>
      <c r="O64" s="1190" t="s">
        <v>298</v>
      </c>
      <c r="P64" s="1191"/>
      <c r="Q64" s="1192"/>
      <c r="R64" s="220">
        <v>101.6</v>
      </c>
      <c r="T64" s="1165" t="s">
        <v>299</v>
      </c>
      <c r="U64" s="1166"/>
      <c r="V64" s="1167"/>
      <c r="W64" s="309">
        <v>79.400000000000006</v>
      </c>
      <c r="Y64" s="1234" t="s">
        <v>270</v>
      </c>
      <c r="Z64" s="1235"/>
      <c r="AA64" s="1238" t="s">
        <v>271</v>
      </c>
      <c r="AB64" s="319"/>
      <c r="AC64" s="321"/>
      <c r="AD64" s="321"/>
      <c r="AF64" s="1227"/>
      <c r="AG64" s="1228"/>
      <c r="AH64" s="1228"/>
      <c r="AI64" s="1229"/>
      <c r="AJ64" s="1135">
        <f>(R68-(AJ66*AA66))/(AJ66*AA66)</f>
        <v>5.4465511605099692</v>
      </c>
      <c r="AO64" s="968" t="s">
        <v>396</v>
      </c>
      <c r="AP64" s="968" t="s">
        <v>397</v>
      </c>
      <c r="AQ64" s="968" t="s">
        <v>398</v>
      </c>
      <c r="AR64" s="968" t="s">
        <v>399</v>
      </c>
      <c r="AS64" s="968" t="s">
        <v>400</v>
      </c>
      <c r="AT64" s="969" t="s">
        <v>375</v>
      </c>
      <c r="AU64" s="968" t="s">
        <v>376</v>
      </c>
      <c r="AV64" s="968" t="s">
        <v>401</v>
      </c>
      <c r="AW64" s="968" t="s">
        <v>402</v>
      </c>
      <c r="AX64" s="968" t="s">
        <v>403</v>
      </c>
      <c r="AY64" s="968" t="s">
        <v>404</v>
      </c>
      <c r="AZ64" s="968" t="s">
        <v>405</v>
      </c>
    </row>
    <row r="65" spans="1:52" s="8" customFormat="1" ht="22.2" thickTop="1" thickBot="1">
      <c r="B65" s="13"/>
      <c r="C65" s="479"/>
      <c r="D65" s="623"/>
      <c r="E65" s="517"/>
      <c r="F65" s="503"/>
      <c r="G65" s="487">
        <f t="shared" si="43"/>
        <v>0</v>
      </c>
      <c r="H65" s="465">
        <f t="shared" si="42"/>
        <v>0</v>
      </c>
      <c r="I65" s="1147"/>
      <c r="J65" s="27">
        <f t="shared" si="44"/>
        <v>0</v>
      </c>
      <c r="K65" s="96"/>
      <c r="L65" s="96"/>
      <c r="M65" s="46"/>
      <c r="N65" s="340"/>
      <c r="O65" s="1165" t="s">
        <v>299</v>
      </c>
      <c r="P65" s="1166"/>
      <c r="Q65" s="1167"/>
      <c r="R65" s="1114"/>
      <c r="T65" s="47" t="s">
        <v>339</v>
      </c>
      <c r="U65" s="37"/>
      <c r="V65" s="37"/>
      <c r="Y65" s="1236"/>
      <c r="Z65" s="1237"/>
      <c r="AA65" s="1239"/>
      <c r="AB65" s="319"/>
      <c r="AC65" s="1240" t="s">
        <v>272</v>
      </c>
      <c r="AD65" s="1241"/>
      <c r="AF65" s="999" t="s">
        <v>679</v>
      </c>
      <c r="AG65" s="960" t="s">
        <v>680</v>
      </c>
      <c r="AH65" s="1003" t="s">
        <v>268</v>
      </c>
      <c r="AI65" s="959" t="s">
        <v>681</v>
      </c>
      <c r="AJ65" s="8" t="s">
        <v>622</v>
      </c>
      <c r="AO65" s="497">
        <v>528</v>
      </c>
      <c r="AP65" s="497">
        <v>913</v>
      </c>
      <c r="AQ65" s="497">
        <v>1032</v>
      </c>
      <c r="AR65" s="497">
        <v>685</v>
      </c>
      <c r="AS65" s="497">
        <v>903</v>
      </c>
      <c r="AT65" s="970">
        <v>986</v>
      </c>
      <c r="AU65" s="497">
        <v>1284</v>
      </c>
      <c r="AV65" s="497">
        <v>1173</v>
      </c>
      <c r="AW65" s="497">
        <v>681</v>
      </c>
      <c r="AX65" s="497">
        <v>676</v>
      </c>
      <c r="AY65" s="497">
        <v>935</v>
      </c>
      <c r="AZ65" s="497">
        <v>1092</v>
      </c>
    </row>
    <row r="66" spans="1:52" s="8" customFormat="1" ht="31.2" thickTop="1" thickBot="1">
      <c r="B66" s="13"/>
      <c r="C66" s="479"/>
      <c r="D66" s="623"/>
      <c r="E66" s="517"/>
      <c r="F66" s="503"/>
      <c r="G66" s="487">
        <f t="shared" ref="G66:G67" si="45">J66*0.2</f>
        <v>0</v>
      </c>
      <c r="H66" s="465">
        <f t="shared" ref="H66:H67" si="46">G66/0.2</f>
        <v>0</v>
      </c>
      <c r="I66" s="1147"/>
      <c r="J66" s="27">
        <f t="shared" ref="J66:J67" si="47">(K66*$K$57)+L66</f>
        <v>0</v>
      </c>
      <c r="K66" s="96"/>
      <c r="L66" s="96"/>
      <c r="M66" s="46"/>
      <c r="N66" s="340"/>
      <c r="O66" s="1289" t="s">
        <v>242</v>
      </c>
      <c r="P66" s="1290"/>
      <c r="Q66" s="1291"/>
      <c r="R66" s="221">
        <f>SUM(R64:R65)</f>
        <v>101.6</v>
      </c>
      <c r="S66" s="277"/>
      <c r="T66" s="47" t="s">
        <v>340</v>
      </c>
      <c r="U66" s="37"/>
      <c r="V66" s="37"/>
      <c r="Y66" s="1182">
        <f>R64+W64</f>
        <v>181</v>
      </c>
      <c r="Z66" s="1183"/>
      <c r="AA66" s="318">
        <v>102</v>
      </c>
      <c r="AC66" s="1292">
        <f>Y66/AA66</f>
        <v>1.7745098039215685</v>
      </c>
      <c r="AD66" s="1293"/>
      <c r="AF66" s="1004">
        <v>1.3529411764705883</v>
      </c>
      <c r="AG66" s="1005">
        <v>1.2686274509803923</v>
      </c>
      <c r="AH66" s="1005">
        <v>1.6019607843137256</v>
      </c>
      <c r="AI66" s="1121">
        <v>1.7745098039215685</v>
      </c>
      <c r="AJ66" s="229">
        <f>AVERAGE(AF66:AI66)</f>
        <v>1.4995098039215689</v>
      </c>
      <c r="AO66" s="1389" t="s">
        <v>428</v>
      </c>
      <c r="AP66" s="1389"/>
      <c r="AQ66" s="1389"/>
      <c r="AR66" s="1389"/>
      <c r="AS66" s="1389"/>
      <c r="AT66" s="1389"/>
      <c r="AU66" s="1389"/>
      <c r="AV66" s="1389"/>
      <c r="AW66" s="1389"/>
      <c r="AX66" s="1389"/>
      <c r="AY66" s="1389"/>
      <c r="AZ66" s="1389"/>
    </row>
    <row r="67" spans="1:52" s="8" customFormat="1" ht="21.6" thickBot="1">
      <c r="B67" s="13"/>
      <c r="C67" s="479"/>
      <c r="D67" s="623"/>
      <c r="E67" s="517"/>
      <c r="F67" s="503"/>
      <c r="G67" s="487">
        <f t="shared" si="45"/>
        <v>0</v>
      </c>
      <c r="H67" s="465">
        <f t="shared" si="46"/>
        <v>0</v>
      </c>
      <c r="I67" s="1147"/>
      <c r="J67" s="27">
        <f t="shared" si="47"/>
        <v>0</v>
      </c>
      <c r="K67" s="96"/>
      <c r="L67" s="96"/>
      <c r="M67" s="46"/>
      <c r="N67" s="340"/>
      <c r="O67" s="912"/>
      <c r="P67" s="69"/>
      <c r="Q67" s="913"/>
      <c r="R67" s="914"/>
      <c r="S67" s="277"/>
      <c r="T67" s="47"/>
      <c r="U67" s="37"/>
      <c r="V67" s="37"/>
      <c r="Y67" s="1242"/>
      <c r="Z67" s="1242"/>
      <c r="AA67" s="318"/>
      <c r="AC67" s="17"/>
      <c r="AD67" s="17"/>
      <c r="AO67" s="968" t="s">
        <v>396</v>
      </c>
      <c r="AP67" s="968" t="s">
        <v>397</v>
      </c>
      <c r="AQ67" s="968" t="s">
        <v>398</v>
      </c>
      <c r="AR67" s="968" t="s">
        <v>399</v>
      </c>
      <c r="AS67" s="968" t="s">
        <v>400</v>
      </c>
      <c r="AT67" s="969" t="s">
        <v>375</v>
      </c>
      <c r="AU67" s="968" t="s">
        <v>376</v>
      </c>
      <c r="AV67" s="968" t="s">
        <v>401</v>
      </c>
      <c r="AW67" s="968" t="s">
        <v>402</v>
      </c>
      <c r="AX67" s="968" t="s">
        <v>403</v>
      </c>
      <c r="AY67" s="968" t="s">
        <v>404</v>
      </c>
      <c r="AZ67" s="968" t="s">
        <v>405</v>
      </c>
    </row>
    <row r="68" spans="1:52" s="117" customFormat="1" ht="29.25" customHeight="1" thickBot="1">
      <c r="A68" s="8"/>
      <c r="B68" s="13"/>
      <c r="C68" s="479"/>
      <c r="D68" s="623"/>
      <c r="E68" s="517"/>
      <c r="F68" s="503"/>
      <c r="G68" s="487">
        <f t="shared" ref="G68" si="48">J68*0.2</f>
        <v>0</v>
      </c>
      <c r="H68" s="465">
        <f t="shared" ref="H68" si="49">G68/0.2</f>
        <v>0</v>
      </c>
      <c r="I68" s="1147"/>
      <c r="J68" s="27">
        <f t="shared" ref="J68" si="50">(K68*$K$57)+L68</f>
        <v>0</v>
      </c>
      <c r="K68" s="96"/>
      <c r="L68" s="96"/>
      <c r="M68" s="46"/>
      <c r="N68" s="340"/>
      <c r="O68" s="1175" t="s">
        <v>243</v>
      </c>
      <c r="P68" s="1176"/>
      <c r="Q68" s="1177"/>
      <c r="R68" s="222">
        <f>$G$71-R66</f>
        <v>985.99999999999989</v>
      </c>
      <c r="S68" s="390"/>
      <c r="T68" s="47" t="s">
        <v>341</v>
      </c>
      <c r="Y68" s="8"/>
      <c r="Z68" s="8"/>
      <c r="AA68" s="332">
        <v>101.92</v>
      </c>
      <c r="AB68" s="8"/>
      <c r="AC68" s="8"/>
      <c r="AD68" s="8"/>
      <c r="AO68" s="1035">
        <v>672</v>
      </c>
      <c r="AP68" s="1035">
        <v>1004</v>
      </c>
      <c r="AQ68" s="1036">
        <v>928.8</v>
      </c>
      <c r="AR68" s="1036">
        <v>717.54</v>
      </c>
      <c r="AS68" s="1036">
        <v>735</v>
      </c>
      <c r="AT68" s="1039">
        <v>827</v>
      </c>
      <c r="AU68" s="1036">
        <v>781</v>
      </c>
      <c r="AV68" s="1036">
        <v>882</v>
      </c>
      <c r="AW68" s="1036">
        <v>498</v>
      </c>
      <c r="AX68" s="1036">
        <v>538</v>
      </c>
      <c r="AY68" s="1036">
        <v>703</v>
      </c>
      <c r="AZ68" s="1036">
        <v>947</v>
      </c>
    </row>
    <row r="69" spans="1:52" s="117" customFormat="1" ht="29.25" customHeight="1">
      <c r="A69" s="8"/>
      <c r="B69" s="13"/>
      <c r="C69" s="479"/>
      <c r="D69" s="623"/>
      <c r="E69" s="517"/>
      <c r="F69" s="503"/>
      <c r="G69" s="487">
        <f t="shared" ref="G69:G70" si="51">J69*0.2</f>
        <v>0</v>
      </c>
      <c r="H69" s="465">
        <f t="shared" ref="H69" si="52">G69/0.2</f>
        <v>0</v>
      </c>
      <c r="I69" s="1147"/>
      <c r="J69" s="27">
        <f t="shared" ref="J69" si="53">(K69*$K$57)+L69</f>
        <v>0</v>
      </c>
      <c r="K69" s="96"/>
      <c r="L69" s="96"/>
      <c r="M69" s="46"/>
      <c r="N69" s="340"/>
      <c r="O69" s="340"/>
      <c r="P69" s="340"/>
      <c r="Q69" s="340"/>
      <c r="R69" s="433"/>
      <c r="S69" s="390"/>
      <c r="T69" s="47"/>
      <c r="Y69" s="8"/>
      <c r="Z69" s="8"/>
      <c r="AA69" s="8"/>
      <c r="AB69" s="8"/>
      <c r="AC69" s="8"/>
      <c r="AD69" s="8"/>
      <c r="AT69" s="971"/>
    </row>
    <row r="70" spans="1:52" s="117" customFormat="1" ht="29.25" customHeight="1" thickBot="1">
      <c r="A70" s="8"/>
      <c r="B70" s="8"/>
      <c r="C70" s="915"/>
      <c r="D70" s="648"/>
      <c r="E70" s="649"/>
      <c r="F70" s="582"/>
      <c r="G70" s="650">
        <f t="shared" si="51"/>
        <v>0</v>
      </c>
      <c r="H70" s="934">
        <f t="shared" ref="H70" si="54">G70/0.2</f>
        <v>0</v>
      </c>
      <c r="I70" s="167"/>
      <c r="J70" s="59">
        <f t="shared" ref="J70" si="55">(K70*$K$57)+L70</f>
        <v>0</v>
      </c>
      <c r="K70" s="31"/>
      <c r="L70" s="31"/>
      <c r="M70" s="150"/>
      <c r="N70" s="340"/>
      <c r="O70" s="340"/>
      <c r="P70" s="340"/>
      <c r="Q70" s="340"/>
      <c r="R70" s="433"/>
      <c r="S70" s="390"/>
      <c r="T70" s="47"/>
      <c r="Y70" s="8"/>
      <c r="Z70" s="8"/>
      <c r="AA70" s="8"/>
      <c r="AB70" s="8"/>
      <c r="AC70" s="8"/>
      <c r="AD70" s="8"/>
      <c r="AT70" s="971"/>
    </row>
    <row r="71" spans="1:52" s="8" customFormat="1" ht="21.6" thickBot="1">
      <c r="A71" s="117"/>
      <c r="B71" s="117"/>
      <c r="C71" s="453"/>
      <c r="D71" s="632"/>
      <c r="E71" s="613"/>
      <c r="F71" s="614">
        <f>SUM(F66:F70)</f>
        <v>0</v>
      </c>
      <c r="G71" s="615">
        <f>SUM(G58:G70)</f>
        <v>1087.5999999999999</v>
      </c>
      <c r="H71" s="596">
        <f>SUM(H58:H70)</f>
        <v>5438</v>
      </c>
      <c r="I71" s="171"/>
      <c r="J71" s="61">
        <f>SUM(J58:J70)</f>
        <v>5972</v>
      </c>
      <c r="K71" s="117"/>
      <c r="L71" s="117"/>
      <c r="M71" s="1151">
        <f>1053-978</f>
        <v>75</v>
      </c>
      <c r="N71" s="340"/>
      <c r="O71" s="8" t="s">
        <v>318</v>
      </c>
      <c r="Q71" s="8">
        <v>890</v>
      </c>
      <c r="S71" s="299"/>
      <c r="T71" s="299"/>
      <c r="U71" s="299"/>
      <c r="W71" s="8" t="s">
        <v>301</v>
      </c>
      <c r="X71" s="117"/>
      <c r="Y71" s="396">
        <f>R68/Y66</f>
        <v>5.4475138121546953</v>
      </c>
      <c r="Z71" s="392" t="s">
        <v>302</v>
      </c>
      <c r="AT71" s="332"/>
    </row>
    <row r="72" spans="1:52" s="8" customFormat="1" ht="21.6" thickBot="1">
      <c r="A72" s="17"/>
      <c r="B72" s="17"/>
      <c r="C72" s="469"/>
      <c r="D72" s="469"/>
      <c r="E72" s="527"/>
      <c r="F72" s="469"/>
      <c r="G72" s="469"/>
      <c r="H72" s="469"/>
      <c r="N72" s="340"/>
      <c r="O72" s="8" t="s">
        <v>328</v>
      </c>
      <c r="P72" s="8" t="s">
        <v>329</v>
      </c>
      <c r="R72" s="8">
        <v>104.8</v>
      </c>
      <c r="S72" s="299"/>
      <c r="T72" s="299"/>
      <c r="W72" s="8" t="s">
        <v>303</v>
      </c>
      <c r="Y72" s="395">
        <f>(R68-Y66)/Y66</f>
        <v>4.4475138121546953</v>
      </c>
      <c r="Z72" s="392" t="s">
        <v>302</v>
      </c>
      <c r="AA72" s="117"/>
      <c r="AB72" s="117"/>
      <c r="AC72" s="117"/>
      <c r="AD72" s="117"/>
      <c r="AT72" s="332"/>
    </row>
    <row r="73" spans="1:52" s="8" customFormat="1" ht="23.4" thickBot="1">
      <c r="A73" s="119">
        <v>112</v>
      </c>
      <c r="B73" s="906" t="s">
        <v>98</v>
      </c>
      <c r="C73" s="640"/>
      <c r="D73" s="641"/>
      <c r="E73" s="642" t="s">
        <v>885</v>
      </c>
      <c r="F73" s="643"/>
      <c r="G73" s="644" t="s">
        <v>35</v>
      </c>
      <c r="H73" s="645"/>
      <c r="I73" s="169"/>
      <c r="J73" s="132"/>
      <c r="K73" s="107">
        <v>30</v>
      </c>
      <c r="L73" s="108" t="s">
        <v>39</v>
      </c>
      <c r="M73" s="109"/>
      <c r="N73" s="340" t="s">
        <v>538</v>
      </c>
      <c r="S73" s="299"/>
      <c r="T73" s="299"/>
      <c r="AI73" s="305">
        <f>1875</f>
        <v>1875</v>
      </c>
      <c r="AT73" s="332"/>
    </row>
    <row r="74" spans="1:52" s="8" customFormat="1">
      <c r="A74" s="64" t="s">
        <v>104</v>
      </c>
      <c r="B74" s="13"/>
      <c r="C74" s="479" t="s">
        <v>633</v>
      </c>
      <c r="D74" s="623" t="s">
        <v>219</v>
      </c>
      <c r="E74" s="517" t="s">
        <v>642</v>
      </c>
      <c r="F74" s="505">
        <v>150</v>
      </c>
      <c r="G74" s="610">
        <f>H74*0.2</f>
        <v>43.2</v>
      </c>
      <c r="H74" s="465">
        <v>216</v>
      </c>
      <c r="I74" s="167"/>
      <c r="J74" s="82">
        <v>542</v>
      </c>
      <c r="K74" s="96">
        <v>18</v>
      </c>
      <c r="L74" s="96">
        <v>2</v>
      </c>
      <c r="M74" s="46">
        <v>388</v>
      </c>
      <c r="N74" s="1066"/>
      <c r="T74" s="299"/>
      <c r="AT74" s="332"/>
    </row>
    <row r="75" spans="1:52" s="8" customFormat="1">
      <c r="A75" s="115" t="s">
        <v>101</v>
      </c>
      <c r="B75" s="13"/>
      <c r="C75" s="479" t="s">
        <v>701</v>
      </c>
      <c r="D75" s="623" t="s">
        <v>219</v>
      </c>
      <c r="E75" s="517" t="s">
        <v>750</v>
      </c>
      <c r="F75" s="505">
        <v>150</v>
      </c>
      <c r="G75" s="610">
        <f>H75*0.2</f>
        <v>91.4</v>
      </c>
      <c r="H75" s="465">
        <v>457</v>
      </c>
      <c r="I75" s="167"/>
      <c r="J75" s="82">
        <v>542</v>
      </c>
      <c r="K75" s="96">
        <v>18</v>
      </c>
      <c r="L75" s="96">
        <v>2</v>
      </c>
      <c r="M75" s="46"/>
      <c r="N75" s="1066"/>
      <c r="AT75" s="332"/>
    </row>
    <row r="76" spans="1:52" s="8" customFormat="1">
      <c r="A76" s="115" t="s">
        <v>105</v>
      </c>
      <c r="B76" s="13"/>
      <c r="C76" s="479" t="s">
        <v>755</v>
      </c>
      <c r="D76" s="623" t="s">
        <v>219</v>
      </c>
      <c r="E76" s="517" t="s">
        <v>775</v>
      </c>
      <c r="F76" s="505">
        <v>150</v>
      </c>
      <c r="G76" s="610">
        <f t="shared" ref="G76:G80" si="56">J76*0.2</f>
        <v>108</v>
      </c>
      <c r="H76" s="465">
        <f t="shared" ref="H76:H80" si="57">G76/0.2</f>
        <v>540</v>
      </c>
      <c r="I76" s="167"/>
      <c r="J76" s="82">
        <f t="shared" ref="J76:J80" si="58">(K76*$K$73)+L76</f>
        <v>540</v>
      </c>
      <c r="K76" s="96">
        <v>18</v>
      </c>
      <c r="L76" s="96"/>
      <c r="M76" s="46"/>
      <c r="N76" s="340"/>
      <c r="AT76" s="332"/>
    </row>
    <row r="77" spans="1:52" s="8" customFormat="1">
      <c r="A77" s="115" t="s">
        <v>106</v>
      </c>
      <c r="B77" s="13"/>
      <c r="C77" s="479" t="s">
        <v>809</v>
      </c>
      <c r="D77" s="623" t="s">
        <v>219</v>
      </c>
      <c r="E77" s="517" t="s">
        <v>837</v>
      </c>
      <c r="F77" s="505">
        <v>150</v>
      </c>
      <c r="G77" s="610">
        <f>H77*0.2</f>
        <v>109.4</v>
      </c>
      <c r="H77" s="465">
        <v>547</v>
      </c>
      <c r="I77" s="167"/>
      <c r="J77" s="82">
        <f t="shared" si="58"/>
        <v>547</v>
      </c>
      <c r="K77" s="96">
        <v>18</v>
      </c>
      <c r="L77" s="96">
        <v>7</v>
      </c>
      <c r="M77" s="46"/>
      <c r="N77" s="340"/>
      <c r="AT77" s="332"/>
    </row>
    <row r="78" spans="1:52" s="8" customFormat="1" ht="21.6" thickBot="1">
      <c r="B78" s="13"/>
      <c r="C78" s="479"/>
      <c r="D78" s="623"/>
      <c r="E78" s="517"/>
      <c r="F78" s="505"/>
      <c r="G78" s="610">
        <f t="shared" si="56"/>
        <v>0</v>
      </c>
      <c r="H78" s="465">
        <f t="shared" si="57"/>
        <v>0</v>
      </c>
      <c r="I78" s="167"/>
      <c r="J78" s="82">
        <f t="shared" si="58"/>
        <v>0</v>
      </c>
      <c r="K78" s="96"/>
      <c r="L78" s="96"/>
      <c r="M78" s="46"/>
      <c r="N78" s="340"/>
      <c r="AT78" s="332"/>
    </row>
    <row r="79" spans="1:52" s="8" customFormat="1" ht="30.6" thickBot="1">
      <c r="B79" s="13"/>
      <c r="C79" s="479"/>
      <c r="D79" s="623"/>
      <c r="E79" s="517"/>
      <c r="F79" s="505"/>
      <c r="G79" s="610">
        <f t="shared" si="56"/>
        <v>0</v>
      </c>
      <c r="H79" s="465">
        <f t="shared" si="57"/>
        <v>0</v>
      </c>
      <c r="I79" s="167"/>
      <c r="J79" s="82">
        <f t="shared" si="58"/>
        <v>0</v>
      </c>
      <c r="K79" s="96"/>
      <c r="L79" s="96"/>
      <c r="M79" s="46"/>
      <c r="N79" s="340"/>
      <c r="O79" s="1355" t="s">
        <v>98</v>
      </c>
      <c r="P79" s="1356"/>
      <c r="Q79" s="1357"/>
      <c r="R79" s="279" t="s">
        <v>262</v>
      </c>
      <c r="T79" s="1168" t="s">
        <v>268</v>
      </c>
      <c r="U79" s="1169"/>
      <c r="V79" s="1169"/>
      <c r="W79" s="1170"/>
      <c r="Y79" s="1232" t="s">
        <v>269</v>
      </c>
      <c r="Z79" s="1233"/>
      <c r="AF79" s="1224" t="s">
        <v>366</v>
      </c>
      <c r="AG79" s="1225"/>
      <c r="AH79" s="1225"/>
      <c r="AI79" s="1226"/>
      <c r="AO79" s="1389" t="s">
        <v>410</v>
      </c>
      <c r="AP79" s="1389"/>
      <c r="AQ79" s="1389"/>
      <c r="AR79" s="1389"/>
      <c r="AS79" s="1389"/>
      <c r="AT79" s="1389"/>
      <c r="AU79" s="1389"/>
      <c r="AV79" s="1389"/>
      <c r="AW79" s="1389"/>
      <c r="AX79" s="1389"/>
      <c r="AY79" s="1389"/>
      <c r="AZ79" s="1389"/>
    </row>
    <row r="80" spans="1:52" s="8" customFormat="1" ht="21.6" thickBot="1">
      <c r="B80" s="13"/>
      <c r="C80" s="479"/>
      <c r="D80" s="623"/>
      <c r="E80" s="517"/>
      <c r="F80" s="505"/>
      <c r="G80" s="610">
        <f t="shared" si="56"/>
        <v>0</v>
      </c>
      <c r="H80" s="465">
        <f t="shared" si="57"/>
        <v>0</v>
      </c>
      <c r="I80" s="167"/>
      <c r="J80" s="82">
        <f t="shared" si="58"/>
        <v>0</v>
      </c>
      <c r="K80" s="96"/>
      <c r="L80" s="96"/>
      <c r="M80" s="46"/>
      <c r="N80" s="340"/>
      <c r="O80" s="1190" t="s">
        <v>298</v>
      </c>
      <c r="P80" s="1191"/>
      <c r="Q80" s="1192"/>
      <c r="R80" s="220">
        <v>34</v>
      </c>
      <c r="T80" s="1165" t="s">
        <v>299</v>
      </c>
      <c r="U80" s="1166"/>
      <c r="V80" s="1167"/>
      <c r="W80" s="309">
        <v>38.4</v>
      </c>
      <c r="Y80" s="1234" t="s">
        <v>270</v>
      </c>
      <c r="Z80" s="1235"/>
      <c r="AA80" s="1238" t="s">
        <v>271</v>
      </c>
      <c r="AB80" s="319"/>
      <c r="AC80" s="321"/>
      <c r="AD80" s="321"/>
      <c r="AF80" s="1227"/>
      <c r="AG80" s="1228"/>
      <c r="AH80" s="1228"/>
      <c r="AI80" s="1229"/>
      <c r="AJ80" s="1135">
        <f>(R83-(AJ82*AA82))/(AJ82*AA82)</f>
        <v>3.8661055853098705</v>
      </c>
      <c r="AO80" s="968" t="s">
        <v>396</v>
      </c>
      <c r="AP80" s="968" t="s">
        <v>397</v>
      </c>
      <c r="AQ80" s="968" t="s">
        <v>398</v>
      </c>
      <c r="AR80" s="968" t="s">
        <v>399</v>
      </c>
      <c r="AS80" s="968" t="s">
        <v>400</v>
      </c>
      <c r="AT80" s="969" t="s">
        <v>375</v>
      </c>
      <c r="AU80" s="968" t="s">
        <v>376</v>
      </c>
      <c r="AV80" s="968" t="s">
        <v>401</v>
      </c>
      <c r="AW80" s="968" t="s">
        <v>402</v>
      </c>
      <c r="AX80" s="968" t="s">
        <v>403</v>
      </c>
      <c r="AY80" s="968" t="s">
        <v>404</v>
      </c>
      <c r="AZ80" s="968" t="s">
        <v>405</v>
      </c>
    </row>
    <row r="81" spans="1:52" s="8" customFormat="1" ht="22.2" thickTop="1" thickBot="1">
      <c r="B81" s="13"/>
      <c r="C81" s="479"/>
      <c r="D81" s="623"/>
      <c r="E81" s="517"/>
      <c r="F81" s="505"/>
      <c r="G81" s="610">
        <f t="shared" ref="G81" si="59">J81*0.2</f>
        <v>0</v>
      </c>
      <c r="H81" s="465">
        <f t="shared" ref="H81" si="60">G81/0.2</f>
        <v>0</v>
      </c>
      <c r="I81" s="167"/>
      <c r="J81" s="82">
        <f t="shared" ref="J81" si="61">(K81*$K$73)+L81</f>
        <v>0</v>
      </c>
      <c r="K81" s="96"/>
      <c r="L81" s="96"/>
      <c r="M81" s="46"/>
      <c r="N81" s="340"/>
      <c r="O81" s="1165" t="s">
        <v>299</v>
      </c>
      <c r="P81" s="1166"/>
      <c r="Q81" s="1167"/>
      <c r="R81" s="1114"/>
      <c r="Y81" s="1236"/>
      <c r="Z81" s="1237"/>
      <c r="AA81" s="1239"/>
      <c r="AB81" s="319"/>
      <c r="AC81" s="1240" t="s">
        <v>272</v>
      </c>
      <c r="AD81" s="1241"/>
      <c r="AF81" s="999" t="s">
        <v>679</v>
      </c>
      <c r="AG81" s="960" t="s">
        <v>680</v>
      </c>
      <c r="AH81" s="1003" t="s">
        <v>268</v>
      </c>
      <c r="AI81" s="959" t="s">
        <v>681</v>
      </c>
      <c r="AJ81" s="8" t="s">
        <v>622</v>
      </c>
      <c r="AO81" s="497">
        <v>229</v>
      </c>
      <c r="AP81" s="497">
        <v>398</v>
      </c>
      <c r="AQ81" s="497">
        <v>446</v>
      </c>
      <c r="AR81" s="497">
        <v>255</v>
      </c>
      <c r="AS81" s="497">
        <v>495</v>
      </c>
      <c r="AT81" s="970">
        <v>443</v>
      </c>
      <c r="AU81" s="497">
        <v>651</v>
      </c>
      <c r="AV81" s="497">
        <v>480</v>
      </c>
      <c r="AW81" s="497">
        <v>324</v>
      </c>
      <c r="AX81" s="497">
        <v>309</v>
      </c>
      <c r="AY81" s="497">
        <v>494</v>
      </c>
      <c r="AZ81" s="497">
        <v>523</v>
      </c>
    </row>
    <row r="82" spans="1:52" s="8" customFormat="1" ht="29.25" customHeight="1" thickTop="1" thickBot="1">
      <c r="B82" s="13"/>
      <c r="C82" s="479"/>
      <c r="D82" s="623"/>
      <c r="E82" s="517"/>
      <c r="F82" s="505"/>
      <c r="G82" s="610">
        <f t="shared" ref="G82:G83" si="62">J82*0.2</f>
        <v>0</v>
      </c>
      <c r="H82" s="465">
        <f t="shared" ref="H82" si="63">G82/0.2</f>
        <v>0</v>
      </c>
      <c r="I82" s="167"/>
      <c r="J82" s="82">
        <f t="shared" ref="J82:J83" si="64">(K82*$K$73)+L82</f>
        <v>0</v>
      </c>
      <c r="K82" s="96"/>
      <c r="L82" s="96"/>
      <c r="M82" s="46"/>
      <c r="N82" s="340"/>
      <c r="O82" s="1289" t="s">
        <v>242</v>
      </c>
      <c r="P82" s="1290"/>
      <c r="Q82" s="1291"/>
      <c r="R82" s="221">
        <f>SUM(R80:R81)</f>
        <v>34</v>
      </c>
      <c r="T82" s="1349"/>
      <c r="U82" s="1349"/>
      <c r="V82" s="1349"/>
      <c r="Y82" s="1182">
        <f>R80+W80</f>
        <v>72.400000000000006</v>
      </c>
      <c r="Z82" s="1183"/>
      <c r="AA82" s="318">
        <v>100</v>
      </c>
      <c r="AC82" s="1292">
        <f>Y82/AA82</f>
        <v>0.72400000000000009</v>
      </c>
      <c r="AD82" s="1293"/>
      <c r="AF82" s="1004">
        <v>0.52600000000000002</v>
      </c>
      <c r="AG82" s="1005">
        <v>0.59599999999999997</v>
      </c>
      <c r="AH82" s="1005">
        <v>0.76800000000000002</v>
      </c>
      <c r="AI82" s="1121">
        <v>0.72400000000000009</v>
      </c>
      <c r="AJ82" s="229">
        <f>AVERAGE(AF82:AI82)</f>
        <v>0.65349999999999997</v>
      </c>
      <c r="AO82" s="1389" t="s">
        <v>429</v>
      </c>
      <c r="AP82" s="1389"/>
      <c r="AQ82" s="1389"/>
      <c r="AR82" s="1389"/>
      <c r="AS82" s="1389"/>
      <c r="AT82" s="1389"/>
      <c r="AU82" s="1389"/>
      <c r="AV82" s="1389"/>
      <c r="AW82" s="1389"/>
      <c r="AX82" s="1389"/>
      <c r="AY82" s="1389"/>
      <c r="AZ82" s="1389"/>
    </row>
    <row r="83" spans="1:52" s="117" customFormat="1" ht="30" customHeight="1" thickBot="1">
      <c r="A83" s="8"/>
      <c r="B83" s="13"/>
      <c r="C83" s="479"/>
      <c r="D83" s="623"/>
      <c r="E83" s="517"/>
      <c r="F83" s="505"/>
      <c r="G83" s="610">
        <f t="shared" si="62"/>
        <v>0</v>
      </c>
      <c r="H83" s="465">
        <f t="shared" ref="H83" si="65">G83/0.2</f>
        <v>0</v>
      </c>
      <c r="I83" s="167"/>
      <c r="J83" s="82">
        <f t="shared" si="64"/>
        <v>0</v>
      </c>
      <c r="K83" s="96"/>
      <c r="L83" s="96"/>
      <c r="M83" s="14"/>
      <c r="N83" s="340"/>
      <c r="O83" s="1175" t="s">
        <v>243</v>
      </c>
      <c r="P83" s="1176"/>
      <c r="Q83" s="1177"/>
      <c r="R83" s="222">
        <f>$G$84-R82</f>
        <v>318</v>
      </c>
      <c r="S83" s="390"/>
      <c r="T83" s="902"/>
      <c r="U83" s="903"/>
      <c r="Y83" s="1256"/>
      <c r="Z83" s="1162"/>
      <c r="AA83" s="332">
        <v>101.56</v>
      </c>
      <c r="AB83" s="8"/>
      <c r="AC83" s="8"/>
      <c r="AD83" s="8"/>
      <c r="AO83" s="968" t="s">
        <v>396</v>
      </c>
      <c r="AP83" s="968" t="s">
        <v>397</v>
      </c>
      <c r="AQ83" s="968" t="s">
        <v>398</v>
      </c>
      <c r="AR83" s="968" t="s">
        <v>399</v>
      </c>
      <c r="AS83" s="968" t="s">
        <v>400</v>
      </c>
      <c r="AT83" s="969" t="s">
        <v>375</v>
      </c>
      <c r="AU83" s="968" t="s">
        <v>376</v>
      </c>
      <c r="AV83" s="968" t="s">
        <v>401</v>
      </c>
      <c r="AW83" s="968" t="s">
        <v>402</v>
      </c>
      <c r="AX83" s="968" t="s">
        <v>403</v>
      </c>
      <c r="AY83" s="968" t="s">
        <v>404</v>
      </c>
      <c r="AZ83" s="968" t="s">
        <v>405</v>
      </c>
    </row>
    <row r="84" spans="1:52" s="8" customFormat="1" ht="21.6" thickBot="1">
      <c r="A84" s="117"/>
      <c r="B84" s="117"/>
      <c r="C84" s="453"/>
      <c r="D84" s="632"/>
      <c r="E84" s="613"/>
      <c r="F84" s="614">
        <f>SUM(F74:F83)</f>
        <v>600</v>
      </c>
      <c r="G84" s="615">
        <f>SUM(G74:G83)</f>
        <v>352</v>
      </c>
      <c r="H84" s="646">
        <f>SUM(H74:H83)</f>
        <v>1760</v>
      </c>
      <c r="I84" s="286"/>
      <c r="J84" s="61">
        <f>SUM(J74:J83)</f>
        <v>2171</v>
      </c>
      <c r="K84" s="117"/>
      <c r="L84" s="117"/>
      <c r="M84" s="117">
        <f>294-242</f>
        <v>52</v>
      </c>
      <c r="N84" s="340"/>
      <c r="S84" s="299"/>
      <c r="T84" s="299"/>
      <c r="W84" s="8" t="s">
        <v>301</v>
      </c>
      <c r="X84" s="117"/>
      <c r="Y84" s="396">
        <f>R83/Y82</f>
        <v>4.3922651933701653</v>
      </c>
      <c r="Z84" s="392" t="s">
        <v>302</v>
      </c>
      <c r="AO84" s="1035">
        <v>267</v>
      </c>
      <c r="AP84" s="1035">
        <v>469</v>
      </c>
      <c r="AQ84" s="1036">
        <v>371.7</v>
      </c>
      <c r="AR84" s="1036">
        <v>371.8</v>
      </c>
      <c r="AS84" s="1036">
        <v>309</v>
      </c>
      <c r="AT84" s="1039">
        <v>414</v>
      </c>
      <c r="AU84" s="1036">
        <v>320</v>
      </c>
      <c r="AV84" s="1036">
        <v>414</v>
      </c>
      <c r="AW84" s="1036">
        <v>202</v>
      </c>
      <c r="AX84" s="1036">
        <v>261</v>
      </c>
      <c r="AY84" s="1036">
        <v>346</v>
      </c>
      <c r="AZ84" s="1036">
        <v>356</v>
      </c>
    </row>
    <row r="85" spans="1:52" s="8" customFormat="1" ht="21.6" thickBot="1">
      <c r="A85" s="17"/>
      <c r="B85" s="17"/>
      <c r="C85" s="469"/>
      <c r="D85" s="469"/>
      <c r="E85" s="527"/>
      <c r="F85" s="469"/>
      <c r="G85" s="469"/>
      <c r="H85" s="469"/>
      <c r="N85" s="340"/>
      <c r="S85" s="299"/>
      <c r="W85" s="8" t="s">
        <v>303</v>
      </c>
      <c r="Y85" s="395">
        <f>(R83-Y82)/Y82</f>
        <v>3.3922651933701653</v>
      </c>
      <c r="Z85" s="392" t="s">
        <v>302</v>
      </c>
      <c r="AA85" s="117"/>
      <c r="AB85" s="117"/>
      <c r="AC85" s="117"/>
      <c r="AD85" s="117"/>
      <c r="AT85" s="332"/>
    </row>
    <row r="86" spans="1:52" s="8" customFormat="1" ht="23.4" thickBot="1">
      <c r="A86" s="119">
        <v>114</v>
      </c>
      <c r="B86" s="906" t="s">
        <v>107</v>
      </c>
      <c r="C86" s="640"/>
      <c r="D86" s="641"/>
      <c r="E86" s="642" t="s">
        <v>885</v>
      </c>
      <c r="F86" s="643"/>
      <c r="G86" s="644" t="s">
        <v>35</v>
      </c>
      <c r="H86" s="645"/>
      <c r="I86" s="169"/>
      <c r="J86" s="132"/>
      <c r="K86" s="107">
        <v>30</v>
      </c>
      <c r="L86" s="108" t="s">
        <v>39</v>
      </c>
      <c r="M86" s="109"/>
      <c r="N86" s="340" t="s">
        <v>540</v>
      </c>
      <c r="AI86" s="305">
        <v>780</v>
      </c>
      <c r="AT86" s="332"/>
    </row>
    <row r="87" spans="1:52" s="8" customFormat="1">
      <c r="A87" s="115" t="s">
        <v>108</v>
      </c>
      <c r="C87" s="647" t="s">
        <v>610</v>
      </c>
      <c r="D87" s="648" t="s">
        <v>219</v>
      </c>
      <c r="E87" s="649" t="s">
        <v>623</v>
      </c>
      <c r="F87" s="582">
        <v>150</v>
      </c>
      <c r="G87" s="650">
        <f>H87*0.2</f>
        <v>80.600000000000009</v>
      </c>
      <c r="H87" s="651">
        <v>403</v>
      </c>
      <c r="I87" s="167"/>
      <c r="J87" s="59">
        <v>511</v>
      </c>
      <c r="K87" s="31">
        <v>17</v>
      </c>
      <c r="L87" s="31">
        <v>1</v>
      </c>
      <c r="M87" s="150"/>
      <c r="N87" s="1069"/>
      <c r="AT87" s="332"/>
    </row>
    <row r="88" spans="1:52" s="8" customFormat="1" ht="21.6" thickBot="1">
      <c r="A88" s="115" t="s">
        <v>101</v>
      </c>
      <c r="B88" s="958"/>
      <c r="C88" s="647" t="s">
        <v>654</v>
      </c>
      <c r="D88" s="648" t="s">
        <v>219</v>
      </c>
      <c r="E88" s="649" t="s">
        <v>676</v>
      </c>
      <c r="F88" s="582">
        <v>150</v>
      </c>
      <c r="G88" s="650">
        <f t="shared" ref="G88:G89" si="66">H88*0.2</f>
        <v>91.2</v>
      </c>
      <c r="H88" s="651">
        <v>456</v>
      </c>
      <c r="I88" s="167"/>
      <c r="J88" s="59">
        <v>506</v>
      </c>
      <c r="K88" s="31">
        <v>16</v>
      </c>
      <c r="L88" s="31">
        <v>26</v>
      </c>
      <c r="M88" s="150"/>
      <c r="N88" s="340"/>
      <c r="AT88" s="332"/>
    </row>
    <row r="89" spans="1:52" s="8" customFormat="1" ht="30.6" thickBot="1">
      <c r="A89" s="115" t="s">
        <v>113</v>
      </c>
      <c r="C89" s="647" t="s">
        <v>701</v>
      </c>
      <c r="D89" s="648" t="s">
        <v>219</v>
      </c>
      <c r="E89" s="649" t="s">
        <v>747</v>
      </c>
      <c r="F89" s="582">
        <v>150</v>
      </c>
      <c r="G89" s="650">
        <f t="shared" si="66"/>
        <v>96</v>
      </c>
      <c r="H89" s="651">
        <v>480</v>
      </c>
      <c r="I89" s="167"/>
      <c r="J89" s="59">
        <v>504</v>
      </c>
      <c r="K89" s="31">
        <v>16</v>
      </c>
      <c r="L89" s="31">
        <v>24</v>
      </c>
      <c r="M89" s="1096"/>
      <c r="N89" s="340"/>
      <c r="O89" s="1355" t="s">
        <v>107</v>
      </c>
      <c r="P89" s="1356"/>
      <c r="Q89" s="1357"/>
      <c r="R89" s="279" t="s">
        <v>262</v>
      </c>
      <c r="T89" s="1168" t="s">
        <v>268</v>
      </c>
      <c r="U89" s="1169"/>
      <c r="V89" s="1169"/>
      <c r="W89" s="1170"/>
      <c r="Y89" s="1232" t="s">
        <v>269</v>
      </c>
      <c r="Z89" s="1233"/>
      <c r="AF89" s="1224" t="s">
        <v>366</v>
      </c>
      <c r="AG89" s="1225"/>
      <c r="AH89" s="1225"/>
      <c r="AI89" s="1226"/>
      <c r="AO89" s="1389" t="s">
        <v>411</v>
      </c>
      <c r="AP89" s="1389"/>
      <c r="AQ89" s="1389"/>
      <c r="AR89" s="1389"/>
      <c r="AS89" s="1389"/>
      <c r="AT89" s="1389"/>
      <c r="AU89" s="1389"/>
      <c r="AV89" s="1389"/>
      <c r="AW89" s="1389"/>
      <c r="AX89" s="1389"/>
      <c r="AY89" s="1389"/>
      <c r="AZ89" s="1389"/>
    </row>
    <row r="90" spans="1:52" s="8" customFormat="1" ht="21.6" thickBot="1">
      <c r="A90" s="115" t="s">
        <v>109</v>
      </c>
      <c r="B90" s="958"/>
      <c r="C90" s="647" t="s">
        <v>746</v>
      </c>
      <c r="D90" s="648" t="s">
        <v>218</v>
      </c>
      <c r="E90" s="649" t="s">
        <v>757</v>
      </c>
      <c r="F90" s="582">
        <v>300</v>
      </c>
      <c r="G90" s="650">
        <f t="shared" ref="G90:G93" si="67">J90*0.2</f>
        <v>204.60000000000002</v>
      </c>
      <c r="H90" s="651">
        <f>G90/0.2</f>
        <v>1023.0000000000001</v>
      </c>
      <c r="I90" s="167"/>
      <c r="J90" s="59">
        <f t="shared" ref="J90:J93" si="68">(K90*$K$86)+L90</f>
        <v>1023</v>
      </c>
      <c r="K90" s="31">
        <v>34</v>
      </c>
      <c r="L90" s="31">
        <v>3</v>
      </c>
      <c r="M90" s="150"/>
      <c r="N90" s="340"/>
      <c r="O90" s="1190" t="s">
        <v>298</v>
      </c>
      <c r="P90" s="1191"/>
      <c r="Q90" s="1192"/>
      <c r="R90" s="220">
        <v>90.8</v>
      </c>
      <c r="T90" s="1165" t="s">
        <v>299</v>
      </c>
      <c r="U90" s="1166"/>
      <c r="V90" s="1167"/>
      <c r="W90" s="309">
        <v>72.2</v>
      </c>
      <c r="Y90" s="1234" t="s">
        <v>270</v>
      </c>
      <c r="Z90" s="1235"/>
      <c r="AA90" s="1238" t="s">
        <v>271</v>
      </c>
      <c r="AB90" s="319"/>
      <c r="AC90" s="321"/>
      <c r="AD90" s="321"/>
      <c r="AF90" s="1227"/>
      <c r="AG90" s="1228"/>
      <c r="AH90" s="1228"/>
      <c r="AI90" s="1229"/>
      <c r="AJ90" s="1135">
        <f>(R93-(AJ92*AA92))/(AJ92*AA92)</f>
        <v>2.4619731955433548</v>
      </c>
      <c r="AO90" s="968" t="s">
        <v>396</v>
      </c>
      <c r="AP90" s="968" t="s">
        <v>397</v>
      </c>
      <c r="AQ90" s="968" t="s">
        <v>398</v>
      </c>
      <c r="AR90" s="968" t="s">
        <v>399</v>
      </c>
      <c r="AS90" s="968" t="s">
        <v>400</v>
      </c>
      <c r="AT90" s="969" t="s">
        <v>375</v>
      </c>
      <c r="AU90" s="968" t="s">
        <v>376</v>
      </c>
      <c r="AV90" s="968" t="s">
        <v>401</v>
      </c>
      <c r="AW90" s="968" t="s">
        <v>402</v>
      </c>
      <c r="AX90" s="968" t="s">
        <v>403</v>
      </c>
      <c r="AY90" s="968" t="s">
        <v>404</v>
      </c>
      <c r="AZ90" s="968" t="s">
        <v>405</v>
      </c>
    </row>
    <row r="91" spans="1:52" s="8" customFormat="1" ht="29.25" customHeight="1" thickTop="1" thickBot="1">
      <c r="A91" s="115" t="s">
        <v>102</v>
      </c>
      <c r="B91" s="958"/>
      <c r="C91" s="647" t="s">
        <v>788</v>
      </c>
      <c r="D91" s="648" t="s">
        <v>219</v>
      </c>
      <c r="E91" s="649" t="s">
        <v>794</v>
      </c>
      <c r="F91" s="582">
        <v>150</v>
      </c>
      <c r="G91" s="650">
        <f t="shared" si="67"/>
        <v>100.80000000000001</v>
      </c>
      <c r="H91" s="651">
        <f>G91/0.2</f>
        <v>504.00000000000006</v>
      </c>
      <c r="I91" s="167"/>
      <c r="J91" s="59">
        <f t="shared" si="68"/>
        <v>504</v>
      </c>
      <c r="K91" s="31">
        <v>16</v>
      </c>
      <c r="L91" s="31">
        <v>24</v>
      </c>
      <c r="M91" s="1096"/>
      <c r="N91" s="340"/>
      <c r="O91" s="1165" t="s">
        <v>299</v>
      </c>
      <c r="P91" s="1166"/>
      <c r="Q91" s="1167"/>
      <c r="R91" s="1114"/>
      <c r="T91" s="47"/>
      <c r="U91" s="37"/>
      <c r="V91" s="37"/>
      <c r="Y91" s="1236"/>
      <c r="Z91" s="1237"/>
      <c r="AA91" s="1239"/>
      <c r="AB91" s="319"/>
      <c r="AC91" s="1240" t="s">
        <v>272</v>
      </c>
      <c r="AD91" s="1241"/>
      <c r="AF91" s="999" t="s">
        <v>679</v>
      </c>
      <c r="AG91" s="960" t="s">
        <v>680</v>
      </c>
      <c r="AH91" s="1003" t="s">
        <v>268</v>
      </c>
      <c r="AI91" s="959" t="s">
        <v>681</v>
      </c>
      <c r="AJ91" s="8" t="s">
        <v>622</v>
      </c>
      <c r="AO91" s="497">
        <v>432</v>
      </c>
      <c r="AP91" s="497">
        <v>753</v>
      </c>
      <c r="AQ91" s="497">
        <v>800</v>
      </c>
      <c r="AR91" s="497">
        <v>517</v>
      </c>
      <c r="AS91" s="497">
        <v>801</v>
      </c>
      <c r="AT91" s="970">
        <v>781</v>
      </c>
      <c r="AU91" s="497">
        <v>1032</v>
      </c>
      <c r="AV91" s="497">
        <v>902</v>
      </c>
      <c r="AW91" s="497">
        <v>577</v>
      </c>
      <c r="AX91" s="497">
        <v>578</v>
      </c>
      <c r="AY91" s="497">
        <v>869</v>
      </c>
      <c r="AZ91" s="497">
        <v>1017</v>
      </c>
    </row>
    <row r="92" spans="1:52" s="8" customFormat="1" ht="30" customHeight="1" thickTop="1" thickBot="1">
      <c r="C92" s="647" t="s">
        <v>809</v>
      </c>
      <c r="D92" s="648" t="s">
        <v>218</v>
      </c>
      <c r="E92" s="649" t="s">
        <v>838</v>
      </c>
      <c r="F92" s="582">
        <v>300</v>
      </c>
      <c r="G92" s="650">
        <f>H92*0.2</f>
        <v>0</v>
      </c>
      <c r="H92" s="651">
        <v>0</v>
      </c>
      <c r="I92" s="167"/>
      <c r="J92" s="59">
        <f t="shared" si="68"/>
        <v>1032</v>
      </c>
      <c r="K92" s="31">
        <v>34</v>
      </c>
      <c r="L92" s="31">
        <v>12</v>
      </c>
      <c r="M92" s="1096"/>
      <c r="N92" s="340"/>
      <c r="O92" s="1289" t="s">
        <v>242</v>
      </c>
      <c r="P92" s="1290"/>
      <c r="Q92" s="1291"/>
      <c r="R92" s="221">
        <f>SUM(R90:R91)</f>
        <v>90.8</v>
      </c>
      <c r="S92" s="277"/>
      <c r="T92" s="47"/>
      <c r="U92" s="37"/>
      <c r="V92" s="37"/>
      <c r="Y92" s="1182">
        <f>R90+W90</f>
        <v>163</v>
      </c>
      <c r="Z92" s="1183"/>
      <c r="AA92" s="318">
        <v>96</v>
      </c>
      <c r="AC92" s="1230">
        <f>Y92/AA92</f>
        <v>1.6979166666666667</v>
      </c>
      <c r="AD92" s="1231"/>
      <c r="AF92" s="1004">
        <v>1.9538541666666667</v>
      </c>
      <c r="AG92" s="1005">
        <v>1.0104166666666667</v>
      </c>
      <c r="AH92" s="1005">
        <v>1.14375</v>
      </c>
      <c r="AI92" s="1001">
        <v>1.6979166666666667</v>
      </c>
      <c r="AJ92" s="229">
        <f>AVERAGE(AF92:AI92)</f>
        <v>1.4514843750000002</v>
      </c>
      <c r="AO92" s="1389" t="s">
        <v>430</v>
      </c>
      <c r="AP92" s="1389"/>
      <c r="AQ92" s="1389"/>
      <c r="AR92" s="1389"/>
      <c r="AS92" s="1389"/>
      <c r="AT92" s="1389"/>
      <c r="AU92" s="1389"/>
      <c r="AV92" s="1389"/>
      <c r="AW92" s="1389"/>
      <c r="AX92" s="1389"/>
      <c r="AY92" s="1389"/>
      <c r="AZ92" s="1389"/>
    </row>
    <row r="93" spans="1:52" s="8" customFormat="1" ht="25.5" customHeight="1" thickBot="1">
      <c r="B93" s="958"/>
      <c r="C93" s="647" t="s">
        <v>860</v>
      </c>
      <c r="D93" s="648" t="s">
        <v>219</v>
      </c>
      <c r="E93" s="649"/>
      <c r="F93" s="582">
        <v>150</v>
      </c>
      <c r="G93" s="650">
        <f t="shared" si="67"/>
        <v>0</v>
      </c>
      <c r="H93" s="651">
        <f>G93/0.2</f>
        <v>0</v>
      </c>
      <c r="I93" s="167"/>
      <c r="J93" s="59">
        <f t="shared" si="68"/>
        <v>0</v>
      </c>
      <c r="K93" s="31"/>
      <c r="L93" s="31"/>
      <c r="M93" s="1096"/>
      <c r="N93" s="340"/>
      <c r="O93" s="1247" t="s">
        <v>243</v>
      </c>
      <c r="P93" s="1248"/>
      <c r="Q93" s="1249"/>
      <c r="R93" s="222">
        <f>$G$100-R92</f>
        <v>482.40000000000003</v>
      </c>
      <c r="S93" s="299"/>
      <c r="T93" s="47"/>
      <c r="U93" s="117"/>
      <c r="V93" s="117"/>
      <c r="Y93" s="1242"/>
      <c r="Z93" s="1243"/>
      <c r="AA93" s="332">
        <v>95.67</v>
      </c>
      <c r="AO93" s="968" t="s">
        <v>396</v>
      </c>
      <c r="AP93" s="968" t="s">
        <v>397</v>
      </c>
      <c r="AQ93" s="968" t="s">
        <v>398</v>
      </c>
      <c r="AR93" s="968" t="s">
        <v>399</v>
      </c>
      <c r="AS93" s="968" t="s">
        <v>400</v>
      </c>
      <c r="AT93" s="969" t="s">
        <v>375</v>
      </c>
      <c r="AU93" s="968" t="s">
        <v>376</v>
      </c>
      <c r="AV93" s="968" t="s">
        <v>401</v>
      </c>
      <c r="AW93" s="968" t="s">
        <v>402</v>
      </c>
      <c r="AX93" s="968" t="s">
        <v>403</v>
      </c>
      <c r="AY93" s="968" t="s">
        <v>404</v>
      </c>
      <c r="AZ93" s="968" t="s">
        <v>405</v>
      </c>
    </row>
    <row r="94" spans="1:52" s="8" customFormat="1" ht="25.5" customHeight="1" thickBot="1">
      <c r="B94" s="958"/>
      <c r="D94" s="648"/>
      <c r="E94" s="649"/>
      <c r="F94" s="582"/>
      <c r="G94" s="650">
        <f t="shared" ref="G94:G95" si="69">J94*0.2</f>
        <v>0</v>
      </c>
      <c r="H94" s="651">
        <f t="shared" ref="H94:H96" si="70">G94/0.2</f>
        <v>0</v>
      </c>
      <c r="I94" s="167"/>
      <c r="J94" s="59">
        <f t="shared" ref="J94:J95" si="71">(K94*$K$86)+L94</f>
        <v>0</v>
      </c>
      <c r="K94" s="31"/>
      <c r="L94" s="31"/>
      <c r="M94" s="1096"/>
      <c r="N94" s="340"/>
      <c r="R94" s="433"/>
      <c r="T94" s="299"/>
      <c r="AA94" s="207"/>
      <c r="AO94" s="1035">
        <v>604</v>
      </c>
      <c r="AP94" s="1035">
        <v>809</v>
      </c>
      <c r="AQ94" s="1036">
        <v>645.6</v>
      </c>
      <c r="AR94" s="1036">
        <v>577</v>
      </c>
      <c r="AS94" s="1036">
        <v>590</v>
      </c>
      <c r="AT94" s="1039">
        <v>651</v>
      </c>
      <c r="AU94" s="1036">
        <v>611</v>
      </c>
      <c r="AV94" s="1036">
        <v>764</v>
      </c>
      <c r="AW94" s="1036">
        <v>497</v>
      </c>
      <c r="AX94" s="1036">
        <v>448</v>
      </c>
      <c r="AY94" s="1036">
        <v>642</v>
      </c>
      <c r="AZ94" s="1036">
        <v>915</v>
      </c>
    </row>
    <row r="95" spans="1:52" s="8" customFormat="1" ht="25.5" customHeight="1" thickBot="1">
      <c r="B95" s="958"/>
      <c r="C95" s="647"/>
      <c r="D95" s="648"/>
      <c r="E95" s="649"/>
      <c r="F95" s="582"/>
      <c r="G95" s="650">
        <f t="shared" si="69"/>
        <v>0</v>
      </c>
      <c r="H95" s="651">
        <f t="shared" si="70"/>
        <v>0</v>
      </c>
      <c r="I95" s="167"/>
      <c r="J95" s="59">
        <f t="shared" si="71"/>
        <v>0</v>
      </c>
      <c r="K95" s="31"/>
      <c r="L95" s="31"/>
      <c r="M95" s="1096"/>
      <c r="N95" s="340"/>
      <c r="R95" s="285"/>
      <c r="T95" s="299"/>
      <c r="U95" s="299"/>
      <c r="W95" s="8" t="s">
        <v>301</v>
      </c>
      <c r="X95" s="117"/>
      <c r="Y95" s="396">
        <f>R93/Y92</f>
        <v>2.959509202453988</v>
      </c>
      <c r="Z95" s="392" t="s">
        <v>302</v>
      </c>
      <c r="AT95" s="332"/>
    </row>
    <row r="96" spans="1:52" s="8" customFormat="1" ht="25.5" customHeight="1" thickBot="1">
      <c r="B96" s="958"/>
      <c r="C96" s="647"/>
      <c r="D96" s="648"/>
      <c r="E96" s="649"/>
      <c r="F96" s="582"/>
      <c r="G96" s="650">
        <f t="shared" ref="G96" si="72">J96*0.2</f>
        <v>0</v>
      </c>
      <c r="H96" s="651">
        <f t="shared" si="70"/>
        <v>0</v>
      </c>
      <c r="I96" s="167"/>
      <c r="J96" s="59">
        <f t="shared" ref="J96" si="73">(K96*$K$86)+L96</f>
        <v>0</v>
      </c>
      <c r="K96" s="31"/>
      <c r="L96" s="31"/>
      <c r="M96" s="1096"/>
      <c r="N96" s="340"/>
      <c r="R96" s="285"/>
      <c r="T96" s="299"/>
      <c r="U96" s="299"/>
      <c r="W96" s="8" t="s">
        <v>303</v>
      </c>
      <c r="Y96" s="395">
        <f>(R93-Y92)/Y92</f>
        <v>1.959509202453988</v>
      </c>
      <c r="Z96" s="392" t="s">
        <v>302</v>
      </c>
      <c r="AT96" s="332"/>
    </row>
    <row r="97" spans="1:52" s="8" customFormat="1" ht="25.5" customHeight="1">
      <c r="C97" s="647"/>
      <c r="D97" s="648"/>
      <c r="E97" s="649"/>
      <c r="F97" s="582"/>
      <c r="G97" s="650">
        <f t="shared" ref="G97" si="74">J97*0.2</f>
        <v>0</v>
      </c>
      <c r="H97" s="651">
        <f t="shared" ref="H97" si="75">G97/0.2</f>
        <v>0</v>
      </c>
      <c r="I97" s="167"/>
      <c r="J97" s="59">
        <f t="shared" ref="J97" si="76">(K97*$K$86)+L97</f>
        <v>0</v>
      </c>
      <c r="K97" s="31"/>
      <c r="L97" s="31"/>
      <c r="M97" s="1096"/>
      <c r="N97" s="340"/>
      <c r="R97" s="285"/>
      <c r="T97" s="299"/>
      <c r="U97" s="299"/>
      <c r="AT97" s="332"/>
    </row>
    <row r="98" spans="1:52" s="8" customFormat="1" ht="15.6">
      <c r="A98" s="445" t="s">
        <v>309</v>
      </c>
      <c r="B98" s="1351" t="s">
        <v>154</v>
      </c>
      <c r="C98" s="1352"/>
      <c r="D98" s="1352"/>
      <c r="E98" s="1352"/>
      <c r="F98" s="1352"/>
      <c r="G98" s="1352"/>
      <c r="H98" s="1352"/>
      <c r="I98" s="1352"/>
      <c r="J98" s="1353"/>
      <c r="K98" s="416">
        <v>28</v>
      </c>
      <c r="L98" s="416" t="s">
        <v>153</v>
      </c>
      <c r="M98" s="417"/>
      <c r="N98" s="340"/>
      <c r="S98" s="299"/>
      <c r="T98" s="299"/>
      <c r="U98" s="299"/>
      <c r="AI98" s="305">
        <v>1400</v>
      </c>
      <c r="AT98" s="332"/>
    </row>
    <row r="99" spans="1:52" s="145" customFormat="1" ht="30" customHeight="1">
      <c r="A99" s="117"/>
      <c r="B99" s="413"/>
      <c r="C99" s="652"/>
      <c r="D99" s="653"/>
      <c r="E99" s="654"/>
      <c r="F99" s="655"/>
      <c r="G99" s="656"/>
      <c r="H99" s="657"/>
      <c r="I99" s="419"/>
      <c r="J99" s="420"/>
      <c r="K99" s="421"/>
      <c r="L99" s="421"/>
      <c r="M99" s="446"/>
      <c r="N99" s="1066"/>
      <c r="Y99" s="117"/>
      <c r="Z99" s="117"/>
      <c r="AA99" s="117"/>
      <c r="AB99" s="117"/>
      <c r="AC99" s="117"/>
      <c r="AD99" s="117"/>
      <c r="AT99" s="972"/>
    </row>
    <row r="100" spans="1:52" s="8" customFormat="1" ht="27.75" customHeight="1" thickBot="1">
      <c r="C100" s="647"/>
      <c r="D100" s="648"/>
      <c r="E100" s="521"/>
      <c r="F100" s="658">
        <f>SUM(F87:F97)</f>
        <v>1350</v>
      </c>
      <c r="G100" s="659">
        <f>SUM(G87:G97)</f>
        <v>573.20000000000005</v>
      </c>
      <c r="H100" s="660">
        <f>SUM(H87:H97)</f>
        <v>2866</v>
      </c>
      <c r="I100" s="168"/>
      <c r="J100" s="418">
        <f>SUM(J87:J97)</f>
        <v>4080</v>
      </c>
      <c r="K100" s="330"/>
      <c r="M100" s="1152">
        <f>615-573</f>
        <v>42</v>
      </c>
      <c r="N100" s="340"/>
      <c r="R100" s="299"/>
      <c r="S100" s="331"/>
      <c r="AT100" s="332"/>
    </row>
    <row r="101" spans="1:52" s="8" customFormat="1" ht="21.6" thickBot="1">
      <c r="A101"/>
      <c r="B101" s="120"/>
      <c r="C101" s="510"/>
      <c r="D101" s="661"/>
      <c r="E101" s="662"/>
      <c r="F101" s="469"/>
      <c r="G101" s="635"/>
      <c r="H101" s="636"/>
      <c r="I101" s="163"/>
      <c r="J101" s="101"/>
      <c r="K101"/>
      <c r="L101"/>
      <c r="M101" s="1"/>
      <c r="N101" s="1068"/>
      <c r="AT101" s="332"/>
    </row>
    <row r="102" spans="1:52" s="8" customFormat="1" ht="23.4" thickBot="1">
      <c r="A102" s="121">
        <v>115</v>
      </c>
      <c r="B102" s="906" t="s">
        <v>114</v>
      </c>
      <c r="C102" s="663"/>
      <c r="D102" s="664"/>
      <c r="E102" s="642" t="s">
        <v>885</v>
      </c>
      <c r="F102" s="665"/>
      <c r="G102" s="666" t="s">
        <v>35</v>
      </c>
      <c r="H102" s="667"/>
      <c r="I102" s="170"/>
      <c r="J102" s="133"/>
      <c r="K102" s="110">
        <v>30</v>
      </c>
      <c r="L102" s="111" t="s">
        <v>39</v>
      </c>
      <c r="M102" s="112"/>
      <c r="N102" s="340" t="s">
        <v>540</v>
      </c>
      <c r="Y102"/>
      <c r="Z102"/>
      <c r="AA102"/>
      <c r="AB102"/>
      <c r="AC102"/>
      <c r="AD102"/>
      <c r="AT102" s="332"/>
    </row>
    <row r="103" spans="1:52" s="8" customFormat="1" ht="21.6" thickBot="1">
      <c r="A103" s="64" t="s">
        <v>115</v>
      </c>
      <c r="B103" s="13"/>
      <c r="C103" s="479" t="s">
        <v>682</v>
      </c>
      <c r="D103" s="623" t="s">
        <v>219</v>
      </c>
      <c r="E103" s="517" t="s">
        <v>750</v>
      </c>
      <c r="F103" s="503">
        <v>150</v>
      </c>
      <c r="G103" s="487">
        <f>H103*0.2</f>
        <v>31.6</v>
      </c>
      <c r="H103" s="465">
        <v>158</v>
      </c>
      <c r="I103" s="167"/>
      <c r="J103" s="27">
        <v>516</v>
      </c>
      <c r="K103" s="96">
        <v>17</v>
      </c>
      <c r="L103" s="96">
        <v>6</v>
      </c>
      <c r="M103" s="46">
        <v>283</v>
      </c>
      <c r="N103" s="340"/>
      <c r="AT103" s="332"/>
    </row>
    <row r="104" spans="1:52" s="8" customFormat="1" ht="30.6" thickBot="1">
      <c r="A104" s="64" t="s">
        <v>116</v>
      </c>
      <c r="B104" s="8" t="s">
        <v>740</v>
      </c>
      <c r="C104" s="479"/>
      <c r="D104" s="623"/>
      <c r="E104" s="1124" t="s">
        <v>569</v>
      </c>
      <c r="F104" s="1125"/>
      <c r="G104" s="1126">
        <v>4</v>
      </c>
      <c r="H104" s="1127">
        <v>20</v>
      </c>
      <c r="I104" s="1128"/>
      <c r="J104" s="1129">
        <v>0</v>
      </c>
      <c r="K104" s="1130"/>
      <c r="L104" s="1130"/>
      <c r="M104" s="1131" t="s">
        <v>751</v>
      </c>
      <c r="N104" s="340"/>
      <c r="O104" s="1355" t="s">
        <v>114</v>
      </c>
      <c r="P104" s="1356"/>
      <c r="Q104" s="1357"/>
      <c r="R104" s="279" t="s">
        <v>262</v>
      </c>
      <c r="T104" s="1168" t="s">
        <v>268</v>
      </c>
      <c r="U104" s="1169"/>
      <c r="V104" s="1169"/>
      <c r="W104" s="1170"/>
      <c r="Y104" s="1232" t="s">
        <v>269</v>
      </c>
      <c r="Z104" s="1233"/>
      <c r="AF104" s="1224" t="s">
        <v>366</v>
      </c>
      <c r="AG104" s="1225"/>
      <c r="AH104" s="1225"/>
      <c r="AI104" s="1226"/>
      <c r="AO104" s="1389" t="s">
        <v>412</v>
      </c>
      <c r="AP104" s="1389"/>
      <c r="AQ104" s="1389"/>
      <c r="AR104" s="1389"/>
      <c r="AS104" s="1389"/>
      <c r="AT104" s="1389"/>
      <c r="AU104" s="1389"/>
      <c r="AV104" s="1389"/>
      <c r="AW104" s="1389"/>
      <c r="AX104" s="1389"/>
      <c r="AY104" s="1389"/>
      <c r="AZ104" s="1389"/>
    </row>
    <row r="105" spans="1:52" s="8" customFormat="1" ht="21.6" thickBot="1">
      <c r="A105" s="115"/>
      <c r="B105" s="13"/>
      <c r="C105" s="479" t="s">
        <v>839</v>
      </c>
      <c r="D105" s="623" t="s">
        <v>217</v>
      </c>
      <c r="E105" s="517" t="s">
        <v>859</v>
      </c>
      <c r="F105" s="503">
        <v>75</v>
      </c>
      <c r="G105" s="487">
        <f>H105*0.2</f>
        <v>49.800000000000004</v>
      </c>
      <c r="H105" s="465">
        <v>249</v>
      </c>
      <c r="I105" s="167"/>
      <c r="J105" s="27">
        <f t="shared" ref="J105:J106" si="77">(K105*$K$102)+L105</f>
        <v>249</v>
      </c>
      <c r="K105" s="96">
        <v>8</v>
      </c>
      <c r="L105" s="96">
        <v>9</v>
      </c>
      <c r="M105" s="46"/>
      <c r="N105" s="340"/>
      <c r="O105" s="1190" t="s">
        <v>298</v>
      </c>
      <c r="P105" s="1191"/>
      <c r="Q105" s="1192"/>
      <c r="R105" s="220">
        <v>3.2</v>
      </c>
      <c r="T105" s="1165" t="s">
        <v>299</v>
      </c>
      <c r="U105" s="1166"/>
      <c r="V105" s="1167"/>
      <c r="W105" s="309">
        <v>23.4</v>
      </c>
      <c r="Y105" s="1234" t="s">
        <v>270</v>
      </c>
      <c r="Z105" s="1235"/>
      <c r="AA105" s="1238" t="s">
        <v>271</v>
      </c>
      <c r="AB105" s="319"/>
      <c r="AC105" s="321"/>
      <c r="AD105" s="321"/>
      <c r="AF105" s="1227"/>
      <c r="AG105" s="1228"/>
      <c r="AH105" s="1228"/>
      <c r="AI105" s="1229"/>
      <c r="AJ105" s="1135">
        <f>(R108-(AJ107*AA107))/(AJ107*AA107)</f>
        <v>1.5971563981042651</v>
      </c>
      <c r="AO105" s="968" t="s">
        <v>396</v>
      </c>
      <c r="AP105" s="968" t="s">
        <v>397</v>
      </c>
      <c r="AQ105" s="968" t="s">
        <v>398</v>
      </c>
      <c r="AR105" s="968" t="s">
        <v>399</v>
      </c>
      <c r="AS105" s="968" t="s">
        <v>400</v>
      </c>
      <c r="AT105" s="969" t="s">
        <v>375</v>
      </c>
      <c r="AU105" s="968" t="s">
        <v>376</v>
      </c>
      <c r="AV105" s="968" t="s">
        <v>401</v>
      </c>
      <c r="AW105" s="968" t="s">
        <v>402</v>
      </c>
      <c r="AX105" s="968" t="s">
        <v>403</v>
      </c>
      <c r="AY105" s="968" t="s">
        <v>404</v>
      </c>
      <c r="AZ105" s="968" t="s">
        <v>405</v>
      </c>
    </row>
    <row r="106" spans="1:52" s="8" customFormat="1" ht="22.2" thickTop="1" thickBot="1">
      <c r="B106" s="13"/>
      <c r="C106" s="479"/>
      <c r="D106" s="623"/>
      <c r="E106" s="517"/>
      <c r="F106" s="503"/>
      <c r="G106" s="487">
        <f t="shared" ref="G106" si="78">J106*0.2</f>
        <v>0</v>
      </c>
      <c r="H106" s="465">
        <f t="shared" ref="H106" si="79">G106/0.2</f>
        <v>0</v>
      </c>
      <c r="I106" s="167"/>
      <c r="J106" s="27">
        <f t="shared" si="77"/>
        <v>0</v>
      </c>
      <c r="K106" s="96"/>
      <c r="L106" s="96"/>
      <c r="M106" s="46"/>
      <c r="N106" s="340"/>
      <c r="O106" s="1165" t="s">
        <v>299</v>
      </c>
      <c r="P106" s="1166"/>
      <c r="Q106" s="1167"/>
      <c r="R106" s="1114"/>
      <c r="S106" s="807"/>
      <c r="Y106" s="1236"/>
      <c r="Z106" s="1237"/>
      <c r="AA106" s="1239"/>
      <c r="AB106" s="319"/>
      <c r="AC106" s="1240" t="s">
        <v>272</v>
      </c>
      <c r="AD106" s="1241"/>
      <c r="AF106" s="999" t="s">
        <v>679</v>
      </c>
      <c r="AG106" s="960" t="s">
        <v>680</v>
      </c>
      <c r="AH106" s="1003" t="s">
        <v>268</v>
      </c>
      <c r="AI106" s="959" t="s">
        <v>681</v>
      </c>
      <c r="AJ106" s="8" t="s">
        <v>622</v>
      </c>
      <c r="AO106" s="497">
        <v>17</v>
      </c>
      <c r="AP106" s="497">
        <v>99</v>
      </c>
      <c r="AQ106" s="497">
        <v>80</v>
      </c>
      <c r="AR106" s="497">
        <v>28</v>
      </c>
      <c r="AS106" s="497">
        <v>65</v>
      </c>
      <c r="AT106" s="970">
        <v>105</v>
      </c>
      <c r="AU106" s="497">
        <v>216</v>
      </c>
      <c r="AV106" s="497">
        <v>147</v>
      </c>
      <c r="AW106" s="497">
        <v>42</v>
      </c>
      <c r="AX106" s="497">
        <v>41</v>
      </c>
      <c r="AY106" s="497">
        <v>94</v>
      </c>
      <c r="AZ106" s="497">
        <v>191</v>
      </c>
    </row>
    <row r="107" spans="1:52" s="8" customFormat="1" ht="31.2" thickTop="1" thickBot="1">
      <c r="B107" s="13"/>
      <c r="C107" s="479"/>
      <c r="D107" s="623"/>
      <c r="E107" s="517"/>
      <c r="F107" s="503"/>
      <c r="G107" s="487">
        <f t="shared" ref="G107" si="80">J107*0.2</f>
        <v>0</v>
      </c>
      <c r="H107" s="465">
        <f t="shared" ref="H107" si="81">G107/0.2</f>
        <v>0</v>
      </c>
      <c r="I107" s="167"/>
      <c r="J107" s="27">
        <f t="shared" ref="J107" si="82">(K107*$K$102)+L107</f>
        <v>0</v>
      </c>
      <c r="K107" s="96"/>
      <c r="L107" s="96"/>
      <c r="M107" s="46"/>
      <c r="N107" s="340"/>
      <c r="O107" s="1289" t="s">
        <v>242</v>
      </c>
      <c r="P107" s="1290"/>
      <c r="Q107" s="1291"/>
      <c r="R107" s="221">
        <f>SUM(R105:R106)</f>
        <v>3.2</v>
      </c>
      <c r="S107" s="824"/>
      <c r="Y107" s="1182">
        <f>R105+W105</f>
        <v>26.599999999999998</v>
      </c>
      <c r="Z107" s="1183"/>
      <c r="AA107" s="318">
        <v>95</v>
      </c>
      <c r="AC107" s="1292">
        <f>Y107/AA107</f>
        <v>0.27999999999999997</v>
      </c>
      <c r="AD107" s="1293"/>
      <c r="AF107" s="1004">
        <v>0.39157894736842108</v>
      </c>
      <c r="AG107" s="1005">
        <v>0.30736842105263157</v>
      </c>
      <c r="AH107" s="1005">
        <v>0.35368421052631582</v>
      </c>
      <c r="AI107" s="1001">
        <v>0.27999999999999997</v>
      </c>
      <c r="AJ107" s="229">
        <f>AVERAGE(AF107:AI107)</f>
        <v>0.33315789473684215</v>
      </c>
      <c r="AO107" s="1389" t="s">
        <v>431</v>
      </c>
      <c r="AP107" s="1389"/>
      <c r="AQ107" s="1389"/>
      <c r="AR107" s="1389"/>
      <c r="AS107" s="1389"/>
      <c r="AT107" s="1389"/>
      <c r="AU107" s="1389"/>
      <c r="AV107" s="1389"/>
      <c r="AW107" s="1389"/>
      <c r="AX107" s="1389"/>
      <c r="AY107" s="1389"/>
      <c r="AZ107" s="1389"/>
    </row>
    <row r="108" spans="1:52" s="117" customFormat="1" ht="30" customHeight="1" thickBot="1">
      <c r="A108" s="8"/>
      <c r="B108" s="13"/>
      <c r="C108" s="479"/>
      <c r="D108" s="623"/>
      <c r="E108" s="517"/>
      <c r="F108" s="503"/>
      <c r="G108" s="487">
        <f t="shared" ref="G108" si="83">J108*0.2</f>
        <v>0</v>
      </c>
      <c r="H108" s="465">
        <f t="shared" ref="H108" si="84">G108/0.2</f>
        <v>0</v>
      </c>
      <c r="I108" s="167"/>
      <c r="J108" s="27">
        <f t="shared" ref="J108" si="85">(K108*$K$102)+L108</f>
        <v>0</v>
      </c>
      <c r="K108" s="96"/>
      <c r="L108" s="96"/>
      <c r="M108" s="46"/>
      <c r="N108" s="340"/>
      <c r="O108" s="1175" t="s">
        <v>243</v>
      </c>
      <c r="P108" s="1176"/>
      <c r="Q108" s="1177"/>
      <c r="R108" s="222">
        <f>$G$110-R107</f>
        <v>82.2</v>
      </c>
      <c r="S108" s="380"/>
      <c r="T108" s="390"/>
      <c r="Y108" s="1256"/>
      <c r="Z108" s="1162"/>
      <c r="AA108" s="332">
        <v>94.1</v>
      </c>
      <c r="AB108" s="8"/>
      <c r="AC108" s="8"/>
      <c r="AD108" s="8"/>
      <c r="AO108" s="968" t="s">
        <v>396</v>
      </c>
      <c r="AP108" s="968" t="s">
        <v>397</v>
      </c>
      <c r="AQ108" s="968" t="s">
        <v>398</v>
      </c>
      <c r="AR108" s="968" t="s">
        <v>399</v>
      </c>
      <c r="AS108" s="968" t="s">
        <v>400</v>
      </c>
      <c r="AT108" s="969" t="s">
        <v>375</v>
      </c>
      <c r="AU108" s="968" t="s">
        <v>376</v>
      </c>
      <c r="AV108" s="968" t="s">
        <v>401</v>
      </c>
      <c r="AW108" s="968" t="s">
        <v>402</v>
      </c>
      <c r="AX108" s="968" t="s">
        <v>403</v>
      </c>
      <c r="AY108" s="968" t="s">
        <v>404</v>
      </c>
      <c r="AZ108" s="968" t="s">
        <v>405</v>
      </c>
    </row>
    <row r="109" spans="1:52" s="117" customFormat="1" ht="30" customHeight="1" thickBot="1">
      <c r="A109" s="8"/>
      <c r="B109" s="8"/>
      <c r="C109" s="915"/>
      <c r="D109" s="648"/>
      <c r="E109" s="649"/>
      <c r="F109" s="582"/>
      <c r="G109" s="487">
        <f t="shared" ref="G109" si="86">J109*0.2</f>
        <v>0</v>
      </c>
      <c r="H109" s="465">
        <f t="shared" ref="H109" si="87">G109/0.2</f>
        <v>0</v>
      </c>
      <c r="I109" s="167"/>
      <c r="J109" s="27">
        <f t="shared" ref="J109" si="88">(K109*$K$102)+L109</f>
        <v>0</v>
      </c>
      <c r="K109" s="31"/>
      <c r="L109" s="31"/>
      <c r="M109" s="8"/>
      <c r="N109" s="340"/>
      <c r="O109" s="340"/>
      <c r="P109" s="340"/>
      <c r="Q109" s="340"/>
      <c r="R109" s="285"/>
      <c r="S109" s="380"/>
      <c r="T109" s="390"/>
      <c r="Y109" s="991"/>
      <c r="Z109" s="283"/>
      <c r="AA109" s="332"/>
      <c r="AB109" s="8"/>
      <c r="AC109" s="8"/>
      <c r="AD109" s="8"/>
      <c r="AO109" s="1037">
        <v>108</v>
      </c>
      <c r="AP109" s="1037">
        <v>181</v>
      </c>
      <c r="AQ109" s="1037">
        <v>88.6</v>
      </c>
      <c r="AR109" s="1037">
        <v>44</v>
      </c>
      <c r="AS109" s="1037">
        <v>60</v>
      </c>
      <c r="AT109" s="1038">
        <v>119</v>
      </c>
      <c r="AU109" s="1037">
        <v>141</v>
      </c>
      <c r="AV109" s="1037">
        <v>77</v>
      </c>
      <c r="AW109" s="1037">
        <v>33</v>
      </c>
      <c r="AX109" s="1037">
        <v>17</v>
      </c>
      <c r="AY109" s="1037">
        <v>53</v>
      </c>
      <c r="AZ109" s="1037">
        <v>80</v>
      </c>
    </row>
    <row r="110" spans="1:52" s="8" customFormat="1" ht="21.6" thickBot="1">
      <c r="A110" s="117"/>
      <c r="B110" s="117"/>
      <c r="C110" s="453"/>
      <c r="D110" s="632"/>
      <c r="E110" s="613"/>
      <c r="F110" s="614">
        <f>SUM(F103:F109)</f>
        <v>225</v>
      </c>
      <c r="G110" s="615">
        <f>SUM(G103:G109)</f>
        <v>85.4</v>
      </c>
      <c r="H110" s="596">
        <f>SUM(H103:H109)</f>
        <v>427</v>
      </c>
      <c r="I110" s="171"/>
      <c r="J110" s="61">
        <f>SUM(J103:J109)</f>
        <v>765</v>
      </c>
      <c r="K110" s="117"/>
      <c r="L110" s="117"/>
      <c r="M110" s="1157">
        <f>60-35</f>
        <v>25</v>
      </c>
      <c r="N110" s="340"/>
      <c r="S110" s="299"/>
      <c r="T110" s="299"/>
      <c r="W110" s="8" t="s">
        <v>301</v>
      </c>
      <c r="X110" s="117"/>
      <c r="Y110" s="396">
        <f>R108/Y107</f>
        <v>3.0902255639097747</v>
      </c>
      <c r="Z110" s="392" t="s">
        <v>302</v>
      </c>
      <c r="AO110" s="497"/>
      <c r="AP110" s="497"/>
      <c r="AQ110" s="802"/>
      <c r="AR110" s="802"/>
      <c r="AS110" s="973"/>
      <c r="AT110" s="974"/>
      <c r="AU110" s="973"/>
      <c r="AV110" s="973"/>
      <c r="AW110" s="973"/>
      <c r="AX110" s="973"/>
      <c r="AY110" s="973"/>
      <c r="AZ110" s="973"/>
    </row>
    <row r="111" spans="1:52" s="8" customFormat="1" ht="21.6" thickBot="1">
      <c r="A111" s="17"/>
      <c r="B111" s="17"/>
      <c r="C111" s="469"/>
      <c r="D111" s="469"/>
      <c r="E111" s="527"/>
      <c r="F111" s="469"/>
      <c r="G111" s="469"/>
      <c r="H111" s="469"/>
      <c r="K111" s="345"/>
      <c r="N111" s="340"/>
      <c r="W111" s="8" t="s">
        <v>303</v>
      </c>
      <c r="Y111" s="395">
        <f>(R108-Y107)/Y107</f>
        <v>2.0902255639097751</v>
      </c>
      <c r="Z111" s="392" t="s">
        <v>302</v>
      </c>
      <c r="AA111" s="117"/>
      <c r="AB111" s="117"/>
      <c r="AC111" s="117"/>
      <c r="AD111" s="117"/>
      <c r="AT111" s="332"/>
    </row>
    <row r="112" spans="1:52" s="8" customFormat="1" ht="23.4" thickBot="1">
      <c r="A112" s="119">
        <v>116</v>
      </c>
      <c r="B112" s="906" t="s">
        <v>117</v>
      </c>
      <c r="C112" s="640"/>
      <c r="D112" s="641"/>
      <c r="E112" s="642" t="s">
        <v>885</v>
      </c>
      <c r="F112" s="643"/>
      <c r="G112" s="644" t="s">
        <v>35</v>
      </c>
      <c r="H112" s="645"/>
      <c r="I112" s="169"/>
      <c r="J112" s="132"/>
      <c r="K112" s="107">
        <v>30</v>
      </c>
      <c r="L112" s="108" t="s">
        <v>39</v>
      </c>
      <c r="M112" s="109"/>
      <c r="N112" s="340" t="s">
        <v>540</v>
      </c>
      <c r="AH112" s="305">
        <f>270*1.3</f>
        <v>351</v>
      </c>
      <c r="AI112" s="910"/>
      <c r="AT112" s="332"/>
    </row>
    <row r="113" spans="1:52" s="8" customFormat="1" ht="21.6" thickBot="1">
      <c r="A113" s="64" t="s">
        <v>118</v>
      </c>
      <c r="B113" s="13"/>
      <c r="C113" s="479" t="s">
        <v>701</v>
      </c>
      <c r="D113" s="623" t="s">
        <v>219</v>
      </c>
      <c r="E113" s="517" t="s">
        <v>747</v>
      </c>
      <c r="F113" s="505">
        <v>150</v>
      </c>
      <c r="G113" s="610">
        <f>H113*0.2</f>
        <v>74.8</v>
      </c>
      <c r="H113" s="465">
        <v>374</v>
      </c>
      <c r="I113" s="167"/>
      <c r="J113" s="27">
        <v>500</v>
      </c>
      <c r="K113" s="96">
        <v>16</v>
      </c>
      <c r="L113" s="96">
        <v>20</v>
      </c>
      <c r="M113" s="46"/>
      <c r="N113" s="340"/>
      <c r="AT113" s="332"/>
    </row>
    <row r="114" spans="1:52" s="8" customFormat="1" ht="30.6" thickBot="1">
      <c r="A114" s="115" t="s">
        <v>119</v>
      </c>
      <c r="C114" s="479" t="s">
        <v>755</v>
      </c>
      <c r="D114" s="623" t="s">
        <v>219</v>
      </c>
      <c r="E114" s="517" t="s">
        <v>761</v>
      </c>
      <c r="F114" s="505">
        <v>150</v>
      </c>
      <c r="G114" s="610">
        <f>J114*0.2</f>
        <v>101.80000000000001</v>
      </c>
      <c r="H114" s="465">
        <f>G114/0.2</f>
        <v>509.00000000000006</v>
      </c>
      <c r="I114" s="167"/>
      <c r="J114" s="27">
        <f>(K114*$K$112)+L114</f>
        <v>509</v>
      </c>
      <c r="K114" s="96">
        <v>16</v>
      </c>
      <c r="L114" s="96">
        <v>29</v>
      </c>
      <c r="M114" s="46"/>
      <c r="N114" s="340"/>
      <c r="O114" s="1355" t="s">
        <v>117</v>
      </c>
      <c r="P114" s="1356"/>
      <c r="Q114" s="1357"/>
      <c r="R114" s="279" t="s">
        <v>262</v>
      </c>
      <c r="T114" s="1168" t="s">
        <v>268</v>
      </c>
      <c r="U114" s="1169"/>
      <c r="V114" s="1169"/>
      <c r="W114" s="1170"/>
      <c r="Y114" s="1232" t="s">
        <v>269</v>
      </c>
      <c r="Z114" s="1233"/>
      <c r="AF114" s="1224" t="s">
        <v>366</v>
      </c>
      <c r="AG114" s="1225"/>
      <c r="AH114" s="1225"/>
      <c r="AI114" s="1226"/>
      <c r="AO114" s="1389" t="s">
        <v>413</v>
      </c>
      <c r="AP114" s="1389"/>
      <c r="AQ114" s="1389"/>
      <c r="AR114" s="1389"/>
      <c r="AS114" s="1389"/>
      <c r="AT114" s="1389"/>
      <c r="AU114" s="1389"/>
      <c r="AV114" s="1389"/>
      <c r="AW114" s="1389"/>
      <c r="AX114" s="1389"/>
      <c r="AY114" s="1389"/>
      <c r="AZ114" s="1389"/>
    </row>
    <row r="115" spans="1:52" s="8" customFormat="1" ht="21.6" thickBot="1">
      <c r="A115" s="115"/>
      <c r="B115" s="13" t="s">
        <v>760</v>
      </c>
      <c r="C115" s="479"/>
      <c r="D115" s="623"/>
      <c r="E115" s="517"/>
      <c r="F115" s="505"/>
      <c r="G115" s="610">
        <f t="shared" ref="G115:G116" si="89">J115*0.2</f>
        <v>0</v>
      </c>
      <c r="H115" s="465">
        <f t="shared" ref="H115:H116" si="90">G115/0.2</f>
        <v>0</v>
      </c>
      <c r="I115" s="167"/>
      <c r="J115" s="27">
        <f t="shared" ref="J115:J116" si="91">(K115*$K$112)+L115</f>
        <v>0</v>
      </c>
      <c r="K115" s="96"/>
      <c r="L115" s="96"/>
      <c r="M115" s="46"/>
      <c r="N115" s="340"/>
      <c r="O115" s="1190" t="s">
        <v>298</v>
      </c>
      <c r="P115" s="1191"/>
      <c r="Q115" s="1192"/>
      <c r="R115" s="220">
        <v>26</v>
      </c>
      <c r="T115" s="1165" t="s">
        <v>299</v>
      </c>
      <c r="U115" s="1166"/>
      <c r="V115" s="1167"/>
      <c r="W115" s="309">
        <v>7.6</v>
      </c>
      <c r="Y115" s="1234" t="s">
        <v>270</v>
      </c>
      <c r="Z115" s="1235"/>
      <c r="AA115" s="1238" t="s">
        <v>271</v>
      </c>
      <c r="AB115" s="319"/>
      <c r="AC115" s="321"/>
      <c r="AD115" s="321"/>
      <c r="AF115" s="1227"/>
      <c r="AG115" s="1228"/>
      <c r="AH115" s="1228"/>
      <c r="AI115" s="1229"/>
      <c r="AJ115" s="1135">
        <f>(R118-(AJ117*AA117))/(AJ117*AA117)</f>
        <v>4.2110726643598619</v>
      </c>
      <c r="AO115" s="968" t="s">
        <v>396</v>
      </c>
      <c r="AP115" s="968" t="s">
        <v>397</v>
      </c>
      <c r="AQ115" s="968" t="s">
        <v>398</v>
      </c>
      <c r="AR115" s="968" t="s">
        <v>399</v>
      </c>
      <c r="AS115" s="968" t="s">
        <v>400</v>
      </c>
      <c r="AT115" s="969" t="s">
        <v>375</v>
      </c>
      <c r="AU115" s="968" t="s">
        <v>376</v>
      </c>
      <c r="AV115" s="968" t="s">
        <v>401</v>
      </c>
      <c r="AW115" s="968" t="s">
        <v>402</v>
      </c>
      <c r="AX115" s="968" t="s">
        <v>403</v>
      </c>
      <c r="AY115" s="968" t="s">
        <v>404</v>
      </c>
      <c r="AZ115" s="968" t="s">
        <v>405</v>
      </c>
    </row>
    <row r="116" spans="1:52" s="8" customFormat="1" ht="24" thickTop="1" thickBot="1">
      <c r="A116" s="115"/>
      <c r="B116" s="1108"/>
      <c r="C116" s="479"/>
      <c r="D116" s="623"/>
      <c r="E116" s="517"/>
      <c r="F116" s="505"/>
      <c r="G116" s="610">
        <f t="shared" si="89"/>
        <v>0</v>
      </c>
      <c r="H116" s="465">
        <f t="shared" si="90"/>
        <v>0</v>
      </c>
      <c r="I116" s="167"/>
      <c r="J116" s="27">
        <f t="shared" si="91"/>
        <v>0</v>
      </c>
      <c r="K116" s="96"/>
      <c r="L116" s="96"/>
      <c r="M116" s="46"/>
      <c r="N116" s="340"/>
      <c r="O116" s="1165" t="s">
        <v>299</v>
      </c>
      <c r="P116" s="1166"/>
      <c r="Q116" s="1167"/>
      <c r="R116" s="158"/>
      <c r="T116" s="305" t="s">
        <v>344</v>
      </c>
      <c r="Y116" s="1236"/>
      <c r="Z116" s="1237"/>
      <c r="AA116" s="1239"/>
      <c r="AB116" s="319"/>
      <c r="AC116" s="1240" t="s">
        <v>272</v>
      </c>
      <c r="AD116" s="1241"/>
      <c r="AF116" s="999" t="s">
        <v>679</v>
      </c>
      <c r="AG116" s="960" t="s">
        <v>680</v>
      </c>
      <c r="AH116" s="1003" t="s">
        <v>268</v>
      </c>
      <c r="AI116" s="959" t="s">
        <v>681</v>
      </c>
      <c r="AJ116" s="8" t="s">
        <v>622</v>
      </c>
      <c r="AO116" s="497">
        <v>36</v>
      </c>
      <c r="AP116" s="497">
        <v>139</v>
      </c>
      <c r="AQ116" s="497">
        <v>131</v>
      </c>
      <c r="AR116" s="497">
        <v>37</v>
      </c>
      <c r="AS116" s="497">
        <v>105</v>
      </c>
      <c r="AT116" s="970">
        <v>115</v>
      </c>
      <c r="AU116" s="497">
        <v>195</v>
      </c>
      <c r="AV116" s="497">
        <v>143</v>
      </c>
      <c r="AW116" s="497">
        <v>76</v>
      </c>
      <c r="AX116" s="497">
        <v>50</v>
      </c>
      <c r="AY116" s="497">
        <v>106</v>
      </c>
      <c r="AZ116" s="497">
        <v>173</v>
      </c>
    </row>
    <row r="117" spans="1:52" s="8" customFormat="1" ht="31.2" thickTop="1" thickBot="1">
      <c r="A117" s="115"/>
      <c r="B117" s="1108"/>
      <c r="C117" s="479"/>
      <c r="D117" s="623"/>
      <c r="E117" s="517"/>
      <c r="F117" s="505"/>
      <c r="G117" s="610">
        <f t="shared" ref="G117" si="92">J117*0.2</f>
        <v>0</v>
      </c>
      <c r="H117" s="465">
        <f t="shared" ref="H117" si="93">G117/0.2</f>
        <v>0</v>
      </c>
      <c r="I117" s="167"/>
      <c r="J117" s="27">
        <f t="shared" ref="J117" si="94">(K117*$K$112)+L117</f>
        <v>0</v>
      </c>
      <c r="K117" s="96"/>
      <c r="L117" s="96"/>
      <c r="M117" s="46"/>
      <c r="N117" s="340"/>
      <c r="O117" s="1289" t="s">
        <v>242</v>
      </c>
      <c r="P117" s="1290"/>
      <c r="Q117" s="1291"/>
      <c r="R117" s="221">
        <f>SUM(R115:R116)</f>
        <v>26</v>
      </c>
      <c r="T117" s="305" t="s">
        <v>345</v>
      </c>
      <c r="Y117" s="1182">
        <f>R115+W115</f>
        <v>33.6</v>
      </c>
      <c r="Z117" s="1183"/>
      <c r="AA117" s="318">
        <v>94</v>
      </c>
      <c r="AC117" s="1292">
        <f>Y117/AA117</f>
        <v>0.35744680851063831</v>
      </c>
      <c r="AD117" s="1293"/>
      <c r="AF117" s="1004">
        <v>0.18297872340425531</v>
      </c>
      <c r="AG117" s="1005">
        <v>0.22127659574468087</v>
      </c>
      <c r="AH117" s="1005">
        <v>0.46808510638297873</v>
      </c>
      <c r="AI117" s="1001">
        <v>0.35744680851063831</v>
      </c>
      <c r="AJ117" s="229">
        <f>AVERAGE(AF117:AI117)</f>
        <v>0.30744680851063833</v>
      </c>
      <c r="AO117" s="1389" t="s">
        <v>432</v>
      </c>
      <c r="AP117" s="1389"/>
      <c r="AQ117" s="1389"/>
      <c r="AR117" s="1389"/>
      <c r="AS117" s="1389"/>
      <c r="AT117" s="1389"/>
      <c r="AU117" s="1389"/>
      <c r="AV117" s="1389"/>
      <c r="AW117" s="1389"/>
      <c r="AX117" s="1389"/>
      <c r="AY117" s="1389"/>
      <c r="AZ117" s="1389"/>
    </row>
    <row r="118" spans="1:52" s="117" customFormat="1" ht="27.75" customHeight="1" thickBot="1">
      <c r="A118" s="8"/>
      <c r="B118" s="13"/>
      <c r="C118" s="479"/>
      <c r="D118" s="623"/>
      <c r="E118" s="517"/>
      <c r="F118" s="505"/>
      <c r="G118" s="610">
        <f t="shared" ref="G118" si="95">J118*0.2</f>
        <v>0</v>
      </c>
      <c r="H118" s="465">
        <f t="shared" ref="H118" si="96">G118/0.2</f>
        <v>0</v>
      </c>
      <c r="I118" s="167"/>
      <c r="J118" s="27">
        <f t="shared" ref="J118" si="97">(K118*$K$112)+L118</f>
        <v>0</v>
      </c>
      <c r="K118" s="96"/>
      <c r="L118" s="96"/>
      <c r="M118" s="46"/>
      <c r="N118" s="340"/>
      <c r="O118" s="1175" t="s">
        <v>243</v>
      </c>
      <c r="P118" s="1176"/>
      <c r="Q118" s="1177"/>
      <c r="R118" s="222">
        <f>$G$119-R117</f>
        <v>150.60000000000002</v>
      </c>
      <c r="S118" s="390">
        <f>R118-16.8</f>
        <v>133.80000000000001</v>
      </c>
      <c r="T118" s="299"/>
      <c r="U118" s="299"/>
      <c r="V118" s="8"/>
      <c r="W118" s="8"/>
      <c r="X118" s="8"/>
      <c r="Y118" s="1256"/>
      <c r="Z118" s="1162"/>
      <c r="AA118" s="332">
        <v>94.8</v>
      </c>
      <c r="AB118" s="8"/>
      <c r="AC118" s="8"/>
      <c r="AD118" s="8"/>
      <c r="AO118" s="968" t="s">
        <v>396</v>
      </c>
      <c r="AP118" s="968" t="s">
        <v>397</v>
      </c>
      <c r="AQ118" s="968" t="s">
        <v>398</v>
      </c>
      <c r="AR118" s="968" t="s">
        <v>399</v>
      </c>
      <c r="AS118" s="968" t="s">
        <v>400</v>
      </c>
      <c r="AT118" s="969" t="s">
        <v>375</v>
      </c>
      <c r="AU118" s="968" t="s">
        <v>376</v>
      </c>
      <c r="AV118" s="968" t="s">
        <v>401</v>
      </c>
      <c r="AW118" s="968" t="s">
        <v>402</v>
      </c>
      <c r="AX118" s="968" t="s">
        <v>403</v>
      </c>
      <c r="AY118" s="968" t="s">
        <v>404</v>
      </c>
      <c r="AZ118" s="968" t="s">
        <v>405</v>
      </c>
    </row>
    <row r="119" spans="1:52" s="8" customFormat="1" ht="21.6" thickBot="1">
      <c r="A119" s="117"/>
      <c r="B119" s="117"/>
      <c r="C119" s="453"/>
      <c r="D119" s="632"/>
      <c r="E119" s="613"/>
      <c r="F119" s="668">
        <f>SUM(F113:F118)</f>
        <v>300</v>
      </c>
      <c r="G119" s="669">
        <f>SUM(G113:G118)</f>
        <v>176.60000000000002</v>
      </c>
      <c r="H119" s="670">
        <f>SUM(H113:H118)</f>
        <v>883</v>
      </c>
      <c r="I119" s="287"/>
      <c r="J119" s="288">
        <f>SUM(J113:J118)</f>
        <v>1009</v>
      </c>
      <c r="K119" s="117"/>
      <c r="L119" s="117"/>
      <c r="M119" s="64">
        <f>205-176</f>
        <v>29</v>
      </c>
      <c r="N119" s="340"/>
      <c r="O119" s="8" t="s">
        <v>318</v>
      </c>
      <c r="Q119" s="8">
        <v>103</v>
      </c>
      <c r="T119" s="299"/>
      <c r="W119" s="8" t="s">
        <v>301</v>
      </c>
      <c r="X119" s="117"/>
      <c r="Y119" s="396">
        <f>R118/Y117</f>
        <v>4.4821428571428577</v>
      </c>
      <c r="Z119" s="392" t="s">
        <v>302</v>
      </c>
      <c r="AO119" s="1035">
        <v>96</v>
      </c>
      <c r="AP119" s="1035">
        <v>211</v>
      </c>
      <c r="AQ119" s="1036">
        <v>118</v>
      </c>
      <c r="AR119" s="1036">
        <v>68.400000000000006</v>
      </c>
      <c r="AS119" s="1036">
        <v>74</v>
      </c>
      <c r="AT119" s="1039">
        <v>67</v>
      </c>
      <c r="AU119" s="1036">
        <v>123</v>
      </c>
      <c r="AV119" s="1036">
        <v>154</v>
      </c>
      <c r="AW119" s="1036">
        <v>26</v>
      </c>
      <c r="AX119" s="1036">
        <v>44</v>
      </c>
      <c r="AY119" s="1036">
        <v>73</v>
      </c>
      <c r="AZ119" s="1036">
        <v>116</v>
      </c>
    </row>
    <row r="120" spans="1:52" s="8" customFormat="1" ht="21.6" thickBot="1">
      <c r="A120" s="17"/>
      <c r="B120" s="17"/>
      <c r="C120" s="469"/>
      <c r="D120" s="469"/>
      <c r="E120" s="527"/>
      <c r="F120" s="469"/>
      <c r="G120" s="469"/>
      <c r="H120" s="469"/>
      <c r="N120" s="340"/>
      <c r="O120" s="8" t="s">
        <v>328</v>
      </c>
      <c r="P120" s="8" t="s">
        <v>329</v>
      </c>
      <c r="R120" s="8">
        <v>16.399999999999999</v>
      </c>
      <c r="W120" s="8" t="s">
        <v>303</v>
      </c>
      <c r="Y120" s="395">
        <f>(R118-Y117)/Y117</f>
        <v>3.4821428571428577</v>
      </c>
      <c r="Z120" s="392" t="s">
        <v>302</v>
      </c>
      <c r="AA120" s="117"/>
      <c r="AB120" s="117"/>
      <c r="AC120" s="117"/>
      <c r="AD120" s="117"/>
      <c r="AT120" s="332"/>
    </row>
    <row r="121" spans="1:52" s="8" customFormat="1" ht="23.4" thickBot="1">
      <c r="A121" s="119">
        <v>118</v>
      </c>
      <c r="B121" s="906" t="s">
        <v>120</v>
      </c>
      <c r="C121" s="640"/>
      <c r="D121" s="641"/>
      <c r="E121" s="642" t="s">
        <v>885</v>
      </c>
      <c r="F121" s="643"/>
      <c r="G121" s="644" t="s">
        <v>35</v>
      </c>
      <c r="H121" s="645"/>
      <c r="I121" s="169"/>
      <c r="J121" s="132"/>
      <c r="K121" s="107">
        <v>30</v>
      </c>
      <c r="L121" s="108" t="s">
        <v>39</v>
      </c>
      <c r="M121" s="109"/>
      <c r="N121" s="340" t="s">
        <v>540</v>
      </c>
      <c r="AI121" s="305">
        <v>200</v>
      </c>
      <c r="AT121" s="332"/>
    </row>
    <row r="122" spans="1:52" s="8" customFormat="1" ht="21.6" thickBot="1">
      <c r="A122" s="64" t="s">
        <v>121</v>
      </c>
      <c r="B122" s="953" t="s">
        <v>365</v>
      </c>
      <c r="C122" s="479" t="s">
        <v>701</v>
      </c>
      <c r="D122" s="623" t="s">
        <v>219</v>
      </c>
      <c r="E122" s="517" t="s">
        <v>750</v>
      </c>
      <c r="F122" s="505">
        <v>150</v>
      </c>
      <c r="G122" s="610">
        <f>H122*0.2</f>
        <v>89.800000000000011</v>
      </c>
      <c r="H122" s="465">
        <v>449</v>
      </c>
      <c r="I122" s="167"/>
      <c r="J122" s="27">
        <v>531</v>
      </c>
      <c r="K122" s="96">
        <v>17</v>
      </c>
      <c r="L122" s="96">
        <v>21</v>
      </c>
      <c r="M122" s="46"/>
      <c r="N122" s="340"/>
      <c r="AT122" s="332"/>
    </row>
    <row r="123" spans="1:52" s="8" customFormat="1" ht="30.6" thickBot="1">
      <c r="A123" s="64" t="s">
        <v>122</v>
      </c>
      <c r="B123" s="953" t="s">
        <v>365</v>
      </c>
      <c r="C123" s="479" t="s">
        <v>788</v>
      </c>
      <c r="D123" s="623" t="s">
        <v>217</v>
      </c>
      <c r="E123" s="517" t="s">
        <v>794</v>
      </c>
      <c r="F123" s="505">
        <v>75</v>
      </c>
      <c r="G123" s="610">
        <f>J123*0.2</f>
        <v>54.400000000000006</v>
      </c>
      <c r="H123" s="465">
        <f>G123/0.2</f>
        <v>272</v>
      </c>
      <c r="I123" s="167"/>
      <c r="J123" s="27">
        <f>(K123*$K$121)+L123</f>
        <v>272</v>
      </c>
      <c r="K123" s="96">
        <v>9</v>
      </c>
      <c r="L123" s="96">
        <v>2</v>
      </c>
      <c r="M123" s="46"/>
      <c r="N123" s="340"/>
      <c r="O123" s="1355" t="s">
        <v>120</v>
      </c>
      <c r="P123" s="1356"/>
      <c r="Q123" s="1357"/>
      <c r="R123" s="279" t="s">
        <v>262</v>
      </c>
      <c r="T123" s="1168" t="s">
        <v>268</v>
      </c>
      <c r="U123" s="1169"/>
      <c r="V123" s="1169"/>
      <c r="W123" s="1170"/>
      <c r="Y123" s="1232" t="s">
        <v>269</v>
      </c>
      <c r="Z123" s="1233"/>
      <c r="AF123" s="1224" t="s">
        <v>366</v>
      </c>
      <c r="AG123" s="1225"/>
      <c r="AH123" s="1225"/>
      <c r="AI123" s="1226"/>
      <c r="AO123" s="1389" t="s">
        <v>414</v>
      </c>
      <c r="AP123" s="1389"/>
      <c r="AQ123" s="1389"/>
      <c r="AR123" s="1389"/>
      <c r="AS123" s="1389"/>
      <c r="AT123" s="1389"/>
      <c r="AU123" s="1389"/>
      <c r="AV123" s="1389"/>
      <c r="AW123" s="1389"/>
      <c r="AX123" s="1389"/>
      <c r="AY123" s="1389"/>
      <c r="AZ123" s="1389"/>
    </row>
    <row r="124" spans="1:52" s="8" customFormat="1" ht="21.6" thickBot="1">
      <c r="A124" s="115"/>
      <c r="B124" s="953" t="s">
        <v>365</v>
      </c>
      <c r="C124" s="479"/>
      <c r="D124" s="623"/>
      <c r="E124" s="517"/>
      <c r="F124" s="505"/>
      <c r="G124" s="610">
        <f t="shared" ref="G124:G125" si="98">J124*0.2</f>
        <v>0</v>
      </c>
      <c r="H124" s="465">
        <f t="shared" ref="H124:H125" si="99">G124/0.2</f>
        <v>0</v>
      </c>
      <c r="I124" s="167"/>
      <c r="J124" s="27">
        <f t="shared" ref="J124:J125" si="100">(K124*$K$121)+L124</f>
        <v>0</v>
      </c>
      <c r="K124" s="96"/>
      <c r="L124" s="96"/>
      <c r="M124" s="46"/>
      <c r="N124" s="340"/>
      <c r="O124" s="1190" t="s">
        <v>298</v>
      </c>
      <c r="P124" s="1191"/>
      <c r="Q124" s="1192"/>
      <c r="R124" s="220">
        <v>13.6</v>
      </c>
      <c r="T124" s="1165" t="s">
        <v>299</v>
      </c>
      <c r="U124" s="1166"/>
      <c r="V124" s="1167"/>
      <c r="W124" s="309">
        <v>25</v>
      </c>
      <c r="Y124" s="1234" t="s">
        <v>270</v>
      </c>
      <c r="Z124" s="1235"/>
      <c r="AA124" s="1238" t="s">
        <v>271</v>
      </c>
      <c r="AB124" s="319"/>
      <c r="AC124" s="321"/>
      <c r="AD124" s="321"/>
      <c r="AF124" s="1227"/>
      <c r="AG124" s="1228"/>
      <c r="AH124" s="1228"/>
      <c r="AI124" s="1229"/>
      <c r="AJ124" s="1135">
        <f>(R127-(AJ126*AA126))/(AJ126*AA126)</f>
        <v>4.3306122448979609</v>
      </c>
      <c r="AO124" s="968" t="s">
        <v>396</v>
      </c>
      <c r="AP124" s="968" t="s">
        <v>397</v>
      </c>
      <c r="AQ124" s="968" t="s">
        <v>398</v>
      </c>
      <c r="AR124" s="968" t="s">
        <v>399</v>
      </c>
      <c r="AS124" s="968" t="s">
        <v>400</v>
      </c>
      <c r="AT124" s="969" t="s">
        <v>375</v>
      </c>
      <c r="AU124" s="968" t="s">
        <v>376</v>
      </c>
      <c r="AV124" s="968" t="s">
        <v>401</v>
      </c>
      <c r="AW124" s="968" t="s">
        <v>402</v>
      </c>
      <c r="AX124" s="968" t="s">
        <v>403</v>
      </c>
      <c r="AY124" s="968" t="s">
        <v>404</v>
      </c>
      <c r="AZ124" s="968" t="s">
        <v>405</v>
      </c>
    </row>
    <row r="125" spans="1:52" s="8" customFormat="1" ht="22.2" thickTop="1" thickBot="1">
      <c r="A125" s="115"/>
      <c r="B125" s="953" t="s">
        <v>365</v>
      </c>
      <c r="C125" s="479"/>
      <c r="D125" s="623"/>
      <c r="E125" s="517"/>
      <c r="F125" s="505"/>
      <c r="G125" s="610">
        <f t="shared" si="98"/>
        <v>0</v>
      </c>
      <c r="H125" s="465">
        <f t="shared" si="99"/>
        <v>0</v>
      </c>
      <c r="I125" s="167"/>
      <c r="J125" s="27">
        <f t="shared" si="100"/>
        <v>0</v>
      </c>
      <c r="K125" s="96"/>
      <c r="L125" s="96"/>
      <c r="M125" s="46"/>
      <c r="N125" s="340"/>
      <c r="O125" s="1165" t="s">
        <v>299</v>
      </c>
      <c r="P125" s="1166"/>
      <c r="Q125" s="1167"/>
      <c r="R125" s="1114"/>
      <c r="Y125" s="1236"/>
      <c r="Z125" s="1237"/>
      <c r="AA125" s="1239"/>
      <c r="AB125" s="319"/>
      <c r="AC125" s="1240" t="s">
        <v>272</v>
      </c>
      <c r="AD125" s="1241"/>
      <c r="AF125" s="999" t="s">
        <v>679</v>
      </c>
      <c r="AG125" s="960" t="s">
        <v>680</v>
      </c>
      <c r="AH125" s="1003" t="s">
        <v>268</v>
      </c>
      <c r="AI125" s="959" t="s">
        <v>681</v>
      </c>
      <c r="AJ125" s="8" t="s">
        <v>622</v>
      </c>
      <c r="AO125" s="497">
        <v>51</v>
      </c>
      <c r="AP125" s="497">
        <v>143</v>
      </c>
      <c r="AQ125" s="497">
        <v>163</v>
      </c>
      <c r="AR125" s="497">
        <v>163</v>
      </c>
      <c r="AS125" s="497">
        <v>205</v>
      </c>
      <c r="AT125" s="970">
        <v>190</v>
      </c>
      <c r="AU125" s="497">
        <v>297</v>
      </c>
      <c r="AV125" s="497">
        <v>252</v>
      </c>
      <c r="AW125" s="497">
        <v>125</v>
      </c>
      <c r="AX125" s="497">
        <v>90</v>
      </c>
      <c r="AY125" s="497">
        <v>210</v>
      </c>
      <c r="AZ125" s="497">
        <v>187</v>
      </c>
    </row>
    <row r="126" spans="1:52" s="8" customFormat="1" ht="31.2" thickTop="1" thickBot="1">
      <c r="A126" s="115"/>
      <c r="B126" s="953" t="s">
        <v>365</v>
      </c>
      <c r="C126" s="479"/>
      <c r="D126" s="623"/>
      <c r="E126" s="517"/>
      <c r="F126" s="505"/>
      <c r="G126" s="610">
        <f t="shared" ref="G126" si="101">J126*0.2</f>
        <v>0</v>
      </c>
      <c r="H126" s="465">
        <f t="shared" ref="H126" si="102">G126/0.2</f>
        <v>0</v>
      </c>
      <c r="I126" s="167"/>
      <c r="J126" s="27">
        <f t="shared" ref="J126" si="103">(K126*$K$121)+L126</f>
        <v>0</v>
      </c>
      <c r="K126" s="96"/>
      <c r="L126" s="96"/>
      <c r="M126" s="46"/>
      <c r="N126" s="340"/>
      <c r="O126" s="1289" t="s">
        <v>242</v>
      </c>
      <c r="P126" s="1290"/>
      <c r="Q126" s="1291"/>
      <c r="R126" s="221">
        <f>SUM(R124:R125)</f>
        <v>13.6</v>
      </c>
      <c r="T126" s="1349" t="s">
        <v>346</v>
      </c>
      <c r="U126" s="1349"/>
      <c r="V126" s="388"/>
      <c r="W126" s="388"/>
      <c r="Y126" s="1182">
        <f>R124+W124</f>
        <v>38.6</v>
      </c>
      <c r="Z126" s="1183"/>
      <c r="AA126" s="318">
        <v>102</v>
      </c>
      <c r="AC126" s="1383">
        <f>Y126/AA126</f>
        <v>0.3784313725490196</v>
      </c>
      <c r="AD126" s="1384"/>
      <c r="AF126" s="1004">
        <v>0.1980392156862745</v>
      </c>
      <c r="AG126" s="1005">
        <v>0.16862745098039214</v>
      </c>
      <c r="AH126" s="1005">
        <v>0.21568627450980393</v>
      </c>
      <c r="AI126" s="1001">
        <v>0.3784313725490196</v>
      </c>
      <c r="AJ126" s="229">
        <f>AVERAGE(AF126:AI126)</f>
        <v>0.24019607843137253</v>
      </c>
      <c r="AO126" s="1389" t="s">
        <v>433</v>
      </c>
      <c r="AP126" s="1389"/>
      <c r="AQ126" s="1389"/>
      <c r="AR126" s="1389"/>
      <c r="AS126" s="1389"/>
      <c r="AT126" s="1389"/>
      <c r="AU126" s="1389"/>
      <c r="AV126" s="1389"/>
      <c r="AW126" s="1389"/>
      <c r="AX126" s="1389"/>
      <c r="AY126" s="1389"/>
      <c r="AZ126" s="1389"/>
    </row>
    <row r="127" spans="1:52" s="117" customFormat="1" ht="30.75" customHeight="1" thickBot="1">
      <c r="A127" s="8"/>
      <c r="B127" s="953" t="s">
        <v>365</v>
      </c>
      <c r="C127" s="479"/>
      <c r="D127" s="623"/>
      <c r="E127" s="517"/>
      <c r="F127" s="505"/>
      <c r="G127" s="610">
        <f t="shared" ref="G127" si="104">J127*0.2</f>
        <v>0</v>
      </c>
      <c r="H127" s="465">
        <f t="shared" ref="H127" si="105">G127/0.2</f>
        <v>0</v>
      </c>
      <c r="I127" s="167"/>
      <c r="J127" s="27">
        <f t="shared" ref="J127" si="106">(K127*$K$121)+L127</f>
        <v>0</v>
      </c>
      <c r="K127" s="96"/>
      <c r="L127" s="96"/>
      <c r="M127" s="46"/>
      <c r="N127" s="340"/>
      <c r="O127" s="1175" t="s">
        <v>243</v>
      </c>
      <c r="P127" s="1176"/>
      <c r="Q127" s="1177"/>
      <c r="R127" s="222">
        <f>$G$128-R126</f>
        <v>130.60000000000002</v>
      </c>
      <c r="S127" s="390"/>
      <c r="T127" s="902" t="s">
        <v>345</v>
      </c>
      <c r="U127" s="903"/>
      <c r="V127" s="388"/>
      <c r="W127" s="388"/>
      <c r="Y127" s="1256"/>
      <c r="Z127" s="1162"/>
      <c r="AA127" s="332">
        <v>101.9</v>
      </c>
      <c r="AB127" s="8"/>
      <c r="AC127" s="8"/>
      <c r="AD127" s="8"/>
      <c r="AO127" s="968" t="s">
        <v>396</v>
      </c>
      <c r="AP127" s="968" t="s">
        <v>397</v>
      </c>
      <c r="AQ127" s="968" t="s">
        <v>398</v>
      </c>
      <c r="AR127" s="968" t="s">
        <v>399</v>
      </c>
      <c r="AS127" s="968" t="s">
        <v>400</v>
      </c>
      <c r="AT127" s="969" t="s">
        <v>375</v>
      </c>
      <c r="AU127" s="968" t="s">
        <v>376</v>
      </c>
      <c r="AV127" s="968" t="s">
        <v>401</v>
      </c>
      <c r="AW127" s="968" t="s">
        <v>402</v>
      </c>
      <c r="AX127" s="968" t="s">
        <v>403</v>
      </c>
      <c r="AY127" s="968" t="s">
        <v>404</v>
      </c>
      <c r="AZ127" s="968" t="s">
        <v>405</v>
      </c>
    </row>
    <row r="128" spans="1:52" s="8" customFormat="1" ht="31.2" thickBot="1">
      <c r="A128" s="117"/>
      <c r="B128" s="117"/>
      <c r="C128" s="611"/>
      <c r="D128" s="612"/>
      <c r="E128" s="613"/>
      <c r="F128" s="614">
        <f>SUM(F122:F126)</f>
        <v>225</v>
      </c>
      <c r="G128" s="615">
        <f>SUM(G122:G127)</f>
        <v>144.20000000000002</v>
      </c>
      <c r="H128" s="596">
        <f>SUM(H122:H127)</f>
        <v>721</v>
      </c>
      <c r="I128" s="201"/>
      <c r="J128" s="61">
        <f>SUM(J122:J127)</f>
        <v>803</v>
      </c>
      <c r="K128" s="117"/>
      <c r="L128" s="117"/>
      <c r="M128" s="117">
        <f>168-144</f>
        <v>24</v>
      </c>
      <c r="N128" s="340"/>
      <c r="O128" s="8" t="s">
        <v>318</v>
      </c>
      <c r="Q128" s="8">
        <v>133</v>
      </c>
      <c r="R128" s="305"/>
      <c r="S128" s="876"/>
      <c r="T128" s="916"/>
      <c r="U128" s="388"/>
      <c r="V128" s="388"/>
      <c r="W128" s="8" t="s">
        <v>301</v>
      </c>
      <c r="X128" s="117"/>
      <c r="Y128" s="396">
        <f>R127/Y126</f>
        <v>3.3834196891191715</v>
      </c>
      <c r="Z128" s="392" t="s">
        <v>302</v>
      </c>
      <c r="AO128" s="1035">
        <v>83</v>
      </c>
      <c r="AP128" s="1035">
        <v>209</v>
      </c>
      <c r="AQ128" s="1036">
        <v>136.80000000000001</v>
      </c>
      <c r="AR128" s="1036">
        <v>162.19999999999999</v>
      </c>
      <c r="AS128" s="1036">
        <v>156</v>
      </c>
      <c r="AT128" s="1039">
        <v>182</v>
      </c>
      <c r="AU128" s="1036">
        <v>200</v>
      </c>
      <c r="AV128" s="1036">
        <v>192</v>
      </c>
      <c r="AW128" s="1036">
        <v>58</v>
      </c>
      <c r="AX128" s="1036">
        <v>61</v>
      </c>
      <c r="AY128" s="1036">
        <v>124</v>
      </c>
      <c r="AZ128" s="1036">
        <v>154</v>
      </c>
    </row>
    <row r="129" spans="1:52" s="8" customFormat="1" ht="21.6" thickBot="1">
      <c r="A129" s="17"/>
      <c r="B129" s="17"/>
      <c r="C129" s="469"/>
      <c r="D129" s="469"/>
      <c r="E129" s="527"/>
      <c r="F129" s="469"/>
      <c r="G129" s="469"/>
      <c r="H129" s="469"/>
      <c r="N129" s="340"/>
      <c r="O129" s="8" t="s">
        <v>328</v>
      </c>
      <c r="P129" s="8" t="s">
        <v>329</v>
      </c>
      <c r="R129" s="8">
        <v>4.5999999999999996</v>
      </c>
      <c r="W129" s="8" t="s">
        <v>303</v>
      </c>
      <c r="Y129" s="395">
        <f>(R127-Y126)/Y126</f>
        <v>2.3834196891191715</v>
      </c>
      <c r="Z129" s="392" t="s">
        <v>302</v>
      </c>
      <c r="AA129" s="117"/>
      <c r="AB129" s="117"/>
      <c r="AC129" s="117"/>
      <c r="AD129" s="117"/>
      <c r="AT129" s="332"/>
    </row>
    <row r="130" spans="1:52" s="8" customFormat="1" ht="23.4" thickBot="1">
      <c r="A130" s="119">
        <v>119</v>
      </c>
      <c r="B130" s="906" t="s">
        <v>123</v>
      </c>
      <c r="C130" s="640"/>
      <c r="D130" s="641"/>
      <c r="E130" s="642" t="s">
        <v>885</v>
      </c>
      <c r="F130" s="643"/>
      <c r="G130" s="644" t="s">
        <v>35</v>
      </c>
      <c r="H130" s="645"/>
      <c r="I130" s="169"/>
      <c r="J130" s="132"/>
      <c r="K130" s="107">
        <v>30</v>
      </c>
      <c r="L130" s="108" t="s">
        <v>39</v>
      </c>
      <c r="M130" s="109"/>
      <c r="N130" s="340" t="s">
        <v>540</v>
      </c>
      <c r="R130" s="8">
        <v>0</v>
      </c>
      <c r="AI130" s="305">
        <v>450</v>
      </c>
      <c r="AT130" s="332"/>
    </row>
    <row r="131" spans="1:52" s="8" customFormat="1" ht="30.6" thickBot="1">
      <c r="A131" s="64" t="s">
        <v>124</v>
      </c>
      <c r="B131" s="13" t="s">
        <v>364</v>
      </c>
      <c r="C131" s="479" t="s">
        <v>701</v>
      </c>
      <c r="D131" s="623" t="s">
        <v>217</v>
      </c>
      <c r="E131" s="517" t="s">
        <v>750</v>
      </c>
      <c r="F131" s="505">
        <v>75</v>
      </c>
      <c r="G131" s="610">
        <f>H131*0.2</f>
        <v>47.800000000000004</v>
      </c>
      <c r="H131" s="465">
        <v>239</v>
      </c>
      <c r="I131" s="167"/>
      <c r="J131" s="27">
        <v>258</v>
      </c>
      <c r="K131" s="96">
        <v>8</v>
      </c>
      <c r="L131" s="96">
        <v>18</v>
      </c>
      <c r="M131" s="46">
        <v>780</v>
      </c>
      <c r="N131" s="340"/>
      <c r="O131" s="1355" t="s">
        <v>123</v>
      </c>
      <c r="P131" s="1356"/>
      <c r="Q131" s="1357"/>
      <c r="R131" s="279" t="s">
        <v>262</v>
      </c>
      <c r="T131" s="1168" t="s">
        <v>268</v>
      </c>
      <c r="U131" s="1169"/>
      <c r="V131" s="1169"/>
      <c r="W131" s="1170"/>
      <c r="Y131" s="1232" t="s">
        <v>269</v>
      </c>
      <c r="Z131" s="1233"/>
      <c r="AF131" s="1224" t="s">
        <v>366</v>
      </c>
      <c r="AG131" s="1225"/>
      <c r="AH131" s="1225"/>
      <c r="AI131" s="1226"/>
      <c r="AO131" s="1389" t="s">
        <v>415</v>
      </c>
      <c r="AP131" s="1389"/>
      <c r="AQ131" s="1389"/>
      <c r="AR131" s="1389"/>
      <c r="AS131" s="1389"/>
      <c r="AT131" s="1389"/>
      <c r="AU131" s="1389"/>
      <c r="AV131" s="1389"/>
      <c r="AW131" s="1389"/>
      <c r="AX131" s="1389"/>
      <c r="AY131" s="1389"/>
      <c r="AZ131" s="1389"/>
    </row>
    <row r="132" spans="1:52" s="8" customFormat="1" ht="21.6" thickBot="1">
      <c r="A132" s="115" t="s">
        <v>125</v>
      </c>
      <c r="B132" s="13"/>
      <c r="C132" s="479"/>
      <c r="D132" s="623"/>
      <c r="E132" s="517"/>
      <c r="F132" s="505"/>
      <c r="G132" s="610">
        <f>J132*0.2</f>
        <v>0</v>
      </c>
      <c r="H132" s="465">
        <f>G132/0.2</f>
        <v>0</v>
      </c>
      <c r="I132" s="167"/>
      <c r="J132" s="27">
        <f t="shared" ref="J132:J133" si="107">(K132*$K$130)+L132</f>
        <v>0</v>
      </c>
      <c r="K132" s="96"/>
      <c r="L132" s="96"/>
      <c r="M132" s="46"/>
      <c r="N132" s="340"/>
      <c r="O132" s="1190" t="s">
        <v>298</v>
      </c>
      <c r="P132" s="1191"/>
      <c r="Q132" s="1192"/>
      <c r="R132" s="220">
        <v>3.2</v>
      </c>
      <c r="T132" s="1165" t="s">
        <v>299</v>
      </c>
      <c r="U132" s="1166"/>
      <c r="V132" s="1167"/>
      <c r="W132" s="309">
        <v>9.1999999999999993</v>
      </c>
      <c r="Y132" s="1234" t="s">
        <v>270</v>
      </c>
      <c r="Z132" s="1235"/>
      <c r="AA132" s="1238" t="s">
        <v>271</v>
      </c>
      <c r="AB132" s="319"/>
      <c r="AC132" s="321"/>
      <c r="AD132" s="321"/>
      <c r="AF132" s="1227"/>
      <c r="AG132" s="1228"/>
      <c r="AH132" s="1228"/>
      <c r="AI132" s="1229"/>
      <c r="AJ132" s="1135">
        <f>(R135-(AJ134*AA134))/(AJ134*AA134)</f>
        <v>3.7446808510638299</v>
      </c>
      <c r="AO132" s="968" t="s">
        <v>396</v>
      </c>
      <c r="AP132" s="968" t="s">
        <v>397</v>
      </c>
      <c r="AQ132" s="968" t="s">
        <v>398</v>
      </c>
      <c r="AR132" s="968" t="s">
        <v>399</v>
      </c>
      <c r="AS132" s="968" t="s">
        <v>400</v>
      </c>
      <c r="AT132" s="969" t="s">
        <v>375</v>
      </c>
      <c r="AU132" s="968" t="s">
        <v>376</v>
      </c>
      <c r="AV132" s="968" t="s">
        <v>401</v>
      </c>
      <c r="AW132" s="968" t="s">
        <v>402</v>
      </c>
      <c r="AX132" s="968" t="s">
        <v>403</v>
      </c>
      <c r="AY132" s="968" t="s">
        <v>404</v>
      </c>
      <c r="AZ132" s="968" t="s">
        <v>405</v>
      </c>
    </row>
    <row r="133" spans="1:52" s="8" customFormat="1" ht="22.2" thickTop="1" thickBot="1">
      <c r="A133" s="115"/>
      <c r="B133" s="13"/>
      <c r="C133" s="479"/>
      <c r="D133" s="623"/>
      <c r="E133" s="517"/>
      <c r="F133" s="505"/>
      <c r="G133" s="610">
        <f>J133*0.2</f>
        <v>0</v>
      </c>
      <c r="H133" s="465">
        <f>G133/0.2</f>
        <v>0</v>
      </c>
      <c r="I133" s="167"/>
      <c r="J133" s="27">
        <f t="shared" si="107"/>
        <v>0</v>
      </c>
      <c r="K133" s="96"/>
      <c r="L133" s="96"/>
      <c r="M133" s="46"/>
      <c r="N133" s="340"/>
      <c r="O133" s="1165" t="s">
        <v>299</v>
      </c>
      <c r="P133" s="1166"/>
      <c r="Q133" s="1167"/>
      <c r="R133" s="158"/>
      <c r="T133" s="305" t="s">
        <v>337</v>
      </c>
      <c r="Y133" s="1236"/>
      <c r="Z133" s="1237"/>
      <c r="AA133" s="1239"/>
      <c r="AB133" s="319"/>
      <c r="AC133" s="1240" t="s">
        <v>272</v>
      </c>
      <c r="AD133" s="1241"/>
      <c r="AF133" s="999" t="s">
        <v>679</v>
      </c>
      <c r="AG133" s="960" t="s">
        <v>680</v>
      </c>
      <c r="AH133" s="1003" t="s">
        <v>268</v>
      </c>
      <c r="AI133" s="959" t="s">
        <v>681</v>
      </c>
      <c r="AJ133" s="8" t="s">
        <v>622</v>
      </c>
      <c r="AO133" s="497">
        <v>36</v>
      </c>
      <c r="AP133" s="497">
        <v>58</v>
      </c>
      <c r="AQ133" s="497">
        <v>73</v>
      </c>
      <c r="AR133" s="497">
        <v>35</v>
      </c>
      <c r="AS133" s="497">
        <v>62</v>
      </c>
      <c r="AT133" s="970">
        <v>82</v>
      </c>
      <c r="AU133" s="497">
        <v>94</v>
      </c>
      <c r="AV133" s="497">
        <v>122</v>
      </c>
      <c r="AW133" s="497">
        <v>80</v>
      </c>
      <c r="AX133" s="497">
        <v>45</v>
      </c>
      <c r="AY133" s="497">
        <v>109</v>
      </c>
      <c r="AZ133" s="497">
        <v>220</v>
      </c>
    </row>
    <row r="134" spans="1:52" s="8" customFormat="1" ht="31.2" thickTop="1" thickBot="1">
      <c r="A134" s="115"/>
      <c r="B134" s="13"/>
      <c r="C134" s="479"/>
      <c r="D134" s="623"/>
      <c r="E134" s="517"/>
      <c r="F134" s="505"/>
      <c r="G134" s="610">
        <f>J134*0.2</f>
        <v>0</v>
      </c>
      <c r="H134" s="465">
        <f>G134/0.2</f>
        <v>0</v>
      </c>
      <c r="I134" s="167"/>
      <c r="J134" s="27">
        <f t="shared" ref="J134" si="108">(K134*$K$130)+L134</f>
        <v>0</v>
      </c>
      <c r="K134" s="96"/>
      <c r="L134" s="96"/>
      <c r="M134" s="46"/>
      <c r="N134" s="340"/>
      <c r="O134" s="1289" t="s">
        <v>242</v>
      </c>
      <c r="P134" s="1290"/>
      <c r="Q134" s="1291"/>
      <c r="R134" s="221">
        <f>SUM(R132:R133)</f>
        <v>3.2</v>
      </c>
      <c r="T134" s="305" t="s">
        <v>338</v>
      </c>
      <c r="Y134" s="1182">
        <f>R132+W132</f>
        <v>12.399999999999999</v>
      </c>
      <c r="Z134" s="1183"/>
      <c r="AA134" s="318">
        <v>93</v>
      </c>
      <c r="AC134" s="1292">
        <f>Y134/AA134</f>
        <v>0.13333333333333333</v>
      </c>
      <c r="AD134" s="1293"/>
      <c r="AF134" s="1004">
        <v>0.12043010752688171</v>
      </c>
      <c r="AG134" s="1005">
        <v>2.1505376344086023E-2</v>
      </c>
      <c r="AH134" s="1005">
        <v>0.12903225806451613</v>
      </c>
      <c r="AI134" s="1001">
        <v>0.13333333333333333</v>
      </c>
      <c r="AJ134" s="229">
        <f>AVERAGE(AF134:AI134)</f>
        <v>0.1010752688172043</v>
      </c>
      <c r="AO134" s="1389" t="s">
        <v>434</v>
      </c>
      <c r="AP134" s="1389"/>
      <c r="AQ134" s="1389"/>
      <c r="AR134" s="1389"/>
      <c r="AS134" s="1389"/>
      <c r="AT134" s="1389"/>
      <c r="AU134" s="1389"/>
      <c r="AV134" s="1389"/>
      <c r="AW134" s="1389"/>
      <c r="AX134" s="1389"/>
      <c r="AY134" s="1389"/>
      <c r="AZ134" s="1389"/>
    </row>
    <row r="135" spans="1:52" s="117" customFormat="1" ht="27.75" customHeight="1" thickBot="1">
      <c r="A135" s="8"/>
      <c r="B135" s="13"/>
      <c r="C135" s="479"/>
      <c r="D135" s="623"/>
      <c r="E135" s="517"/>
      <c r="F135" s="505"/>
      <c r="G135" s="610">
        <f>J135*0.2</f>
        <v>0</v>
      </c>
      <c r="H135" s="465">
        <f>G135/0.2</f>
        <v>0</v>
      </c>
      <c r="I135" s="167"/>
      <c r="J135" s="27">
        <f t="shared" ref="J135" si="109">(K135*$K$130)+L135</f>
        <v>0</v>
      </c>
      <c r="K135" s="96"/>
      <c r="L135" s="96"/>
      <c r="M135" s="46"/>
      <c r="N135" s="340"/>
      <c r="O135" s="1175" t="s">
        <v>243</v>
      </c>
      <c r="P135" s="1176"/>
      <c r="Q135" s="1177"/>
      <c r="R135" s="222">
        <f>$G$136-R134</f>
        <v>44.6</v>
      </c>
      <c r="S135" s="390"/>
      <c r="T135" s="390"/>
      <c r="Y135" s="1256"/>
      <c r="Z135" s="1162"/>
      <c r="AA135" s="332">
        <v>92.8</v>
      </c>
      <c r="AB135" s="8"/>
      <c r="AC135" s="8"/>
      <c r="AD135" s="8"/>
      <c r="AO135" s="968" t="s">
        <v>396</v>
      </c>
      <c r="AP135" s="968" t="s">
        <v>397</v>
      </c>
      <c r="AQ135" s="968" t="s">
        <v>398</v>
      </c>
      <c r="AR135" s="968" t="s">
        <v>399</v>
      </c>
      <c r="AS135" s="968" t="s">
        <v>400</v>
      </c>
      <c r="AT135" s="969" t="s">
        <v>375</v>
      </c>
      <c r="AU135" s="968" t="s">
        <v>376</v>
      </c>
      <c r="AV135" s="968" t="s">
        <v>401</v>
      </c>
      <c r="AW135" s="968" t="s">
        <v>402</v>
      </c>
      <c r="AX135" s="968" t="s">
        <v>403</v>
      </c>
      <c r="AY135" s="968" t="s">
        <v>404</v>
      </c>
      <c r="AZ135" s="968" t="s">
        <v>405</v>
      </c>
    </row>
    <row r="136" spans="1:52" s="8" customFormat="1" ht="21.6" thickBot="1">
      <c r="A136" s="117"/>
      <c r="B136" s="117"/>
      <c r="C136" s="611"/>
      <c r="D136" s="612"/>
      <c r="E136" s="613"/>
      <c r="F136" s="614">
        <f>SUM(F131:F135)</f>
        <v>75</v>
      </c>
      <c r="G136" s="615">
        <f>SUM(G131:G135)</f>
        <v>47.800000000000004</v>
      </c>
      <c r="H136" s="596">
        <f>SUM(H131:H135)</f>
        <v>239</v>
      </c>
      <c r="I136" s="201"/>
      <c r="J136" s="61">
        <f>SUM(J131:J135)</f>
        <v>258</v>
      </c>
      <c r="K136" s="117"/>
      <c r="L136" s="117"/>
      <c r="M136" s="117">
        <f>57-47</f>
        <v>10</v>
      </c>
      <c r="N136" s="340"/>
      <c r="O136" s="8" t="s">
        <v>318</v>
      </c>
      <c r="Q136" s="8">
        <v>72</v>
      </c>
      <c r="S136" s="299"/>
      <c r="T136" s="299"/>
      <c r="W136" s="8" t="s">
        <v>301</v>
      </c>
      <c r="X136" s="117"/>
      <c r="Y136" s="396">
        <f>R135/Y134</f>
        <v>3.5967741935483875</v>
      </c>
      <c r="Z136" s="392" t="s">
        <v>302</v>
      </c>
      <c r="AO136" s="1035">
        <v>58</v>
      </c>
      <c r="AP136" s="1035">
        <v>122</v>
      </c>
      <c r="AQ136" s="1036">
        <v>80</v>
      </c>
      <c r="AR136" s="1036">
        <v>73.599999999999994</v>
      </c>
      <c r="AS136" s="1036">
        <v>79</v>
      </c>
      <c r="AT136" s="1039">
        <v>53</v>
      </c>
      <c r="AU136" s="1036">
        <v>87</v>
      </c>
      <c r="AV136" s="1036">
        <v>86</v>
      </c>
      <c r="AW136" s="1036">
        <v>47</v>
      </c>
      <c r="AX136" s="1036">
        <v>30</v>
      </c>
      <c r="AY136" s="1036">
        <v>76</v>
      </c>
      <c r="AZ136" s="1036">
        <v>100</v>
      </c>
    </row>
    <row r="137" spans="1:52" s="8" customFormat="1" ht="21.6" thickBot="1">
      <c r="A137" s="17"/>
      <c r="B137" s="17"/>
      <c r="C137" s="469"/>
      <c r="D137" s="469"/>
      <c r="E137" s="527"/>
      <c r="F137" s="469"/>
      <c r="G137" s="469"/>
      <c r="H137" s="469"/>
      <c r="N137" s="340"/>
      <c r="O137" s="8" t="s">
        <v>328</v>
      </c>
      <c r="P137" s="8" t="s">
        <v>329</v>
      </c>
      <c r="R137" s="8">
        <v>11.2</v>
      </c>
      <c r="T137" s="299"/>
      <c r="W137" s="8" t="s">
        <v>303</v>
      </c>
      <c r="Y137" s="395">
        <f>(R135-Y134)/Y134</f>
        <v>2.5967741935483875</v>
      </c>
      <c r="Z137" s="392" t="s">
        <v>302</v>
      </c>
      <c r="AA137" s="117"/>
      <c r="AB137" s="117"/>
      <c r="AC137" s="117"/>
      <c r="AD137" s="117"/>
      <c r="AT137" s="332"/>
    </row>
    <row r="138" spans="1:52" s="8" customFormat="1" ht="23.4" thickBot="1">
      <c r="A138" s="119">
        <v>121</v>
      </c>
      <c r="B138" s="906" t="s">
        <v>110</v>
      </c>
      <c r="C138" s="640"/>
      <c r="D138" s="641"/>
      <c r="E138" s="642" t="s">
        <v>885</v>
      </c>
      <c r="F138" s="643"/>
      <c r="G138" s="644" t="s">
        <v>35</v>
      </c>
      <c r="H138" s="645"/>
      <c r="I138" s="169"/>
      <c r="J138" s="132"/>
      <c r="K138" s="107">
        <v>30</v>
      </c>
      <c r="L138" s="108" t="s">
        <v>39</v>
      </c>
      <c r="M138" s="109"/>
      <c r="N138" s="340" t="s">
        <v>540</v>
      </c>
      <c r="AT138" s="332"/>
    </row>
    <row r="139" spans="1:52" s="8" customFormat="1" ht="21.6" thickBot="1">
      <c r="A139" s="64" t="s">
        <v>111</v>
      </c>
      <c r="B139" s="13"/>
      <c r="C139" s="479" t="s">
        <v>701</v>
      </c>
      <c r="D139" s="623" t="s">
        <v>219</v>
      </c>
      <c r="E139" s="517" t="s">
        <v>747</v>
      </c>
      <c r="F139" s="505">
        <v>150</v>
      </c>
      <c r="G139" s="610">
        <f>H139*0.2</f>
        <v>25.6</v>
      </c>
      <c r="H139" s="465">
        <v>128</v>
      </c>
      <c r="I139" s="167"/>
      <c r="J139" s="82">
        <v>527</v>
      </c>
      <c r="K139" s="96">
        <v>17</v>
      </c>
      <c r="L139" s="96">
        <v>17</v>
      </c>
      <c r="M139" s="46">
        <v>388</v>
      </c>
      <c r="N139" s="340"/>
      <c r="AI139" s="305">
        <v>270</v>
      </c>
      <c r="AT139" s="332"/>
    </row>
    <row r="140" spans="1:52" s="8" customFormat="1" ht="30.6" thickBot="1">
      <c r="A140" s="64" t="s">
        <v>112</v>
      </c>
      <c r="B140" s="13"/>
      <c r="C140" s="479" t="s">
        <v>790</v>
      </c>
      <c r="D140" s="623" t="s">
        <v>219</v>
      </c>
      <c r="E140" s="517" t="s">
        <v>813</v>
      </c>
      <c r="F140" s="505">
        <v>150</v>
      </c>
      <c r="G140" s="610">
        <f t="shared" ref="G140:G142" si="110">J140*0.2</f>
        <v>105.60000000000001</v>
      </c>
      <c r="H140" s="465">
        <f t="shared" ref="H140:H141" si="111">G140/0.2</f>
        <v>528</v>
      </c>
      <c r="I140" s="167"/>
      <c r="J140" s="82">
        <f t="shared" ref="J140:J142" si="112">(K140*$K$138)+L140</f>
        <v>528</v>
      </c>
      <c r="K140" s="96">
        <v>17</v>
      </c>
      <c r="L140" s="96">
        <v>18</v>
      </c>
      <c r="M140" s="46"/>
      <c r="N140" s="340"/>
      <c r="O140" s="1355" t="s">
        <v>110</v>
      </c>
      <c r="P140" s="1356"/>
      <c r="Q140" s="1357"/>
      <c r="R140" s="279" t="s">
        <v>262</v>
      </c>
      <c r="T140" s="1168" t="s">
        <v>268</v>
      </c>
      <c r="U140" s="1169"/>
      <c r="V140" s="1169"/>
      <c r="W140" s="1170"/>
      <c r="Y140" s="1232" t="s">
        <v>269</v>
      </c>
      <c r="Z140" s="1233"/>
      <c r="AF140" s="1224" t="s">
        <v>366</v>
      </c>
      <c r="AG140" s="1225"/>
      <c r="AH140" s="1225"/>
      <c r="AI140" s="1226"/>
      <c r="AO140" s="1389" t="s">
        <v>416</v>
      </c>
      <c r="AP140" s="1389"/>
      <c r="AQ140" s="1389"/>
      <c r="AR140" s="1389"/>
      <c r="AS140" s="1389"/>
      <c r="AT140" s="1389"/>
      <c r="AU140" s="1389"/>
      <c r="AV140" s="1389"/>
      <c r="AW140" s="1389"/>
      <c r="AX140" s="1389"/>
      <c r="AY140" s="1389"/>
      <c r="AZ140" s="1389"/>
    </row>
    <row r="141" spans="1:52" s="8" customFormat="1" ht="21.6" thickBot="1">
      <c r="A141" s="115"/>
      <c r="B141" s="13"/>
      <c r="C141" s="479"/>
      <c r="D141" s="623"/>
      <c r="E141" s="517"/>
      <c r="F141" s="505"/>
      <c r="G141" s="610">
        <f t="shared" si="110"/>
        <v>0</v>
      </c>
      <c r="H141" s="465">
        <f t="shared" si="111"/>
        <v>0</v>
      </c>
      <c r="I141" s="167"/>
      <c r="J141" s="82">
        <f t="shared" si="112"/>
        <v>0</v>
      </c>
      <c r="K141" s="96"/>
      <c r="L141" s="96"/>
      <c r="M141" s="46"/>
      <c r="N141" s="340"/>
      <c r="O141" s="1190" t="s">
        <v>298</v>
      </c>
      <c r="P141" s="1191"/>
      <c r="Q141" s="1192"/>
      <c r="R141" s="220">
        <v>21.6</v>
      </c>
      <c r="T141" s="1165" t="s">
        <v>299</v>
      </c>
      <c r="U141" s="1166"/>
      <c r="V141" s="1167"/>
      <c r="W141" s="309">
        <v>42.2</v>
      </c>
      <c r="Y141" s="1234" t="s">
        <v>270</v>
      </c>
      <c r="Z141" s="1235"/>
      <c r="AA141" s="1238" t="s">
        <v>271</v>
      </c>
      <c r="AB141" s="319"/>
      <c r="AC141" s="321"/>
      <c r="AD141" s="321"/>
      <c r="AF141" s="1227"/>
      <c r="AG141" s="1228"/>
      <c r="AH141" s="1228"/>
      <c r="AI141" s="1229"/>
      <c r="AJ141" s="1135">
        <f>(R144-(AJ143*AA143))/(AJ143*AA143)</f>
        <v>1.3468950749464672</v>
      </c>
      <c r="AO141" s="968" t="s">
        <v>396</v>
      </c>
      <c r="AP141" s="968" t="s">
        <v>397</v>
      </c>
      <c r="AQ141" s="968" t="s">
        <v>398</v>
      </c>
      <c r="AR141" s="968" t="s">
        <v>399</v>
      </c>
      <c r="AS141" s="968" t="s">
        <v>400</v>
      </c>
      <c r="AT141" s="969" t="s">
        <v>375</v>
      </c>
      <c r="AU141" s="968" t="s">
        <v>376</v>
      </c>
      <c r="AV141" s="968" t="s">
        <v>401</v>
      </c>
      <c r="AW141" s="968" t="s">
        <v>402</v>
      </c>
      <c r="AX141" s="968" t="s">
        <v>403</v>
      </c>
      <c r="AY141" s="968" t="s">
        <v>404</v>
      </c>
      <c r="AZ141" s="968" t="s">
        <v>405</v>
      </c>
    </row>
    <row r="142" spans="1:52" s="8" customFormat="1" ht="22.2" thickTop="1" thickBot="1">
      <c r="A142" s="115"/>
      <c r="B142" s="13"/>
      <c r="C142" s="479"/>
      <c r="D142" s="623"/>
      <c r="E142" s="517"/>
      <c r="F142" s="505"/>
      <c r="G142" s="610">
        <f t="shared" si="110"/>
        <v>0</v>
      </c>
      <c r="H142" s="610">
        <f t="shared" ref="H142" si="113">K142*0.2</f>
        <v>0</v>
      </c>
      <c r="I142" s="167"/>
      <c r="J142" s="82">
        <f t="shared" si="112"/>
        <v>0</v>
      </c>
      <c r="K142" s="96"/>
      <c r="L142" s="96"/>
      <c r="M142" s="46"/>
      <c r="N142" s="340"/>
      <c r="O142" s="1165" t="s">
        <v>299</v>
      </c>
      <c r="P142" s="1166"/>
      <c r="Q142" s="1167"/>
      <c r="R142" s="1114"/>
      <c r="Y142" s="1236"/>
      <c r="Z142" s="1237"/>
      <c r="AA142" s="1239"/>
      <c r="AB142" s="319"/>
      <c r="AC142" s="1240" t="s">
        <v>272</v>
      </c>
      <c r="AD142" s="1241"/>
      <c r="AF142" s="999" t="s">
        <v>679</v>
      </c>
      <c r="AG142" s="960" t="s">
        <v>680</v>
      </c>
      <c r="AH142" s="1003" t="s">
        <v>268</v>
      </c>
      <c r="AI142" s="959" t="s">
        <v>681</v>
      </c>
      <c r="AJ142" s="8" t="s">
        <v>622</v>
      </c>
      <c r="AO142" s="497">
        <v>81</v>
      </c>
      <c r="AP142" s="497">
        <v>147</v>
      </c>
      <c r="AQ142" s="497">
        <v>183</v>
      </c>
      <c r="AR142" s="497">
        <v>164</v>
      </c>
      <c r="AS142" s="497">
        <v>238</v>
      </c>
      <c r="AT142" s="970">
        <v>197</v>
      </c>
      <c r="AU142" s="497">
        <v>277</v>
      </c>
      <c r="AV142" s="497">
        <v>382</v>
      </c>
      <c r="AW142" s="497">
        <v>220</v>
      </c>
      <c r="AX142" s="497">
        <v>138</v>
      </c>
      <c r="AY142" s="497">
        <v>207</v>
      </c>
      <c r="AZ142" s="497">
        <v>195</v>
      </c>
    </row>
    <row r="143" spans="1:52" s="8" customFormat="1" ht="31.2" thickTop="1" thickBot="1">
      <c r="A143" s="115"/>
      <c r="B143" s="13"/>
      <c r="C143" s="479"/>
      <c r="D143" s="623"/>
      <c r="E143" s="517"/>
      <c r="F143" s="505"/>
      <c r="G143" s="610">
        <f t="shared" ref="G143" si="114">J143*0.2</f>
        <v>0</v>
      </c>
      <c r="H143" s="465">
        <f t="shared" ref="H143" si="115">G143/0.2</f>
        <v>0</v>
      </c>
      <c r="I143" s="167"/>
      <c r="J143" s="82">
        <f t="shared" ref="J143" si="116">(K143*$K$138)+L143</f>
        <v>0</v>
      </c>
      <c r="K143" s="96"/>
      <c r="L143" s="96"/>
      <c r="M143" s="46"/>
      <c r="N143" s="340"/>
      <c r="O143" s="1289" t="s">
        <v>242</v>
      </c>
      <c r="P143" s="1290"/>
      <c r="Q143" s="1291"/>
      <c r="R143" s="221">
        <f>SUM(R141:R142)</f>
        <v>21.6</v>
      </c>
      <c r="T143" s="8" t="s">
        <v>348</v>
      </c>
      <c r="U143" s="299"/>
      <c r="Y143" s="1182">
        <f>R141+W141</f>
        <v>63.800000000000004</v>
      </c>
      <c r="Z143" s="1183"/>
      <c r="AA143" s="318">
        <v>98</v>
      </c>
      <c r="AC143" s="1292">
        <f>Y143/AA143</f>
        <v>0.65102040816326534</v>
      </c>
      <c r="AD143" s="1293"/>
      <c r="AF143" s="1004">
        <v>0.48367346938775507</v>
      </c>
      <c r="AG143" s="1005">
        <v>0.28979591836734692</v>
      </c>
      <c r="AH143" s="1005">
        <v>0.48163265306122449</v>
      </c>
      <c r="AI143" s="1001">
        <v>0.65102040816326534</v>
      </c>
      <c r="AJ143" s="229">
        <f>AVERAGE(AF143:AI143)</f>
        <v>0.47653061224489796</v>
      </c>
      <c r="AO143" s="1389" t="s">
        <v>435</v>
      </c>
      <c r="AP143" s="1389"/>
      <c r="AQ143" s="1389"/>
      <c r="AR143" s="1389"/>
      <c r="AS143" s="1389"/>
      <c r="AT143" s="1389"/>
      <c r="AU143" s="1389"/>
      <c r="AV143" s="1389"/>
      <c r="AW143" s="1389"/>
      <c r="AX143" s="1389"/>
      <c r="AY143" s="1389"/>
      <c r="AZ143" s="1389"/>
    </row>
    <row r="144" spans="1:52" s="117" customFormat="1" ht="29.25" customHeight="1" thickBot="1">
      <c r="A144" s="8"/>
      <c r="B144" s="13"/>
      <c r="C144" s="479"/>
      <c r="D144" s="623"/>
      <c r="E144" s="517"/>
      <c r="F144" s="505"/>
      <c r="G144" s="610">
        <f t="shared" ref="G144:H144" si="117">J144*0.2</f>
        <v>0</v>
      </c>
      <c r="H144" s="610">
        <f t="shared" si="117"/>
        <v>0</v>
      </c>
      <c r="I144" s="167"/>
      <c r="J144" s="82">
        <f t="shared" ref="J144" si="118">(K144*$K$138)+L144</f>
        <v>0</v>
      </c>
      <c r="K144" s="96"/>
      <c r="L144" s="96"/>
      <c r="M144" s="46"/>
      <c r="N144" s="340"/>
      <c r="O144" s="1175" t="s">
        <v>243</v>
      </c>
      <c r="P144" s="1176"/>
      <c r="Q144" s="1177"/>
      <c r="R144" s="222">
        <f>$G$145-R143</f>
        <v>109.60000000000002</v>
      </c>
      <c r="S144" s="390"/>
      <c r="T144" s="390" t="s">
        <v>349</v>
      </c>
      <c r="Y144" s="1256"/>
      <c r="Z144" s="1162"/>
      <c r="AA144" s="332">
        <v>99</v>
      </c>
      <c r="AB144" s="8"/>
      <c r="AC144" s="8"/>
      <c r="AD144" s="8"/>
      <c r="AO144" s="968" t="s">
        <v>396</v>
      </c>
      <c r="AP144" s="968" t="s">
        <v>397</v>
      </c>
      <c r="AQ144" s="968" t="s">
        <v>398</v>
      </c>
      <c r="AR144" s="968" t="s">
        <v>399</v>
      </c>
      <c r="AS144" s="968" t="s">
        <v>400</v>
      </c>
      <c r="AT144" s="969" t="s">
        <v>375</v>
      </c>
      <c r="AU144" s="968" t="s">
        <v>376</v>
      </c>
      <c r="AV144" s="968" t="s">
        <v>401</v>
      </c>
      <c r="AW144" s="968" t="s">
        <v>402</v>
      </c>
      <c r="AX144" s="968" t="s">
        <v>403</v>
      </c>
      <c r="AY144" s="968" t="s">
        <v>404</v>
      </c>
      <c r="AZ144" s="968" t="s">
        <v>405</v>
      </c>
    </row>
    <row r="145" spans="1:52" s="8" customFormat="1" ht="21.6" thickBot="1">
      <c r="A145" s="117"/>
      <c r="B145" s="117"/>
      <c r="C145" s="453"/>
      <c r="D145" s="632"/>
      <c r="E145" s="613"/>
      <c r="F145" s="614">
        <f>SUM(F139:F144)</f>
        <v>300</v>
      </c>
      <c r="G145" s="615">
        <f>SUM(G139:G144)</f>
        <v>131.20000000000002</v>
      </c>
      <c r="H145" s="595">
        <f>SUM(H139:H144)</f>
        <v>656</v>
      </c>
      <c r="I145" s="201"/>
      <c r="J145" s="61">
        <f>SUM(J139:J144)</f>
        <v>1055</v>
      </c>
      <c r="K145" s="117"/>
      <c r="M145" s="1157">
        <f>183-131</f>
        <v>52</v>
      </c>
      <c r="N145" s="340"/>
      <c r="O145" s="8" t="s">
        <v>318</v>
      </c>
      <c r="Q145" s="8">
        <v>166</v>
      </c>
      <c r="T145" s="299"/>
      <c r="U145" s="8">
        <f>470/0.2</f>
        <v>2350</v>
      </c>
      <c r="V145" s="8">
        <v>4</v>
      </c>
      <c r="W145" s="8" t="s">
        <v>301</v>
      </c>
      <c r="X145" s="117"/>
      <c r="Y145" s="396">
        <f>R144/Y143</f>
        <v>1.717868338557994</v>
      </c>
      <c r="Z145" s="392" t="s">
        <v>302</v>
      </c>
      <c r="AO145" s="1035">
        <v>141</v>
      </c>
      <c r="AP145" s="1035">
        <v>249</v>
      </c>
      <c r="AQ145" s="1036">
        <v>146</v>
      </c>
      <c r="AR145" s="1036">
        <v>170.6</v>
      </c>
      <c r="AS145" s="1036">
        <v>173</v>
      </c>
      <c r="AT145" s="1039">
        <v>188</v>
      </c>
      <c r="AU145" s="1036">
        <v>163</v>
      </c>
      <c r="AV145" s="1036">
        <v>210</v>
      </c>
      <c r="AW145" s="1036">
        <v>104</v>
      </c>
      <c r="AX145" s="1036">
        <v>107</v>
      </c>
      <c r="AY145" s="1036">
        <v>115</v>
      </c>
      <c r="AZ145" s="1036">
        <v>187</v>
      </c>
    </row>
    <row r="146" spans="1:52" s="8" customFormat="1" ht="21.6" thickBot="1">
      <c r="A146" s="17"/>
      <c r="B146" s="17"/>
      <c r="C146" s="469"/>
      <c r="D146" s="469"/>
      <c r="E146" s="527"/>
      <c r="F146" s="469"/>
      <c r="G146" s="469"/>
      <c r="H146" s="469"/>
      <c r="N146" s="340"/>
      <c r="O146" s="8" t="s">
        <v>328</v>
      </c>
      <c r="P146" s="8" t="s">
        <v>329</v>
      </c>
      <c r="R146" s="8">
        <v>5.6</v>
      </c>
      <c r="U146" s="8">
        <f>U145*V146/V145</f>
        <v>1762.5</v>
      </c>
      <c r="V146" s="8">
        <v>3</v>
      </c>
      <c r="W146" s="8" t="s">
        <v>303</v>
      </c>
      <c r="Y146" s="395">
        <f>(R144-Y143)/Y143</f>
        <v>0.71786833855799392</v>
      </c>
      <c r="Z146" s="392" t="s">
        <v>302</v>
      </c>
      <c r="AA146" s="117"/>
      <c r="AB146" s="117"/>
      <c r="AC146" s="117"/>
      <c r="AD146" s="117"/>
      <c r="AT146" s="332"/>
    </row>
    <row r="147" spans="1:52" s="8" customFormat="1" ht="23.4" thickBot="1">
      <c r="A147" s="119">
        <v>124</v>
      </c>
      <c r="B147" s="906" t="s">
        <v>531</v>
      </c>
      <c r="C147" s="640"/>
      <c r="D147" s="641"/>
      <c r="E147" s="642" t="s">
        <v>885</v>
      </c>
      <c r="F147" s="643"/>
      <c r="G147" s="671" t="s">
        <v>35</v>
      </c>
      <c r="H147" s="645"/>
      <c r="I147" s="169"/>
      <c r="J147" s="132"/>
      <c r="K147" s="107">
        <v>30</v>
      </c>
      <c r="L147" s="108" t="s">
        <v>39</v>
      </c>
      <c r="M147" s="109"/>
      <c r="N147" s="340" t="s">
        <v>540</v>
      </c>
      <c r="AT147" s="332"/>
    </row>
    <row r="148" spans="1:52" s="8" customFormat="1" ht="30.6" thickBot="1">
      <c r="A148" s="64" t="s">
        <v>127</v>
      </c>
      <c r="B148" s="894"/>
      <c r="C148" s="479" t="s">
        <v>547</v>
      </c>
      <c r="D148" s="623" t="s">
        <v>219</v>
      </c>
      <c r="E148" s="517" t="s">
        <v>548</v>
      </c>
      <c r="F148" s="505">
        <v>150</v>
      </c>
      <c r="G148" s="650">
        <f>H148*0.2</f>
        <v>37.800000000000004</v>
      </c>
      <c r="H148" s="651">
        <v>189</v>
      </c>
      <c r="I148" s="167"/>
      <c r="J148" s="59">
        <f t="shared" ref="J148:J150" si="119">(K148*$K$147)+L148</f>
        <v>511</v>
      </c>
      <c r="K148" s="96">
        <v>17</v>
      </c>
      <c r="L148" s="96">
        <v>1</v>
      </c>
      <c r="M148" s="13">
        <v>228</v>
      </c>
      <c r="N148" s="340"/>
      <c r="O148" s="1355" t="s">
        <v>126</v>
      </c>
      <c r="P148" s="1356"/>
      <c r="Q148" s="1357"/>
      <c r="R148" s="279" t="s">
        <v>262</v>
      </c>
      <c r="T148" s="1168" t="s">
        <v>268</v>
      </c>
      <c r="U148" s="1169"/>
      <c r="V148" s="1169"/>
      <c r="W148" s="1170"/>
      <c r="Y148" s="1232" t="s">
        <v>269</v>
      </c>
      <c r="Z148" s="1233"/>
      <c r="AF148" s="1224" t="s">
        <v>366</v>
      </c>
      <c r="AG148" s="1225"/>
      <c r="AH148" s="1225"/>
      <c r="AI148" s="1226"/>
      <c r="AO148" s="1389" t="s">
        <v>417</v>
      </c>
      <c r="AP148" s="1389"/>
      <c r="AQ148" s="1389"/>
      <c r="AR148" s="1389"/>
      <c r="AS148" s="1389"/>
      <c r="AT148" s="1389"/>
      <c r="AU148" s="1389"/>
      <c r="AV148" s="1389"/>
      <c r="AW148" s="1389"/>
      <c r="AX148" s="1389"/>
      <c r="AY148" s="1389"/>
      <c r="AZ148" s="1389"/>
    </row>
    <row r="149" spans="1:52" s="8" customFormat="1" ht="21.6" thickBot="1">
      <c r="A149" s="64" t="s">
        <v>128</v>
      </c>
      <c r="B149" s="894"/>
      <c r="C149" s="915" t="s">
        <v>557</v>
      </c>
      <c r="D149" s="648" t="s">
        <v>217</v>
      </c>
      <c r="E149" s="649" t="s">
        <v>558</v>
      </c>
      <c r="F149" s="582">
        <v>75</v>
      </c>
      <c r="G149" s="650">
        <f>H149*0.2</f>
        <v>44.2</v>
      </c>
      <c r="H149" s="651">
        <v>221</v>
      </c>
      <c r="I149" s="167"/>
      <c r="J149" s="59">
        <f t="shared" si="119"/>
        <v>251</v>
      </c>
      <c r="K149" s="31">
        <v>8</v>
      </c>
      <c r="L149" s="31">
        <v>11</v>
      </c>
      <c r="N149" s="340"/>
      <c r="O149" s="1190" t="s">
        <v>298</v>
      </c>
      <c r="P149" s="1191"/>
      <c r="Q149" s="1192"/>
      <c r="R149" s="220">
        <v>0</v>
      </c>
      <c r="T149" s="1165" t="s">
        <v>299</v>
      </c>
      <c r="U149" s="1166"/>
      <c r="V149" s="1167"/>
      <c r="W149" s="309">
        <v>7.8</v>
      </c>
      <c r="Y149" s="1234" t="s">
        <v>270</v>
      </c>
      <c r="Z149" s="1235"/>
      <c r="AA149" s="1238" t="s">
        <v>271</v>
      </c>
      <c r="AB149" s="319"/>
      <c r="AC149" s="321"/>
      <c r="AD149" s="321"/>
      <c r="AF149" s="1227"/>
      <c r="AG149" s="1228"/>
      <c r="AH149" s="1228"/>
      <c r="AI149" s="1229"/>
      <c r="AJ149" s="1135">
        <f>(R152-(AJ151*AA151))/(AJ151*AA151)</f>
        <v>22.428571428571427</v>
      </c>
      <c r="AO149" s="968" t="s">
        <v>396</v>
      </c>
      <c r="AP149" s="968" t="s">
        <v>397</v>
      </c>
      <c r="AQ149" s="968" t="s">
        <v>398</v>
      </c>
      <c r="AR149" s="968" t="s">
        <v>399</v>
      </c>
      <c r="AS149" s="968" t="s">
        <v>400</v>
      </c>
      <c r="AT149" s="969" t="s">
        <v>375</v>
      </c>
      <c r="AU149" s="968" t="s">
        <v>376</v>
      </c>
      <c r="AV149" s="968" t="s">
        <v>401</v>
      </c>
      <c r="AW149" s="968" t="s">
        <v>402</v>
      </c>
      <c r="AX149" s="968" t="s">
        <v>403</v>
      </c>
      <c r="AY149" s="968" t="s">
        <v>404</v>
      </c>
      <c r="AZ149" s="968" t="s">
        <v>405</v>
      </c>
    </row>
    <row r="150" spans="1:52" s="8" customFormat="1" ht="22.2" thickTop="1" thickBot="1">
      <c r="A150" s="115"/>
      <c r="B150" s="13"/>
      <c r="C150" s="915"/>
      <c r="D150" s="648"/>
      <c r="E150" s="649"/>
      <c r="F150" s="582"/>
      <c r="G150" s="650">
        <f t="shared" ref="G150" si="120">J150*0.2</f>
        <v>0</v>
      </c>
      <c r="H150" s="651">
        <f t="shared" ref="H150" si="121">G150/0.2</f>
        <v>0</v>
      </c>
      <c r="I150" s="167"/>
      <c r="J150" s="59">
        <f t="shared" si="119"/>
        <v>0</v>
      </c>
      <c r="K150" s="31"/>
      <c r="L150" s="31"/>
      <c r="N150" s="340"/>
      <c r="O150" s="1165" t="s">
        <v>299</v>
      </c>
      <c r="P150" s="1166"/>
      <c r="Q150" s="1167"/>
      <c r="R150" s="1114"/>
      <c r="Y150" s="1236"/>
      <c r="Z150" s="1237"/>
      <c r="AA150" s="1239"/>
      <c r="AB150" s="319"/>
      <c r="AC150" s="1240" t="s">
        <v>272</v>
      </c>
      <c r="AD150" s="1241"/>
      <c r="AF150" s="999" t="s">
        <v>679</v>
      </c>
      <c r="AG150" s="960" t="s">
        <v>680</v>
      </c>
      <c r="AH150" s="1003" t="s">
        <v>268</v>
      </c>
      <c r="AI150" s="959" t="s">
        <v>681</v>
      </c>
      <c r="AJ150" s="8" t="s">
        <v>622</v>
      </c>
      <c r="AO150" s="497">
        <v>0</v>
      </c>
      <c r="AP150" s="497">
        <v>0</v>
      </c>
      <c r="AQ150" s="497">
        <v>0</v>
      </c>
      <c r="AR150" s="497">
        <v>0</v>
      </c>
      <c r="AS150" s="497">
        <v>0</v>
      </c>
      <c r="AT150" s="970">
        <v>108</v>
      </c>
      <c r="AU150" s="497">
        <v>53</v>
      </c>
      <c r="AV150" s="497">
        <v>80</v>
      </c>
      <c r="AW150" s="497">
        <v>12</v>
      </c>
      <c r="AX150" s="497">
        <v>20</v>
      </c>
      <c r="AY150" s="497">
        <v>0</v>
      </c>
      <c r="AZ150" s="497">
        <v>0</v>
      </c>
    </row>
    <row r="151" spans="1:52" s="8" customFormat="1" ht="31.2" thickTop="1" thickBot="1">
      <c r="A151" s="115"/>
      <c r="B151" s="13"/>
      <c r="C151" s="915"/>
      <c r="D151" s="648"/>
      <c r="E151" s="649"/>
      <c r="F151" s="582"/>
      <c r="G151" s="650">
        <f t="shared" ref="G151" si="122">J151*0.2</f>
        <v>0</v>
      </c>
      <c r="H151" s="651">
        <f t="shared" ref="H151" si="123">G151/0.2</f>
        <v>0</v>
      </c>
      <c r="I151" s="167"/>
      <c r="J151" s="59">
        <f t="shared" ref="J151" si="124">(K151*$K$147)+L151</f>
        <v>0</v>
      </c>
      <c r="K151" s="31"/>
      <c r="L151" s="31"/>
      <c r="N151" s="340"/>
      <c r="O151" s="1373" t="s">
        <v>242</v>
      </c>
      <c r="P151" s="1374"/>
      <c r="Q151" s="1375"/>
      <c r="R151" s="221">
        <f>SUM(R149:R150)</f>
        <v>0</v>
      </c>
      <c r="Y151" s="1182">
        <f>R149+W149</f>
        <v>7.8</v>
      </c>
      <c r="Z151" s="1183"/>
      <c r="AA151" s="318">
        <v>95</v>
      </c>
      <c r="AC151" s="1292">
        <f>Y151/AA151</f>
        <v>8.2105263157894737E-2</v>
      </c>
      <c r="AD151" s="1293"/>
      <c r="AF151" s="1004">
        <v>4.2105263157894736E-2</v>
      </c>
      <c r="AG151" s="1005">
        <v>2.1052631578947368E-3</v>
      </c>
      <c r="AH151" s="1005">
        <v>2.1052631578947368E-2</v>
      </c>
      <c r="AI151" s="1121">
        <v>8.2105263157894737E-2</v>
      </c>
      <c r="AJ151" s="229">
        <f>AVERAGE(AF151:AI151)</f>
        <v>3.6842105263157898E-2</v>
      </c>
      <c r="AO151" s="1389" t="s">
        <v>436</v>
      </c>
      <c r="AP151" s="1389"/>
      <c r="AQ151" s="1389"/>
      <c r="AR151" s="1389"/>
      <c r="AS151" s="1389"/>
      <c r="AT151" s="1389"/>
      <c r="AU151" s="1389"/>
      <c r="AV151" s="1389"/>
      <c r="AW151" s="1389"/>
      <c r="AX151" s="1389"/>
      <c r="AY151" s="1389"/>
      <c r="AZ151" s="1389"/>
    </row>
    <row r="152" spans="1:52" s="117" customFormat="1" ht="30.75" customHeight="1" thickBot="1">
      <c r="A152" s="8"/>
      <c r="B152" s="8"/>
      <c r="C152" s="915"/>
      <c r="D152" s="648"/>
      <c r="E152" s="649"/>
      <c r="F152" s="582"/>
      <c r="G152" s="650">
        <f t="shared" ref="G152" si="125">J152*0.2</f>
        <v>0</v>
      </c>
      <c r="H152" s="651">
        <f t="shared" ref="H152" si="126">G152/0.2</f>
        <v>0</v>
      </c>
      <c r="I152" s="167"/>
      <c r="J152" s="59">
        <f t="shared" ref="J152" si="127">(K152*$K$147)+L152</f>
        <v>0</v>
      </c>
      <c r="K152" s="31"/>
      <c r="L152" s="31"/>
      <c r="M152" s="8"/>
      <c r="N152" s="340"/>
      <c r="O152" s="1175" t="s">
        <v>243</v>
      </c>
      <c r="P152" s="1176"/>
      <c r="Q152" s="1177"/>
      <c r="R152" s="222">
        <f>$G$154-R151</f>
        <v>82</v>
      </c>
      <c r="Y152" s="1162"/>
      <c r="Z152" s="1162"/>
      <c r="AA152" s="332">
        <v>92.4</v>
      </c>
      <c r="AB152" s="8"/>
      <c r="AC152" s="8"/>
      <c r="AD152" s="8"/>
      <c r="AO152" s="968" t="s">
        <v>396</v>
      </c>
      <c r="AP152" s="968" t="s">
        <v>397</v>
      </c>
      <c r="AQ152" s="968" t="s">
        <v>398</v>
      </c>
      <c r="AR152" s="968" t="s">
        <v>399</v>
      </c>
      <c r="AS152" s="968" t="s">
        <v>400</v>
      </c>
      <c r="AT152" s="969" t="s">
        <v>375</v>
      </c>
      <c r="AU152" s="968" t="s">
        <v>376</v>
      </c>
      <c r="AV152" s="968" t="s">
        <v>401</v>
      </c>
      <c r="AW152" s="968" t="s">
        <v>402</v>
      </c>
      <c r="AX152" s="968" t="s">
        <v>403</v>
      </c>
      <c r="AY152" s="968" t="s">
        <v>404</v>
      </c>
      <c r="AZ152" s="968" t="s">
        <v>405</v>
      </c>
    </row>
    <row r="153" spans="1:52" s="117" customFormat="1" ht="30.75" customHeight="1" thickBot="1">
      <c r="A153" s="8"/>
      <c r="B153" s="8"/>
      <c r="C153" s="915"/>
      <c r="D153" s="648"/>
      <c r="E153" s="649"/>
      <c r="F153" s="582"/>
      <c r="G153" s="650">
        <f t="shared" ref="G153" si="128">J153*0.2</f>
        <v>0</v>
      </c>
      <c r="H153" s="651">
        <f t="shared" ref="H153" si="129">G153/0.2</f>
        <v>0</v>
      </c>
      <c r="I153" s="167"/>
      <c r="J153" s="59">
        <f t="shared" ref="J153" si="130">(K153*$K$147)+L153</f>
        <v>0</v>
      </c>
      <c r="K153" s="31"/>
      <c r="L153" s="31"/>
      <c r="M153" s="8"/>
      <c r="N153" s="340"/>
      <c r="O153" s="340"/>
      <c r="P153" s="340"/>
      <c r="Q153" s="340"/>
      <c r="R153" s="285"/>
      <c r="Y153" s="283"/>
      <c r="Z153" s="283"/>
      <c r="AA153" s="332"/>
      <c r="AB153" s="8"/>
      <c r="AC153" s="8"/>
      <c r="AD153" s="8"/>
      <c r="AO153" s="968"/>
      <c r="AP153" s="968"/>
      <c r="AQ153" s="968"/>
      <c r="AR153" s="968"/>
      <c r="AS153" s="968"/>
      <c r="AT153" s="969"/>
      <c r="AU153" s="968"/>
      <c r="AV153" s="968"/>
      <c r="AW153" s="968"/>
      <c r="AX153" s="968"/>
      <c r="AY153" s="968"/>
      <c r="AZ153" s="968"/>
    </row>
    <row r="154" spans="1:52" s="8" customFormat="1" ht="21.6" thickBot="1">
      <c r="A154" s="117"/>
      <c r="B154" s="117"/>
      <c r="C154" s="611"/>
      <c r="D154" s="612"/>
      <c r="E154" s="613"/>
      <c r="F154" s="614">
        <f>SUM(F148:F153)</f>
        <v>225</v>
      </c>
      <c r="G154" s="615">
        <f>SUM(G148:G153)</f>
        <v>82</v>
      </c>
      <c r="H154" s="596">
        <f>SUM(H148:H153)</f>
        <v>410</v>
      </c>
      <c r="I154" s="201"/>
      <c r="J154" s="61">
        <f>SUM(J148:J153)</f>
        <v>762</v>
      </c>
      <c r="K154" s="117"/>
      <c r="L154" s="117"/>
      <c r="M154" s="1157">
        <f>95-82</f>
        <v>13</v>
      </c>
      <c r="N154" s="340"/>
      <c r="W154" s="8" t="s">
        <v>301</v>
      </c>
      <c r="X154" s="117"/>
      <c r="Y154" s="396">
        <f>R152/Y151</f>
        <v>10.512820512820513</v>
      </c>
      <c r="Z154" s="392" t="s">
        <v>302</v>
      </c>
      <c r="AO154" s="497">
        <v>0</v>
      </c>
      <c r="AP154" s="497">
        <v>0</v>
      </c>
      <c r="AQ154" s="802">
        <f>AQ150*1.2</f>
        <v>0</v>
      </c>
      <c r="AR154" s="802">
        <f t="shared" ref="AR154:AZ154" si="131">AR150*1.2</f>
        <v>0</v>
      </c>
      <c r="AS154" s="802">
        <v>15.6</v>
      </c>
      <c r="AT154" s="1040">
        <v>90.6</v>
      </c>
      <c r="AU154" s="802">
        <v>110.6</v>
      </c>
      <c r="AV154" s="802">
        <v>82.6</v>
      </c>
      <c r="AW154" s="802">
        <v>0</v>
      </c>
      <c r="AX154" s="802">
        <v>0</v>
      </c>
      <c r="AY154" s="802">
        <f t="shared" si="131"/>
        <v>0</v>
      </c>
      <c r="AZ154" s="802">
        <f t="shared" si="131"/>
        <v>0</v>
      </c>
    </row>
    <row r="155" spans="1:52" s="8" customFormat="1" ht="21.6" thickBot="1">
      <c r="A155" s="17"/>
      <c r="B155" s="17"/>
      <c r="C155" s="469"/>
      <c r="D155" s="469"/>
      <c r="E155" s="527"/>
      <c r="F155" s="469"/>
      <c r="G155" s="469"/>
      <c r="H155" s="469"/>
      <c r="N155" s="340"/>
      <c r="W155" s="8" t="s">
        <v>303</v>
      </c>
      <c r="Y155" s="395">
        <f>(R152-Y151)/Y151</f>
        <v>9.5128205128205128</v>
      </c>
      <c r="Z155" s="392" t="s">
        <v>302</v>
      </c>
      <c r="AA155" s="117"/>
      <c r="AB155" s="117"/>
      <c r="AC155" s="117"/>
      <c r="AD155" s="117"/>
      <c r="AT155" s="332"/>
    </row>
    <row r="156" spans="1:52" s="8" customFormat="1" ht="23.4" thickBot="1">
      <c r="A156" s="119">
        <v>100</v>
      </c>
      <c r="B156" s="906" t="s">
        <v>175</v>
      </c>
      <c r="C156" s="640"/>
      <c r="D156" s="641"/>
      <c r="E156" s="642" t="s">
        <v>885</v>
      </c>
      <c r="F156" s="643"/>
      <c r="G156" s="644" t="s">
        <v>35</v>
      </c>
      <c r="H156" s="645"/>
      <c r="I156" s="169"/>
      <c r="J156" s="132"/>
      <c r="K156" s="107">
        <v>30</v>
      </c>
      <c r="L156" s="108" t="s">
        <v>39</v>
      </c>
      <c r="M156" s="109"/>
      <c r="N156" s="340" t="s">
        <v>540</v>
      </c>
      <c r="AT156" s="332"/>
    </row>
    <row r="157" spans="1:52" s="8" customFormat="1" ht="30.6" thickBot="1">
      <c r="A157" s="64" t="s">
        <v>139</v>
      </c>
      <c r="B157" s="13"/>
      <c r="C157" s="479" t="s">
        <v>610</v>
      </c>
      <c r="D157" s="623" t="s">
        <v>217</v>
      </c>
      <c r="E157" s="517" t="s">
        <v>615</v>
      </c>
      <c r="F157" s="505">
        <v>75</v>
      </c>
      <c r="G157" s="610">
        <f>H157*0.2</f>
        <v>3.4000000000000004</v>
      </c>
      <c r="H157" s="465">
        <v>17</v>
      </c>
      <c r="I157" s="167"/>
      <c r="J157" s="27">
        <v>259</v>
      </c>
      <c r="K157" s="96">
        <v>8</v>
      </c>
      <c r="L157" s="96">
        <v>19</v>
      </c>
      <c r="M157" s="46">
        <v>108</v>
      </c>
      <c r="N157" s="340"/>
      <c r="O157" s="1355" t="s">
        <v>175</v>
      </c>
      <c r="P157" s="1356"/>
      <c r="Q157" s="1357"/>
      <c r="R157" s="279" t="s">
        <v>262</v>
      </c>
      <c r="T157" s="1168" t="s">
        <v>268</v>
      </c>
      <c r="U157" s="1169"/>
      <c r="V157" s="1169"/>
      <c r="W157" s="1170"/>
      <c r="Y157" s="1232" t="s">
        <v>269</v>
      </c>
      <c r="Z157" s="1233"/>
      <c r="AF157" s="1224" t="s">
        <v>366</v>
      </c>
      <c r="AG157" s="1225"/>
      <c r="AH157" s="1225"/>
      <c r="AI157" s="1226"/>
      <c r="AO157" s="1389" t="s">
        <v>418</v>
      </c>
      <c r="AP157" s="1389"/>
      <c r="AQ157" s="1389"/>
      <c r="AR157" s="1389"/>
      <c r="AS157" s="1389"/>
      <c r="AT157" s="1389"/>
      <c r="AU157" s="1389"/>
      <c r="AV157" s="1389"/>
      <c r="AW157" s="1389"/>
      <c r="AX157" s="1389"/>
      <c r="AY157" s="1389"/>
      <c r="AZ157" s="1389"/>
    </row>
    <row r="158" spans="1:52" s="8" customFormat="1" ht="21.6" thickBot="1">
      <c r="A158" s="64" t="s">
        <v>140</v>
      </c>
      <c r="B158" s="13"/>
      <c r="C158" s="479" t="s">
        <v>654</v>
      </c>
      <c r="D158" s="623" t="s">
        <v>217</v>
      </c>
      <c r="E158" s="517" t="s">
        <v>676</v>
      </c>
      <c r="F158" s="505">
        <v>75</v>
      </c>
      <c r="G158" s="610">
        <v>49.6</v>
      </c>
      <c r="H158" s="465">
        <f t="shared" ref="H158:H159" si="132">G158/0.2</f>
        <v>248</v>
      </c>
      <c r="I158" s="167"/>
      <c r="J158" s="27">
        <v>248</v>
      </c>
      <c r="K158" s="96">
        <v>8</v>
      </c>
      <c r="L158" s="96">
        <v>8</v>
      </c>
      <c r="M158" s="46"/>
      <c r="N158" s="340"/>
      <c r="O158" s="1190" t="s">
        <v>298</v>
      </c>
      <c r="P158" s="1191"/>
      <c r="Q158" s="1192"/>
      <c r="R158" s="220">
        <v>21.6</v>
      </c>
      <c r="T158" s="1165" t="s">
        <v>299</v>
      </c>
      <c r="U158" s="1166"/>
      <c r="V158" s="1167"/>
      <c r="W158" s="309">
        <v>21.8</v>
      </c>
      <c r="Y158" s="1234" t="s">
        <v>270</v>
      </c>
      <c r="Z158" s="1235"/>
      <c r="AA158" s="1238" t="s">
        <v>271</v>
      </c>
      <c r="AB158" s="319"/>
      <c r="AC158" s="321"/>
      <c r="AD158" s="321"/>
      <c r="AF158" s="1227"/>
      <c r="AG158" s="1228"/>
      <c r="AH158" s="1228"/>
      <c r="AI158" s="1229"/>
      <c r="AJ158" s="1135">
        <f>(R161-(AJ160*AA160))/(AJ160*AA160)</f>
        <v>4.2224371373307559</v>
      </c>
      <c r="AO158" s="968" t="s">
        <v>396</v>
      </c>
      <c r="AP158" s="968" t="s">
        <v>397</v>
      </c>
      <c r="AQ158" s="968" t="s">
        <v>398</v>
      </c>
      <c r="AR158" s="968" t="s">
        <v>399</v>
      </c>
      <c r="AS158" s="968" t="s">
        <v>400</v>
      </c>
      <c r="AT158" s="969" t="s">
        <v>375</v>
      </c>
      <c r="AU158" s="968" t="s">
        <v>376</v>
      </c>
      <c r="AV158" s="968" t="s">
        <v>401</v>
      </c>
      <c r="AW158" s="968" t="s">
        <v>402</v>
      </c>
      <c r="AX158" s="968" t="s">
        <v>403</v>
      </c>
      <c r="AY158" s="968" t="s">
        <v>404</v>
      </c>
      <c r="AZ158" s="968" t="s">
        <v>405</v>
      </c>
    </row>
    <row r="159" spans="1:52" s="8" customFormat="1" ht="22.2" thickTop="1" thickBot="1">
      <c r="A159" s="115"/>
      <c r="B159" s="13"/>
      <c r="C159" s="479" t="s">
        <v>746</v>
      </c>
      <c r="D159" s="623" t="s">
        <v>219</v>
      </c>
      <c r="E159" s="517" t="s">
        <v>756</v>
      </c>
      <c r="F159" s="505">
        <v>150</v>
      </c>
      <c r="G159" s="610">
        <f>J159*0.2</f>
        <v>103.60000000000001</v>
      </c>
      <c r="H159" s="465">
        <f t="shared" si="132"/>
        <v>518</v>
      </c>
      <c r="I159" s="167"/>
      <c r="J159" s="27">
        <f t="shared" ref="J159" si="133">(K159*$K$164)+L159</f>
        <v>518</v>
      </c>
      <c r="K159" s="96">
        <v>17</v>
      </c>
      <c r="L159" s="96">
        <v>8</v>
      </c>
      <c r="M159" s="46"/>
      <c r="N159" s="340"/>
      <c r="O159" s="1165" t="s">
        <v>299</v>
      </c>
      <c r="P159" s="1166"/>
      <c r="Q159" s="1167"/>
      <c r="R159" s="1114"/>
      <c r="Y159" s="1236"/>
      <c r="Z159" s="1237"/>
      <c r="AA159" s="1239"/>
      <c r="AB159" s="319"/>
      <c r="AC159" s="1240" t="s">
        <v>272</v>
      </c>
      <c r="AD159" s="1241"/>
      <c r="AF159" s="999" t="s">
        <v>679</v>
      </c>
      <c r="AG159" s="960" t="s">
        <v>680</v>
      </c>
      <c r="AH159" s="1003" t="s">
        <v>268</v>
      </c>
      <c r="AI159" s="959" t="s">
        <v>681</v>
      </c>
      <c r="AJ159" s="8" t="s">
        <v>622</v>
      </c>
      <c r="AO159" s="497">
        <v>83</v>
      </c>
      <c r="AP159" s="497">
        <v>199</v>
      </c>
      <c r="AQ159" s="497">
        <v>188</v>
      </c>
      <c r="AR159" s="497">
        <v>104</v>
      </c>
      <c r="AS159" s="497">
        <v>210</v>
      </c>
      <c r="AT159" s="970">
        <v>206</v>
      </c>
      <c r="AU159" s="497">
        <v>272</v>
      </c>
      <c r="AV159" s="497">
        <v>267</v>
      </c>
      <c r="AW159" s="497">
        <v>130</v>
      </c>
      <c r="AX159" s="497">
        <v>112</v>
      </c>
      <c r="AY159" s="497">
        <v>208</v>
      </c>
      <c r="AZ159" s="497">
        <v>194</v>
      </c>
    </row>
    <row r="160" spans="1:52" s="8" customFormat="1" ht="29.25" customHeight="1" thickTop="1" thickBot="1">
      <c r="A160" s="115"/>
      <c r="B160" s="13"/>
      <c r="C160" s="479"/>
      <c r="D160" s="623"/>
      <c r="E160" s="517"/>
      <c r="F160" s="505"/>
      <c r="G160" s="610">
        <f>J160*0.2</f>
        <v>0</v>
      </c>
      <c r="H160" s="465">
        <f>G160/0.2</f>
        <v>0</v>
      </c>
      <c r="I160" s="167"/>
      <c r="J160" s="27">
        <f>(K160*$K$156)+L160</f>
        <v>0</v>
      </c>
      <c r="K160" s="96"/>
      <c r="L160" s="96"/>
      <c r="M160" s="46"/>
      <c r="N160" s="340"/>
      <c r="O160" s="1289" t="s">
        <v>242</v>
      </c>
      <c r="P160" s="1290"/>
      <c r="Q160" s="1291"/>
      <c r="R160" s="221">
        <f>SUM(R158:R159)</f>
        <v>21.6</v>
      </c>
      <c r="T160" s="1349" t="s">
        <v>346</v>
      </c>
      <c r="U160" s="1349"/>
      <c r="V160" s="1349"/>
      <c r="Y160" s="1182">
        <f>R158+W158</f>
        <v>43.400000000000006</v>
      </c>
      <c r="Z160" s="1183"/>
      <c r="AA160" s="318">
        <v>94</v>
      </c>
      <c r="AC160" s="1292">
        <f>Y160/AA160</f>
        <v>0.46170212765957452</v>
      </c>
      <c r="AD160" s="1293"/>
      <c r="AF160" s="1004">
        <v>0.13191489361702127</v>
      </c>
      <c r="AG160" s="1005">
        <v>0.2468085106382979</v>
      </c>
      <c r="AH160" s="1005">
        <v>0.25957446808510637</v>
      </c>
      <c r="AI160" s="1001">
        <v>0.46170212765957452</v>
      </c>
      <c r="AJ160" s="229">
        <f>AVERAGE(AF160:AI160)</f>
        <v>0.27500000000000002</v>
      </c>
      <c r="AO160" s="1389" t="s">
        <v>437</v>
      </c>
      <c r="AP160" s="1389"/>
      <c r="AQ160" s="1389"/>
      <c r="AR160" s="1389"/>
      <c r="AS160" s="1389"/>
      <c r="AT160" s="1389"/>
      <c r="AU160" s="1389"/>
      <c r="AV160" s="1389"/>
      <c r="AW160" s="1389"/>
      <c r="AX160" s="1389"/>
      <c r="AY160" s="1389"/>
      <c r="AZ160" s="1389"/>
    </row>
    <row r="161" spans="1:52" s="8" customFormat="1" ht="29.25" customHeight="1" thickBot="1">
      <c r="B161" s="13"/>
      <c r="C161" s="479"/>
      <c r="D161" s="623"/>
      <c r="E161" s="517"/>
      <c r="F161" s="505"/>
      <c r="G161" s="610">
        <f>J161*0.2</f>
        <v>0</v>
      </c>
      <c r="H161" s="465">
        <f>G161/0.2</f>
        <v>0</v>
      </c>
      <c r="I161" s="167"/>
      <c r="J161" s="27">
        <f>(K161*$K$156)+L161</f>
        <v>0</v>
      </c>
      <c r="K161" s="96"/>
      <c r="L161" s="96"/>
      <c r="M161" s="46"/>
      <c r="N161" s="340"/>
      <c r="O161" s="1247" t="s">
        <v>243</v>
      </c>
      <c r="P161" s="1248"/>
      <c r="Q161" s="1249"/>
      <c r="R161" s="222">
        <f>$G$162-R160</f>
        <v>135.00000000000003</v>
      </c>
      <c r="T161" s="902" t="s">
        <v>345</v>
      </c>
      <c r="U161" s="903"/>
      <c r="Y161" s="1256"/>
      <c r="Z161" s="1162"/>
      <c r="AA161" s="332">
        <v>93.8</v>
      </c>
      <c r="AO161" s="968" t="s">
        <v>396</v>
      </c>
      <c r="AP161" s="968" t="s">
        <v>397</v>
      </c>
      <c r="AQ161" s="968" t="s">
        <v>398</v>
      </c>
      <c r="AR161" s="968" t="s">
        <v>399</v>
      </c>
      <c r="AS161" s="968" t="s">
        <v>400</v>
      </c>
      <c r="AT161" s="969" t="s">
        <v>375</v>
      </c>
      <c r="AU161" s="968" t="s">
        <v>376</v>
      </c>
      <c r="AV161" s="968" t="s">
        <v>401</v>
      </c>
      <c r="AW161" s="968" t="s">
        <v>402</v>
      </c>
      <c r="AX161" s="968" t="s">
        <v>403</v>
      </c>
      <c r="AY161" s="968" t="s">
        <v>404</v>
      </c>
      <c r="AZ161" s="968" t="s">
        <v>405</v>
      </c>
    </row>
    <row r="162" spans="1:52" s="8" customFormat="1" ht="21.6" thickBot="1">
      <c r="C162" s="471"/>
      <c r="D162" s="527"/>
      <c r="E162" s="521"/>
      <c r="F162" s="672">
        <f>SUM(F157:F161)</f>
        <v>300</v>
      </c>
      <c r="G162" s="488">
        <f>SUM(G157:G161)</f>
        <v>156.60000000000002</v>
      </c>
      <c r="H162" s="940">
        <f>SUM(H157:H161)</f>
        <v>783</v>
      </c>
      <c r="I162" s="168"/>
      <c r="J162" s="130">
        <f>SUM(J157:J161)</f>
        <v>1025</v>
      </c>
      <c r="M162" s="1152">
        <f>180-156</f>
        <v>24</v>
      </c>
      <c r="N162" s="340"/>
      <c r="O162" s="8" t="s">
        <v>318</v>
      </c>
      <c r="Q162" s="8">
        <v>213</v>
      </c>
      <c r="S162" s="299"/>
      <c r="T162" s="299"/>
      <c r="W162" s="8" t="s">
        <v>301</v>
      </c>
      <c r="X162" s="117"/>
      <c r="Y162" s="396">
        <f>R161/Y160</f>
        <v>3.1105990783410142</v>
      </c>
      <c r="Z162" s="392" t="s">
        <v>302</v>
      </c>
      <c r="AO162" s="1035">
        <v>153</v>
      </c>
      <c r="AP162" s="1035">
        <v>242</v>
      </c>
      <c r="AQ162" s="1036">
        <v>163.6</v>
      </c>
      <c r="AR162" s="1036">
        <v>192.6</v>
      </c>
      <c r="AS162" s="1036">
        <v>157</v>
      </c>
      <c r="AT162" s="1039">
        <v>178</v>
      </c>
      <c r="AU162" s="1036">
        <v>179</v>
      </c>
      <c r="AV162" s="1036">
        <v>228</v>
      </c>
      <c r="AW162" s="1036">
        <v>76</v>
      </c>
      <c r="AX162" s="1036">
        <v>58</v>
      </c>
      <c r="AY162" s="1036">
        <v>99</v>
      </c>
      <c r="AZ162" s="1036">
        <v>147</v>
      </c>
    </row>
    <row r="163" spans="1:52" s="8" customFormat="1" ht="21.6" thickBot="1">
      <c r="A163" s="17"/>
      <c r="B163" s="17"/>
      <c r="C163" s="469"/>
      <c r="D163" s="469"/>
      <c r="E163" s="527"/>
      <c r="F163" s="469"/>
      <c r="G163" s="469"/>
      <c r="H163" s="469"/>
      <c r="L163" s="308"/>
      <c r="N163" s="340"/>
      <c r="P163" s="8" t="s">
        <v>311</v>
      </c>
      <c r="T163" s="299"/>
      <c r="W163" s="8" t="s">
        <v>303</v>
      </c>
      <c r="Y163" s="395">
        <f>(R161-Y160)/Y160</f>
        <v>2.1105990783410142</v>
      </c>
      <c r="Z163" s="392" t="s">
        <v>302</v>
      </c>
      <c r="AT163" s="332"/>
    </row>
    <row r="164" spans="1:52" s="8" customFormat="1" ht="23.4" thickBot="1">
      <c r="A164" s="119">
        <v>122</v>
      </c>
      <c r="B164" s="1033" t="s">
        <v>490</v>
      </c>
      <c r="C164" s="640"/>
      <c r="D164" s="641"/>
      <c r="E164" s="642"/>
      <c r="F164" s="643"/>
      <c r="G164" s="644" t="s">
        <v>35</v>
      </c>
      <c r="H164" s="645"/>
      <c r="I164" s="169"/>
      <c r="J164" s="132"/>
      <c r="K164" s="107">
        <v>30</v>
      </c>
      <c r="L164" s="108" t="s">
        <v>39</v>
      </c>
      <c r="M164" s="109"/>
      <c r="N164" s="340" t="s">
        <v>540</v>
      </c>
      <c r="O164" s="8" t="s">
        <v>328</v>
      </c>
      <c r="P164" s="8" t="s">
        <v>329</v>
      </c>
      <c r="AT164" s="332"/>
    </row>
    <row r="165" spans="1:52" s="8" customFormat="1" ht="30.6" thickBot="1">
      <c r="A165" s="64" t="s">
        <v>353</v>
      </c>
      <c r="B165" s="1032" t="s">
        <v>489</v>
      </c>
      <c r="C165" s="479"/>
      <c r="D165" s="623"/>
      <c r="E165" s="517"/>
      <c r="F165" s="505"/>
      <c r="G165" s="610">
        <f>J165*0.2</f>
        <v>0</v>
      </c>
      <c r="H165" s="465">
        <f>G165/0.2</f>
        <v>0</v>
      </c>
      <c r="I165" s="167"/>
      <c r="J165" s="27">
        <f t="shared" ref="J165" si="134">(K165*$K$164)+L165</f>
        <v>0</v>
      </c>
      <c r="K165" s="96"/>
      <c r="L165" s="96"/>
      <c r="M165" s="13"/>
      <c r="N165" s="340"/>
      <c r="O165" s="1355" t="s">
        <v>490</v>
      </c>
      <c r="P165" s="1356"/>
      <c r="Q165" s="1357"/>
      <c r="R165" s="279" t="s">
        <v>262</v>
      </c>
      <c r="Y165" s="1296"/>
      <c r="Z165" s="1296"/>
      <c r="AF165" s="1388"/>
      <c r="AG165" s="1388"/>
      <c r="AH165" s="1388"/>
      <c r="AI165" s="1388"/>
      <c r="AO165" s="1389" t="s">
        <v>419</v>
      </c>
      <c r="AP165" s="1389"/>
      <c r="AQ165" s="1389"/>
      <c r="AR165" s="1389"/>
      <c r="AS165" s="1389"/>
      <c r="AT165" s="1389"/>
      <c r="AU165" s="1389"/>
      <c r="AV165" s="1389"/>
      <c r="AW165" s="1389"/>
      <c r="AX165" s="1389"/>
      <c r="AY165" s="1389"/>
      <c r="AZ165" s="1389"/>
    </row>
    <row r="166" spans="1:52" s="8" customFormat="1">
      <c r="A166" s="64"/>
      <c r="B166" s="13"/>
      <c r="C166" s="479"/>
      <c r="D166" s="623"/>
      <c r="E166" s="517"/>
      <c r="F166" s="505"/>
      <c r="G166" s="610">
        <f>J166*0.2</f>
        <v>0</v>
      </c>
      <c r="H166" s="465">
        <f>G166/0.2</f>
        <v>0</v>
      </c>
      <c r="I166" s="167"/>
      <c r="J166" s="27">
        <f t="shared" ref="J166" si="135">(K166*$K$164)+L166</f>
        <v>0</v>
      </c>
      <c r="K166" s="96"/>
      <c r="L166" s="96"/>
      <c r="M166" s="13"/>
      <c r="N166" s="340"/>
      <c r="O166" s="1190" t="s">
        <v>298</v>
      </c>
      <c r="P166" s="1191"/>
      <c r="Q166" s="1192"/>
      <c r="R166" s="220"/>
      <c r="T166" s="1354"/>
      <c r="U166" s="1354"/>
      <c r="V166" s="1354"/>
      <c r="W166" s="1139">
        <v>0</v>
      </c>
      <c r="Y166" s="1385"/>
      <c r="Z166" s="1385"/>
      <c r="AA166" s="1386"/>
      <c r="AF166" s="1388"/>
      <c r="AG166" s="1388"/>
      <c r="AH166" s="1388"/>
      <c r="AI166" s="1388"/>
      <c r="AO166" s="968" t="s">
        <v>396</v>
      </c>
      <c r="AP166" s="968" t="s">
        <v>397</v>
      </c>
      <c r="AQ166" s="968" t="s">
        <v>398</v>
      </c>
      <c r="AR166" s="968" t="s">
        <v>399</v>
      </c>
      <c r="AS166" s="968" t="s">
        <v>400</v>
      </c>
      <c r="AT166" s="969" t="s">
        <v>375</v>
      </c>
      <c r="AU166" s="968" t="s">
        <v>376</v>
      </c>
      <c r="AV166" s="968" t="s">
        <v>401</v>
      </c>
      <c r="AW166" s="968" t="s">
        <v>402</v>
      </c>
      <c r="AX166" s="968" t="s">
        <v>403</v>
      </c>
      <c r="AY166" s="968" t="s">
        <v>404</v>
      </c>
      <c r="AZ166" s="968" t="s">
        <v>405</v>
      </c>
    </row>
    <row r="167" spans="1:52" s="8" customFormat="1">
      <c r="A167" s="115"/>
      <c r="B167" s="13"/>
      <c r="C167" s="479"/>
      <c r="D167" s="623"/>
      <c r="E167" s="517"/>
      <c r="F167" s="505"/>
      <c r="G167" s="610">
        <f>J167*0.2</f>
        <v>0</v>
      </c>
      <c r="H167" s="465">
        <f>G167/0.2</f>
        <v>0</v>
      </c>
      <c r="I167" s="167"/>
      <c r="J167" s="27">
        <f t="shared" ref="J167" si="136">(K167*$K$164)+L167</f>
        <v>0</v>
      </c>
      <c r="K167" s="96"/>
      <c r="L167" s="96"/>
      <c r="M167" s="13"/>
      <c r="N167" s="340"/>
      <c r="O167" s="1165" t="s">
        <v>299</v>
      </c>
      <c r="P167" s="1166"/>
      <c r="Q167" s="1167"/>
      <c r="R167" s="158"/>
      <c r="Y167" s="1385"/>
      <c r="Z167" s="1385"/>
      <c r="AA167" s="1386"/>
      <c r="AC167" s="1294"/>
      <c r="AD167" s="1294"/>
      <c r="AF167" s="1109"/>
      <c r="AG167" s="1109"/>
      <c r="AH167" s="453"/>
      <c r="AI167" s="453"/>
      <c r="AO167" s="497">
        <v>54</v>
      </c>
      <c r="AP167" s="497">
        <v>57</v>
      </c>
      <c r="AQ167" s="497">
        <v>87</v>
      </c>
      <c r="AR167" s="497">
        <v>64</v>
      </c>
      <c r="AS167" s="497">
        <v>87</v>
      </c>
      <c r="AT167" s="970">
        <v>82</v>
      </c>
      <c r="AU167" s="497">
        <v>144</v>
      </c>
      <c r="AV167" s="497">
        <v>124</v>
      </c>
      <c r="AW167" s="497">
        <v>79</v>
      </c>
      <c r="AX167" s="497">
        <v>52</v>
      </c>
      <c r="AY167" s="497">
        <v>81</v>
      </c>
      <c r="AZ167" s="497">
        <v>91</v>
      </c>
    </row>
    <row r="168" spans="1:52" s="8" customFormat="1" ht="30.6" thickBot="1">
      <c r="A168" s="115"/>
      <c r="B168" s="13"/>
      <c r="C168" s="479"/>
      <c r="D168" s="623"/>
      <c r="E168" s="517"/>
      <c r="F168" s="505"/>
      <c r="G168" s="610">
        <f>J168*0.2</f>
        <v>0</v>
      </c>
      <c r="H168" s="465">
        <f>G168/0.2</f>
        <v>0</v>
      </c>
      <c r="I168" s="167"/>
      <c r="J168" s="27">
        <f t="shared" ref="J168" si="137">(K168*$K$164)+L168</f>
        <v>0</v>
      </c>
      <c r="K168" s="96"/>
      <c r="L168" s="96"/>
      <c r="M168" s="13"/>
      <c r="N168" s="340"/>
      <c r="O168" s="1289" t="s">
        <v>242</v>
      </c>
      <c r="P168" s="1290"/>
      <c r="Q168" s="1291"/>
      <c r="R168" s="221">
        <f>SUM(R166:R167)</f>
        <v>0</v>
      </c>
      <c r="S168" s="277"/>
      <c r="Y168" s="1387"/>
      <c r="Z168" s="1296"/>
      <c r="AA168" s="318"/>
      <c r="AC168" s="1296"/>
      <c r="AD168" s="1296"/>
      <c r="AF168" s="1140"/>
      <c r="AG168" s="1140"/>
      <c r="AH168" s="1140"/>
      <c r="AI168" s="1140"/>
      <c r="AJ168" s="229"/>
      <c r="AO168" s="1389" t="s">
        <v>438</v>
      </c>
      <c r="AP168" s="1389"/>
      <c r="AQ168" s="1389"/>
      <c r="AR168" s="1389"/>
      <c r="AS168" s="1389"/>
      <c r="AT168" s="1389"/>
      <c r="AU168" s="1389"/>
      <c r="AV168" s="1389"/>
      <c r="AW168" s="1389"/>
      <c r="AX168" s="1389"/>
      <c r="AY168" s="1389"/>
      <c r="AZ168" s="1389"/>
    </row>
    <row r="169" spans="1:52" s="117" customFormat="1" ht="33.75" customHeight="1" thickBot="1">
      <c r="A169" s="8"/>
      <c r="B169" s="13"/>
      <c r="C169" s="479"/>
      <c r="D169" s="623"/>
      <c r="E169" s="517"/>
      <c r="F169" s="505"/>
      <c r="G169" s="610">
        <f>J169*0.2</f>
        <v>0</v>
      </c>
      <c r="H169" s="465">
        <f>G169/0.2</f>
        <v>0</v>
      </c>
      <c r="I169" s="167"/>
      <c r="J169" s="27">
        <f>(K169*$K$164)+L169</f>
        <v>0</v>
      </c>
      <c r="K169" s="96"/>
      <c r="L169" s="96"/>
      <c r="M169" s="13"/>
      <c r="N169" s="340"/>
      <c r="O169" s="1175" t="s">
        <v>243</v>
      </c>
      <c r="P169" s="1176"/>
      <c r="Q169" s="1177"/>
      <c r="R169" s="222">
        <f>$G$170-R168</f>
        <v>0</v>
      </c>
      <c r="S169" s="117" t="s">
        <v>336</v>
      </c>
      <c r="U169" s="390"/>
      <c r="Y169" s="1296"/>
      <c r="Z169" s="1296"/>
      <c r="AA169" s="8"/>
      <c r="AB169" s="8"/>
      <c r="AC169" s="8"/>
      <c r="AD169" s="8"/>
      <c r="AE169" s="8"/>
      <c r="AO169" s="968" t="s">
        <v>396</v>
      </c>
      <c r="AP169" s="968" t="s">
        <v>397</v>
      </c>
      <c r="AQ169" s="968" t="s">
        <v>398</v>
      </c>
      <c r="AR169" s="968" t="s">
        <v>399</v>
      </c>
      <c r="AS169" s="968" t="s">
        <v>400</v>
      </c>
      <c r="AT169" s="969" t="s">
        <v>375</v>
      </c>
      <c r="AU169" s="968" t="s">
        <v>376</v>
      </c>
      <c r="AV169" s="968" t="s">
        <v>401</v>
      </c>
      <c r="AW169" s="968" t="s">
        <v>402</v>
      </c>
      <c r="AX169" s="968" t="s">
        <v>403</v>
      </c>
      <c r="AY169" s="968" t="s">
        <v>404</v>
      </c>
      <c r="AZ169" s="968" t="s">
        <v>405</v>
      </c>
    </row>
    <row r="170" spans="1:52" s="8" customFormat="1" ht="21.6" thickBot="1">
      <c r="A170" s="117"/>
      <c r="B170" s="117"/>
      <c r="C170" s="453"/>
      <c r="D170" s="632"/>
      <c r="E170" s="613"/>
      <c r="F170" s="614">
        <f>SUM(F165:F169)</f>
        <v>0</v>
      </c>
      <c r="G170" s="615">
        <f>SUM(G165:G169)</f>
        <v>0</v>
      </c>
      <c r="H170" s="595">
        <f>SUM(H165:H169)</f>
        <v>0</v>
      </c>
      <c r="I170" s="201"/>
      <c r="J170" s="61">
        <f>SUM(J165:J169)</f>
        <v>0</v>
      </c>
      <c r="K170" s="117"/>
      <c r="L170" s="117"/>
      <c r="M170" s="117"/>
      <c r="N170" s="340"/>
      <c r="O170" s="8" t="s">
        <v>318</v>
      </c>
      <c r="Q170" s="8">
        <v>98</v>
      </c>
      <c r="R170" s="285"/>
      <c r="S170" s="117"/>
      <c r="T170" s="390"/>
      <c r="U170" s="117"/>
      <c r="V170" s="117"/>
      <c r="X170" s="117"/>
      <c r="Y170" s="298"/>
      <c r="Z170" s="64"/>
      <c r="AE170" s="117"/>
      <c r="AO170" s="497">
        <v>87</v>
      </c>
      <c r="AP170" s="497">
        <v>95</v>
      </c>
      <c r="AQ170" s="802">
        <v>91.6</v>
      </c>
      <c r="AR170" s="802">
        <v>100.4</v>
      </c>
      <c r="AS170" s="802">
        <v>28.6</v>
      </c>
      <c r="AT170" s="1040">
        <v>41.6</v>
      </c>
      <c r="AU170" s="802">
        <v>42</v>
      </c>
      <c r="AV170" s="802">
        <v>166</v>
      </c>
      <c r="AW170" s="802">
        <v>44.8</v>
      </c>
      <c r="AX170" s="802">
        <v>25.2</v>
      </c>
      <c r="AY170" s="802">
        <v>47.8</v>
      </c>
      <c r="AZ170" s="802">
        <v>82.4</v>
      </c>
    </row>
    <row r="171" spans="1:52" s="8" customFormat="1" ht="21.6" thickBot="1">
      <c r="A171" s="17"/>
      <c r="B171" s="17"/>
      <c r="C171" s="469"/>
      <c r="D171" s="469"/>
      <c r="E171" s="527"/>
      <c r="F171" s="469"/>
      <c r="G171" s="469"/>
      <c r="H171" s="469"/>
      <c r="N171" s="340"/>
      <c r="O171" s="8" t="s">
        <v>328</v>
      </c>
      <c r="P171" s="8" t="s">
        <v>329</v>
      </c>
      <c r="R171" s="285">
        <v>12.8</v>
      </c>
      <c r="S171" s="117"/>
      <c r="T171" s="117"/>
      <c r="U171" s="117"/>
      <c r="V171" s="117"/>
      <c r="Y171" s="299"/>
      <c r="Z171" s="64"/>
      <c r="AT171" s="332"/>
    </row>
    <row r="172" spans="1:52" s="8" customFormat="1" ht="23.4" thickBot="1">
      <c r="A172" s="119">
        <v>190</v>
      </c>
      <c r="B172" s="906" t="s">
        <v>521</v>
      </c>
      <c r="C172" s="640"/>
      <c r="D172" s="641"/>
      <c r="E172" s="642" t="s">
        <v>885</v>
      </c>
      <c r="F172" s="643"/>
      <c r="G172" s="644" t="s">
        <v>35</v>
      </c>
      <c r="H172" s="645"/>
      <c r="I172" s="169"/>
      <c r="J172" s="132"/>
      <c r="K172" s="107">
        <v>30</v>
      </c>
      <c r="L172" s="108" t="s">
        <v>39</v>
      </c>
      <c r="M172" s="109"/>
      <c r="N172" s="340" t="s">
        <v>540</v>
      </c>
      <c r="R172" s="8">
        <v>0</v>
      </c>
      <c r="AT172" s="332"/>
    </row>
    <row r="173" spans="1:52" s="8" customFormat="1" ht="28.5" customHeight="1" thickBot="1">
      <c r="A173" s="64" t="s">
        <v>141</v>
      </c>
      <c r="B173" s="72"/>
      <c r="C173" s="466" t="s">
        <v>556</v>
      </c>
      <c r="D173" s="622" t="s">
        <v>219</v>
      </c>
      <c r="E173" s="517" t="s">
        <v>559</v>
      </c>
      <c r="F173" s="505">
        <v>150</v>
      </c>
      <c r="G173" s="610">
        <f>H173*0.2</f>
        <v>8</v>
      </c>
      <c r="H173" s="465">
        <v>40</v>
      </c>
      <c r="I173" s="164"/>
      <c r="J173" s="59">
        <v>504</v>
      </c>
      <c r="K173" s="96">
        <v>16</v>
      </c>
      <c r="L173" s="96">
        <v>24</v>
      </c>
      <c r="M173" s="13">
        <v>120</v>
      </c>
      <c r="N173" s="340"/>
      <c r="O173" s="1355" t="s">
        <v>521</v>
      </c>
      <c r="P173" s="1356"/>
      <c r="Q173" s="1357"/>
      <c r="R173" s="279" t="s">
        <v>262</v>
      </c>
      <c r="T173" s="1168" t="s">
        <v>268</v>
      </c>
      <c r="U173" s="1169"/>
      <c r="V173" s="1169"/>
      <c r="W173" s="1170"/>
      <c r="Y173" s="1232" t="s">
        <v>269</v>
      </c>
      <c r="Z173" s="1233"/>
      <c r="AF173" s="1224" t="s">
        <v>366</v>
      </c>
      <c r="AG173" s="1225"/>
      <c r="AH173" s="1225"/>
      <c r="AI173" s="1226"/>
      <c r="AJ173" s="117"/>
      <c r="AT173" s="332"/>
    </row>
    <row r="174" spans="1:52" s="8" customFormat="1" ht="28.5" customHeight="1" thickBot="1">
      <c r="A174" s="64"/>
      <c r="B174" s="72"/>
      <c r="C174" s="466" t="s">
        <v>839</v>
      </c>
      <c r="D174" s="622" t="s">
        <v>217</v>
      </c>
      <c r="E174" s="536" t="s">
        <v>859</v>
      </c>
      <c r="F174" s="505">
        <v>75</v>
      </c>
      <c r="G174" s="610">
        <f t="shared" ref="G174" si="138">J174*0.2</f>
        <v>0</v>
      </c>
      <c r="H174" s="465">
        <f t="shared" ref="H174" si="139">G174/0.2</f>
        <v>0</v>
      </c>
      <c r="I174" s="164"/>
      <c r="J174" s="59"/>
      <c r="K174" s="96">
        <v>8</v>
      </c>
      <c r="L174" s="96">
        <v>15</v>
      </c>
      <c r="M174" s="13"/>
      <c r="N174" s="340"/>
      <c r="O174" s="1190" t="s">
        <v>454</v>
      </c>
      <c r="P174" s="1191"/>
      <c r="Q174" s="1192"/>
      <c r="R174" s="220">
        <v>1.2</v>
      </c>
      <c r="T174" s="1190" t="s">
        <v>244</v>
      </c>
      <c r="U174" s="1191"/>
      <c r="V174" s="1192"/>
      <c r="W174" s="309">
        <v>50</v>
      </c>
      <c r="Y174" s="1234" t="s">
        <v>270</v>
      </c>
      <c r="Z174" s="1235"/>
      <c r="AA174" s="1238" t="s">
        <v>271</v>
      </c>
      <c r="AB174" s="319"/>
      <c r="AC174" s="321"/>
      <c r="AD174" s="321"/>
      <c r="AF174" s="1227"/>
      <c r="AG174" s="1228"/>
      <c r="AH174" s="1228"/>
      <c r="AI174" s="1229"/>
      <c r="AJ174" s="1135">
        <f>(R177-(AJ176*AA176))/(AJ176*AA176)</f>
        <v>-0.64021164021164012</v>
      </c>
      <c r="AT174" s="332"/>
    </row>
    <row r="175" spans="1:52" s="117" customFormat="1" ht="32.25" customHeight="1" thickTop="1" thickBot="1">
      <c r="A175" s="64"/>
      <c r="B175" s="13"/>
      <c r="C175" s="466"/>
      <c r="D175" s="622"/>
      <c r="E175" s="536"/>
      <c r="F175" s="505"/>
      <c r="G175" s="610">
        <f t="shared" ref="G175" si="140">J175*0.2</f>
        <v>0</v>
      </c>
      <c r="H175" s="465">
        <f t="shared" ref="H175" si="141">G175/0.2</f>
        <v>0</v>
      </c>
      <c r="I175" s="164"/>
      <c r="J175" s="59"/>
      <c r="K175" s="96"/>
      <c r="L175" s="96"/>
      <c r="M175" s="13"/>
      <c r="N175" s="340"/>
      <c r="O175" s="1258" t="s">
        <v>244</v>
      </c>
      <c r="P175" s="1259"/>
      <c r="Q175" s="1260"/>
      <c r="R175" s="158"/>
      <c r="S175" s="8"/>
      <c r="T175" s="8"/>
      <c r="U175" s="8"/>
      <c r="V175" s="8"/>
      <c r="W175" s="8"/>
      <c r="X175" s="8"/>
      <c r="Y175" s="1236"/>
      <c r="Z175" s="1237"/>
      <c r="AA175" s="1239"/>
      <c r="AB175" s="319"/>
      <c r="AC175" s="1240" t="s">
        <v>272</v>
      </c>
      <c r="AD175" s="1241"/>
      <c r="AE175" s="8"/>
      <c r="AF175" s="999" t="s">
        <v>679</v>
      </c>
      <c r="AG175" s="960" t="s">
        <v>680</v>
      </c>
      <c r="AH175" s="1003" t="s">
        <v>268</v>
      </c>
      <c r="AI175" s="959" t="s">
        <v>681</v>
      </c>
      <c r="AJ175" s="8" t="s">
        <v>622</v>
      </c>
      <c r="AO175" s="1389" t="s">
        <v>423</v>
      </c>
      <c r="AP175" s="1389"/>
      <c r="AQ175" s="1389"/>
      <c r="AR175" s="1389"/>
      <c r="AS175" s="1389"/>
      <c r="AT175" s="1389"/>
      <c r="AU175" s="1389"/>
      <c r="AV175" s="1389"/>
      <c r="AW175" s="1389"/>
      <c r="AX175" s="1389"/>
      <c r="AY175" s="1389"/>
      <c r="AZ175" s="1389"/>
    </row>
    <row r="176" spans="1:52" s="8" customFormat="1" ht="22.2" thickTop="1" thickBot="1">
      <c r="A176" s="117"/>
      <c r="B176" s="117"/>
      <c r="C176" s="453"/>
      <c r="D176" s="632"/>
      <c r="E176" s="613"/>
      <c r="F176" s="614">
        <f>SUM(F173:F175)</f>
        <v>225</v>
      </c>
      <c r="G176" s="615">
        <f>SUM(G173:G175)</f>
        <v>8</v>
      </c>
      <c r="H176" s="646">
        <f>SUM(H173:H175)</f>
        <v>40</v>
      </c>
      <c r="I176" s="286"/>
      <c r="J176" s="61">
        <f>SUM(J173:J175)</f>
        <v>504</v>
      </c>
      <c r="K176" s="117"/>
      <c r="L176" s="117"/>
      <c r="M176" s="1157">
        <f>24-8</f>
        <v>16</v>
      </c>
      <c r="N176" s="340"/>
      <c r="O176" s="1289" t="s">
        <v>242</v>
      </c>
      <c r="P176" s="1290"/>
      <c r="Q176" s="1291"/>
      <c r="R176" s="221">
        <f>SUM(R174:R175)</f>
        <v>1.2</v>
      </c>
      <c r="Y176" s="1182">
        <f>R174+W174</f>
        <v>51.2</v>
      </c>
      <c r="Z176" s="1183"/>
      <c r="AA176" s="318">
        <v>100</v>
      </c>
      <c r="AC176" s="1292">
        <f>Y176/AA176</f>
        <v>0.51200000000000001</v>
      </c>
      <c r="AD176" s="1293"/>
      <c r="AE176" s="117"/>
      <c r="AF176" s="1004">
        <v>4.0000000000000001E-3</v>
      </c>
      <c r="AG176" s="1005">
        <v>0.11599999999999999</v>
      </c>
      <c r="AH176" s="1005">
        <v>0.124</v>
      </c>
      <c r="AI176" s="1001">
        <v>0.51200000000000001</v>
      </c>
      <c r="AJ176" s="229">
        <f>AVERAGE(AF176:AI176)</f>
        <v>0.189</v>
      </c>
      <c r="AO176" s="968" t="s">
        <v>396</v>
      </c>
      <c r="AP176" s="968" t="s">
        <v>397</v>
      </c>
      <c r="AQ176" s="968" t="s">
        <v>398</v>
      </c>
      <c r="AR176" s="968" t="s">
        <v>399</v>
      </c>
      <c r="AS176" s="968" t="s">
        <v>400</v>
      </c>
      <c r="AT176" s="969" t="s">
        <v>375</v>
      </c>
      <c r="AU176" s="968" t="s">
        <v>376</v>
      </c>
      <c r="AV176" s="968" t="s">
        <v>401</v>
      </c>
      <c r="AW176" s="968" t="s">
        <v>402</v>
      </c>
      <c r="AX176" s="968" t="s">
        <v>403</v>
      </c>
      <c r="AY176" s="968" t="s">
        <v>404</v>
      </c>
      <c r="AZ176" s="968" t="s">
        <v>405</v>
      </c>
    </row>
    <row r="177" spans="1:52" s="8" customFormat="1" ht="21.6" thickBot="1">
      <c r="A177" s="17"/>
      <c r="B177" s="17"/>
      <c r="C177" s="469"/>
      <c r="D177" s="469"/>
      <c r="E177" s="527"/>
      <c r="F177" s="469"/>
      <c r="G177" s="469"/>
      <c r="H177" s="469"/>
      <c r="N177" s="340"/>
      <c r="O177" s="1175" t="s">
        <v>243</v>
      </c>
      <c r="P177" s="1176"/>
      <c r="Q177" s="1177"/>
      <c r="R177" s="222">
        <f>$G$176-R176</f>
        <v>6.8</v>
      </c>
      <c r="S177" s="117"/>
      <c r="T177" s="117"/>
      <c r="U177" s="117"/>
      <c r="V177" s="117"/>
      <c r="W177" s="117"/>
      <c r="X177" s="117"/>
      <c r="AA177" s="332">
        <v>92.4</v>
      </c>
      <c r="AO177" s="497">
        <v>0</v>
      </c>
      <c r="AP177" s="497">
        <v>0</v>
      </c>
      <c r="AQ177" s="497">
        <v>0</v>
      </c>
      <c r="AR177" s="497">
        <v>0</v>
      </c>
      <c r="AS177" s="497">
        <v>0</v>
      </c>
      <c r="AT177" s="970">
        <v>50</v>
      </c>
      <c r="AU177" s="497">
        <v>52</v>
      </c>
      <c r="AV177" s="497">
        <v>99</v>
      </c>
      <c r="AW177" s="497">
        <v>0.4</v>
      </c>
      <c r="AX177" s="497">
        <v>0</v>
      </c>
      <c r="AY177" s="497">
        <v>0</v>
      </c>
      <c r="AZ177" s="497">
        <v>0</v>
      </c>
    </row>
    <row r="178" spans="1:52" s="8" customFormat="1" ht="21.6" thickBot="1">
      <c r="A178" s="17"/>
      <c r="B178" s="17"/>
      <c r="C178" s="469"/>
      <c r="D178" s="469"/>
      <c r="E178" s="527"/>
      <c r="F178" s="469"/>
      <c r="G178" s="469"/>
      <c r="H178" s="469"/>
      <c r="N178" s="340"/>
      <c r="O178" s="340"/>
      <c r="P178" s="340"/>
      <c r="Q178" s="340"/>
      <c r="R178" s="433"/>
      <c r="S178" s="117"/>
      <c r="T178" s="117"/>
      <c r="U178" s="117"/>
      <c r="V178" s="117"/>
      <c r="W178" s="8" t="s">
        <v>301</v>
      </c>
      <c r="X178" s="117"/>
      <c r="Y178" s="396">
        <f>R177/Y176</f>
        <v>0.1328125</v>
      </c>
      <c r="Z178" s="392" t="s">
        <v>302</v>
      </c>
      <c r="AO178" s="497"/>
      <c r="AP178" s="497"/>
      <c r="AQ178" s="497"/>
      <c r="AR178" s="497"/>
      <c r="AS178" s="497"/>
      <c r="AT178" s="970"/>
      <c r="AU178" s="497"/>
      <c r="AV178" s="497"/>
      <c r="AW178" s="497"/>
      <c r="AX178" s="497"/>
      <c r="AY178" s="497"/>
      <c r="AZ178" s="497"/>
    </row>
    <row r="179" spans="1:52" s="8" customFormat="1" ht="30.6" thickBot="1">
      <c r="A179" s="17"/>
      <c r="B179" s="17"/>
      <c r="C179" s="469"/>
      <c r="D179" s="469"/>
      <c r="E179" s="527"/>
      <c r="F179" s="469"/>
      <c r="G179" s="469"/>
      <c r="H179" s="469"/>
      <c r="N179" s="340"/>
      <c r="O179" s="340"/>
      <c r="P179" s="340"/>
      <c r="Q179" s="340"/>
      <c r="R179" s="285"/>
      <c r="S179" s="117"/>
      <c r="T179" s="117"/>
      <c r="U179" s="117"/>
      <c r="V179" s="117"/>
      <c r="W179" s="8" t="s">
        <v>303</v>
      </c>
      <c r="Y179" s="395">
        <f>(R177-Y176)/Y176</f>
        <v>-0.86718750000000011</v>
      </c>
      <c r="Z179" s="392" t="s">
        <v>302</v>
      </c>
      <c r="AO179" s="1389" t="s">
        <v>439</v>
      </c>
      <c r="AP179" s="1389"/>
      <c r="AQ179" s="1389"/>
      <c r="AR179" s="1389"/>
      <c r="AS179" s="1389"/>
      <c r="AT179" s="1389"/>
      <c r="AU179" s="1389"/>
      <c r="AV179" s="1389"/>
      <c r="AW179" s="1389"/>
      <c r="AX179" s="1389"/>
      <c r="AY179" s="1389"/>
      <c r="AZ179" s="1389"/>
    </row>
    <row r="180" spans="1:52" s="8" customFormat="1" ht="21.6" thickBot="1">
      <c r="A180" s="17"/>
      <c r="B180" s="17"/>
      <c r="C180" s="469"/>
      <c r="D180" s="469"/>
      <c r="E180" s="527"/>
      <c r="F180" s="469"/>
      <c r="G180" s="469"/>
      <c r="H180" s="469"/>
      <c r="N180" s="340"/>
      <c r="O180" s="340"/>
      <c r="P180" s="340"/>
      <c r="Q180" s="340"/>
      <c r="R180" s="285">
        <v>0</v>
      </c>
      <c r="S180" s="117"/>
      <c r="T180" s="117"/>
      <c r="U180" s="117"/>
      <c r="V180" s="117"/>
      <c r="W180" s="117"/>
      <c r="X180" s="117"/>
      <c r="AO180" s="968" t="s">
        <v>396</v>
      </c>
      <c r="AP180" s="968" t="s">
        <v>397</v>
      </c>
      <c r="AQ180" s="968" t="s">
        <v>398</v>
      </c>
      <c r="AR180" s="968" t="s">
        <v>399</v>
      </c>
      <c r="AS180" s="968" t="s">
        <v>400</v>
      </c>
      <c r="AT180" s="969" t="s">
        <v>375</v>
      </c>
      <c r="AU180" s="968" t="s">
        <v>376</v>
      </c>
      <c r="AV180" s="968" t="s">
        <v>401</v>
      </c>
      <c r="AW180" s="968" t="s">
        <v>402</v>
      </c>
      <c r="AX180" s="968" t="s">
        <v>403</v>
      </c>
      <c r="AY180" s="968" t="s">
        <v>404</v>
      </c>
      <c r="AZ180" s="968" t="s">
        <v>405</v>
      </c>
    </row>
    <row r="181" spans="1:52" s="8" customFormat="1" ht="30" customHeight="1" thickBot="1">
      <c r="A181" s="119">
        <v>135</v>
      </c>
      <c r="B181" s="1033" t="s">
        <v>491</v>
      </c>
      <c r="C181" s="640"/>
      <c r="D181" s="641"/>
      <c r="E181" s="642"/>
      <c r="F181" s="643"/>
      <c r="G181" s="644" t="s">
        <v>35</v>
      </c>
      <c r="H181" s="645"/>
      <c r="I181" s="169"/>
      <c r="J181" s="132"/>
      <c r="K181" s="107">
        <v>30</v>
      </c>
      <c r="L181" s="108" t="s">
        <v>39</v>
      </c>
      <c r="M181" s="109"/>
      <c r="N181" s="340" t="s">
        <v>538</v>
      </c>
      <c r="O181" s="1355" t="s">
        <v>491</v>
      </c>
      <c r="P181" s="1356"/>
      <c r="Q181" s="1357"/>
      <c r="R181" s="279" t="s">
        <v>262</v>
      </c>
      <c r="S181" s="117"/>
      <c r="T181" s="117"/>
      <c r="U181" s="117"/>
      <c r="V181" s="117"/>
      <c r="W181" s="117"/>
      <c r="X181" s="117"/>
      <c r="AO181" s="497">
        <v>0</v>
      </c>
      <c r="AP181" s="497">
        <v>0</v>
      </c>
      <c r="AQ181" s="973">
        <f t="shared" ref="AQ181:AZ181" si="142">AQ177*1.2</f>
        <v>0</v>
      </c>
      <c r="AR181" s="973">
        <f t="shared" si="142"/>
        <v>0</v>
      </c>
      <c r="AS181" s="973">
        <f t="shared" si="142"/>
        <v>0</v>
      </c>
      <c r="AT181" s="974">
        <f t="shared" si="142"/>
        <v>60</v>
      </c>
      <c r="AU181" s="973">
        <f t="shared" si="142"/>
        <v>62.4</v>
      </c>
      <c r="AV181" s="973">
        <f t="shared" si="142"/>
        <v>118.8</v>
      </c>
      <c r="AW181" s="973">
        <f t="shared" si="142"/>
        <v>0.48</v>
      </c>
      <c r="AX181" s="973">
        <f t="shared" si="142"/>
        <v>0</v>
      </c>
      <c r="AY181" s="973">
        <f t="shared" si="142"/>
        <v>0</v>
      </c>
      <c r="AZ181" s="973">
        <f t="shared" si="142"/>
        <v>0</v>
      </c>
    </row>
    <row r="182" spans="1:52" s="8" customFormat="1" ht="28.5" customHeight="1">
      <c r="A182" s="64" t="s">
        <v>493</v>
      </c>
      <c r="B182" s="1032" t="s">
        <v>489</v>
      </c>
      <c r="C182" s="575"/>
      <c r="D182" s="673"/>
      <c r="E182" s="674"/>
      <c r="F182" s="578"/>
      <c r="G182" s="933">
        <f>J182*0.2</f>
        <v>0</v>
      </c>
      <c r="H182" s="625">
        <f>G182/0.2</f>
        <v>0</v>
      </c>
      <c r="I182" s="58">
        <f>(J182*$K$172)+K182</f>
        <v>0</v>
      </c>
      <c r="J182" s="58">
        <f>(K182*$K$172)+L182</f>
        <v>0</v>
      </c>
      <c r="K182" s="95"/>
      <c r="L182" s="95"/>
      <c r="M182" s="12"/>
      <c r="N182" s="340"/>
      <c r="O182" s="1190" t="s">
        <v>245</v>
      </c>
      <c r="P182" s="1191"/>
      <c r="Q182" s="1192"/>
      <c r="R182" s="220">
        <v>0</v>
      </c>
      <c r="S182" s="117"/>
      <c r="T182" s="117"/>
      <c r="U182" s="117"/>
      <c r="V182" s="117"/>
      <c r="W182" s="117"/>
      <c r="X182" s="117"/>
      <c r="AT182" s="332"/>
    </row>
    <row r="183" spans="1:52" s="8" customFormat="1">
      <c r="A183" s="64"/>
      <c r="B183" s="72"/>
      <c r="C183" s="546"/>
      <c r="D183" s="675"/>
      <c r="E183" s="553"/>
      <c r="F183" s="582"/>
      <c r="G183" s="933">
        <f>J183*0.2</f>
        <v>0</v>
      </c>
      <c r="H183" s="934">
        <f t="shared" ref="H183:H184" si="143">G183/0.2</f>
        <v>0</v>
      </c>
      <c r="I183" s="164"/>
      <c r="J183" s="59">
        <f>(K183*$K$172)+L183</f>
        <v>0</v>
      </c>
      <c r="K183" s="289"/>
      <c r="L183" s="289"/>
      <c r="M183" s="72"/>
      <c r="N183" s="340"/>
      <c r="O183" s="1258" t="s">
        <v>244</v>
      </c>
      <c r="P183" s="1259"/>
      <c r="Q183" s="1260"/>
      <c r="R183" s="158">
        <v>0</v>
      </c>
      <c r="S183" s="117"/>
      <c r="T183" s="117"/>
      <c r="U183" s="117"/>
      <c r="V183" s="117"/>
      <c r="W183" s="117"/>
      <c r="X183" s="117"/>
      <c r="AT183" s="332"/>
    </row>
    <row r="184" spans="1:52" s="8" customFormat="1" ht="21.6" thickBot="1">
      <c r="A184" s="64"/>
      <c r="B184" s="13"/>
      <c r="C184" s="466"/>
      <c r="D184" s="622"/>
      <c r="E184" s="536"/>
      <c r="F184" s="505"/>
      <c r="G184" s="610">
        <f>J184*0.2</f>
        <v>0</v>
      </c>
      <c r="H184" s="465">
        <f t="shared" si="143"/>
        <v>0</v>
      </c>
      <c r="I184" s="164"/>
      <c r="J184" s="134">
        <f>(K184*$K$172)+L184</f>
        <v>0</v>
      </c>
      <c r="K184" s="96"/>
      <c r="L184" s="96"/>
      <c r="M184" s="13"/>
      <c r="N184" s="340"/>
      <c r="O184" s="1289" t="s">
        <v>242</v>
      </c>
      <c r="P184" s="1290"/>
      <c r="Q184" s="1291"/>
      <c r="R184" s="221">
        <f>SUM(R182:R183)</f>
        <v>0</v>
      </c>
      <c r="S184" s="117" t="s">
        <v>354</v>
      </c>
      <c r="T184" s="117"/>
      <c r="U184" s="117"/>
      <c r="V184" s="117"/>
      <c r="W184" s="117"/>
      <c r="X184" s="117"/>
      <c r="AT184" s="332"/>
    </row>
    <row r="185" spans="1:52" s="8" customFormat="1" ht="21.6" thickBot="1">
      <c r="A185" s="117"/>
      <c r="B185" s="117"/>
      <c r="C185" s="453"/>
      <c r="D185" s="632"/>
      <c r="E185" s="613"/>
      <c r="F185" s="614">
        <f>SUM(F182:F184)</f>
        <v>0</v>
      </c>
      <c r="G185" s="615">
        <f t="shared" ref="G185" si="144">SUM(G182:G184)</f>
        <v>0</v>
      </c>
      <c r="H185" s="646"/>
      <c r="I185" s="286"/>
      <c r="J185" s="61">
        <f t="shared" ref="J185" si="145">SUM(J182:J184)</f>
        <v>0</v>
      </c>
      <c r="K185" s="117"/>
      <c r="L185" s="117"/>
      <c r="M185" s="117"/>
      <c r="N185" s="340"/>
      <c r="O185" s="1175" t="s">
        <v>243</v>
      </c>
      <c r="P185" s="1176"/>
      <c r="Q185" s="1177"/>
      <c r="R185" s="222">
        <f>$G$185-R1815</f>
        <v>0</v>
      </c>
      <c r="S185" s="117"/>
      <c r="T185" s="117"/>
      <c r="U185" s="117"/>
      <c r="V185" s="117"/>
      <c r="W185" s="117"/>
      <c r="X185" s="117"/>
      <c r="AT185" s="332"/>
    </row>
    <row r="186" spans="1:52" s="8" customFormat="1">
      <c r="A186" s="17"/>
      <c r="B186" s="17"/>
      <c r="C186" s="469"/>
      <c r="D186" s="469"/>
      <c r="E186" s="527"/>
      <c r="F186" s="469"/>
      <c r="G186" s="469"/>
      <c r="H186" s="469"/>
      <c r="N186" s="340"/>
      <c r="O186" s="340"/>
      <c r="P186" s="340"/>
      <c r="Q186" s="340"/>
      <c r="R186" s="285"/>
      <c r="S186" s="117"/>
      <c r="T186" s="117"/>
      <c r="U186" s="117"/>
      <c r="V186" s="117"/>
      <c r="W186" s="117"/>
      <c r="X186" s="117"/>
      <c r="AT186" s="332"/>
    </row>
    <row r="187" spans="1:52" s="8" customFormat="1" ht="21.6" thickBot="1">
      <c r="A187" s="17"/>
      <c r="B187" s="17"/>
      <c r="C187" s="469"/>
      <c r="D187" s="469"/>
      <c r="E187" s="527"/>
      <c r="F187" s="469"/>
      <c r="G187" s="469"/>
      <c r="H187" s="469"/>
      <c r="N187" s="340"/>
      <c r="O187" s="340"/>
      <c r="P187" s="340"/>
      <c r="Q187" s="340"/>
      <c r="R187" s="285"/>
      <c r="S187" s="390"/>
      <c r="T187" s="117"/>
      <c r="U187" s="117"/>
      <c r="V187" s="117"/>
      <c r="W187" s="117"/>
      <c r="X187" s="117"/>
      <c r="AT187" s="332"/>
    </row>
    <row r="188" spans="1:52" s="8" customFormat="1" ht="23.4" thickBot="1">
      <c r="A188" s="122">
        <v>150</v>
      </c>
      <c r="B188" s="907" t="s">
        <v>129</v>
      </c>
      <c r="C188" s="677"/>
      <c r="D188" s="678"/>
      <c r="E188" s="679" t="s">
        <v>885</v>
      </c>
      <c r="F188" s="680"/>
      <c r="G188" s="681" t="s">
        <v>35</v>
      </c>
      <c r="H188" s="682"/>
      <c r="I188" s="169"/>
      <c r="J188" s="78"/>
      <c r="K188" s="123">
        <v>30</v>
      </c>
      <c r="L188" s="124" t="s">
        <v>39</v>
      </c>
      <c r="M188" s="125"/>
      <c r="N188" s="340" t="s">
        <v>538</v>
      </c>
      <c r="AT188" s="332"/>
    </row>
    <row r="189" spans="1:52" s="8" customFormat="1">
      <c r="A189" s="64" t="s">
        <v>130</v>
      </c>
      <c r="B189" s="13"/>
      <c r="C189" s="479" t="s">
        <v>755</v>
      </c>
      <c r="D189" s="623" t="s">
        <v>218</v>
      </c>
      <c r="E189" s="517" t="s">
        <v>776</v>
      </c>
      <c r="F189" s="503">
        <v>300</v>
      </c>
      <c r="G189" s="487">
        <f>J189*0.2</f>
        <v>200.60000000000002</v>
      </c>
      <c r="H189" s="465">
        <f>G189/0.2</f>
        <v>1003.0000000000001</v>
      </c>
      <c r="I189" s="167"/>
      <c r="J189" s="27">
        <f>(K189*$K$188)+L189</f>
        <v>1003</v>
      </c>
      <c r="K189" s="96">
        <v>33</v>
      </c>
      <c r="L189" s="96">
        <v>13</v>
      </c>
      <c r="M189" s="14"/>
      <c r="N189" s="340"/>
      <c r="Y189" s="117"/>
      <c r="Z189" s="117"/>
      <c r="AA189" s="117"/>
      <c r="AB189" s="117"/>
      <c r="AC189" s="117"/>
      <c r="AD189" s="117"/>
      <c r="AT189" s="332"/>
    </row>
    <row r="190" spans="1:52" s="8" customFormat="1">
      <c r="A190" s="115" t="s">
        <v>130</v>
      </c>
      <c r="B190" s="13"/>
      <c r="C190" s="479" t="s">
        <v>790</v>
      </c>
      <c r="D190" s="623" t="s">
        <v>218</v>
      </c>
      <c r="E190" s="517" t="s">
        <v>814</v>
      </c>
      <c r="F190" s="503">
        <v>300</v>
      </c>
      <c r="G190" s="487">
        <f>J190*0.2</f>
        <v>200.8</v>
      </c>
      <c r="H190" s="465">
        <f>G190/0.2</f>
        <v>1004</v>
      </c>
      <c r="I190" s="167"/>
      <c r="J190" s="27">
        <f>(K190*$K$188)+L190</f>
        <v>1004</v>
      </c>
      <c r="K190" s="96">
        <v>33</v>
      </c>
      <c r="L190" s="96">
        <v>14</v>
      </c>
      <c r="M190" s="14"/>
      <c r="N190" s="340"/>
      <c r="AT190" s="332"/>
    </row>
    <row r="191" spans="1:52" s="8" customFormat="1">
      <c r="A191" s="115" t="s">
        <v>131</v>
      </c>
      <c r="B191" s="13"/>
      <c r="C191" s="479" t="s">
        <v>839</v>
      </c>
      <c r="D191" s="623" t="s">
        <v>219</v>
      </c>
      <c r="E191" s="517" t="s">
        <v>859</v>
      </c>
      <c r="F191" s="503">
        <v>150</v>
      </c>
      <c r="G191" s="487">
        <f>H191*0.2</f>
        <v>100.4</v>
      </c>
      <c r="H191" s="465">
        <v>502</v>
      </c>
      <c r="I191" s="167"/>
      <c r="J191" s="27">
        <f>(K191*$K$188)+L191</f>
        <v>502</v>
      </c>
      <c r="K191" s="96">
        <v>16</v>
      </c>
      <c r="L191" s="96">
        <v>22</v>
      </c>
      <c r="M191" s="14"/>
      <c r="N191" s="340"/>
      <c r="AT191" s="332"/>
    </row>
    <row r="192" spans="1:52" s="8" customFormat="1">
      <c r="A192" s="115"/>
      <c r="B192" s="13"/>
      <c r="C192" s="479"/>
      <c r="D192" s="623"/>
      <c r="E192" s="517"/>
      <c r="F192" s="503"/>
      <c r="G192" s="487">
        <f t="shared" ref="G192:G195" si="146">J192*0.2</f>
        <v>0</v>
      </c>
      <c r="H192" s="465">
        <f t="shared" ref="H192:H195" si="147">G192/0.2</f>
        <v>0</v>
      </c>
      <c r="I192" s="167"/>
      <c r="J192" s="27">
        <f t="shared" ref="J192:J195" si="148">(K192*$K$188)+L192</f>
        <v>0</v>
      </c>
      <c r="K192" s="96"/>
      <c r="L192" s="96"/>
      <c r="M192" s="14"/>
      <c r="N192" s="340"/>
      <c r="AT192" s="332"/>
    </row>
    <row r="193" spans="1:52" s="8" customFormat="1" ht="28.5" customHeight="1" thickBot="1">
      <c r="B193" s="13"/>
      <c r="C193" s="479"/>
      <c r="D193" s="623"/>
      <c r="E193" s="517"/>
      <c r="F193" s="503"/>
      <c r="G193" s="487">
        <f t="shared" si="146"/>
        <v>0</v>
      </c>
      <c r="H193" s="465">
        <f t="shared" si="147"/>
        <v>0</v>
      </c>
      <c r="I193" s="167"/>
      <c r="J193" s="27">
        <f t="shared" si="148"/>
        <v>0</v>
      </c>
      <c r="K193" s="96"/>
      <c r="L193" s="96"/>
      <c r="M193" s="14"/>
      <c r="N193" s="340"/>
      <c r="AT193" s="332"/>
    </row>
    <row r="194" spans="1:52" s="8" customFormat="1" ht="30.75" customHeight="1" thickBot="1">
      <c r="B194" s="13"/>
      <c r="C194" s="479"/>
      <c r="D194" s="623"/>
      <c r="E194" s="517"/>
      <c r="F194" s="503"/>
      <c r="G194" s="487">
        <f t="shared" si="146"/>
        <v>0</v>
      </c>
      <c r="H194" s="465">
        <f t="shared" si="147"/>
        <v>0</v>
      </c>
      <c r="I194" s="167"/>
      <c r="J194" s="27">
        <f t="shared" si="148"/>
        <v>0</v>
      </c>
      <c r="K194" s="96"/>
      <c r="L194" s="96"/>
      <c r="M194" s="14"/>
      <c r="N194" s="340"/>
      <c r="O194" s="1376" t="s">
        <v>129</v>
      </c>
      <c r="P194" s="1377"/>
      <c r="Q194" s="1378"/>
      <c r="R194" s="279" t="s">
        <v>262</v>
      </c>
      <c r="T194" s="1168" t="s">
        <v>268</v>
      </c>
      <c r="U194" s="1169"/>
      <c r="V194" s="1169"/>
      <c r="W194" s="1170"/>
      <c r="Y194" s="1232" t="s">
        <v>269</v>
      </c>
      <c r="Z194" s="1233"/>
      <c r="AF194" s="1224" t="s">
        <v>366</v>
      </c>
      <c r="AG194" s="1225"/>
      <c r="AH194" s="1225"/>
      <c r="AI194" s="1226"/>
      <c r="AO194" s="1389" t="s">
        <v>420</v>
      </c>
      <c r="AP194" s="1389"/>
      <c r="AQ194" s="1389"/>
      <c r="AR194" s="1389"/>
      <c r="AS194" s="1389"/>
      <c r="AT194" s="1389"/>
      <c r="AU194" s="1389"/>
      <c r="AV194" s="1389"/>
      <c r="AW194" s="1389"/>
      <c r="AX194" s="1389"/>
      <c r="AY194" s="1389"/>
      <c r="AZ194" s="1389"/>
    </row>
    <row r="195" spans="1:52" s="8" customFormat="1" ht="29.25" customHeight="1" thickBot="1">
      <c r="B195" s="13"/>
      <c r="C195" s="479"/>
      <c r="D195" s="623"/>
      <c r="E195" s="517"/>
      <c r="F195" s="503"/>
      <c r="G195" s="487">
        <f t="shared" si="146"/>
        <v>0</v>
      </c>
      <c r="H195" s="465">
        <f t="shared" si="147"/>
        <v>0</v>
      </c>
      <c r="I195" s="167"/>
      <c r="J195" s="27">
        <f t="shared" si="148"/>
        <v>0</v>
      </c>
      <c r="K195" s="96"/>
      <c r="L195" s="96"/>
      <c r="M195" s="14"/>
      <c r="N195" s="340"/>
      <c r="O195" s="1190" t="s">
        <v>298</v>
      </c>
      <c r="P195" s="1191"/>
      <c r="Q195" s="1192"/>
      <c r="R195" s="220">
        <v>10</v>
      </c>
      <c r="T195" s="1165" t="s">
        <v>299</v>
      </c>
      <c r="U195" s="1166"/>
      <c r="V195" s="1167"/>
      <c r="W195" s="309">
        <v>16.399999999999999</v>
      </c>
      <c r="Y195" s="1234" t="s">
        <v>270</v>
      </c>
      <c r="Z195" s="1235"/>
      <c r="AA195" s="1238" t="s">
        <v>271</v>
      </c>
      <c r="AB195" s="319"/>
      <c r="AC195" s="321"/>
      <c r="AD195" s="321"/>
      <c r="AF195" s="1227"/>
      <c r="AG195" s="1228"/>
      <c r="AH195" s="1228"/>
      <c r="AI195" s="1229"/>
      <c r="AJ195" s="1135">
        <f>(R198-(AJ197*AA197))/(AJ197*AA197)</f>
        <v>6.5693562661125879</v>
      </c>
      <c r="AO195" s="968" t="s">
        <v>396</v>
      </c>
      <c r="AP195" s="968" t="s">
        <v>397</v>
      </c>
      <c r="AQ195" s="968" t="s">
        <v>398</v>
      </c>
      <c r="AR195" s="968" t="s">
        <v>399</v>
      </c>
      <c r="AS195" s="968" t="s">
        <v>400</v>
      </c>
      <c r="AT195" s="969" t="s">
        <v>375</v>
      </c>
      <c r="AU195" s="968" t="s">
        <v>376</v>
      </c>
      <c r="AV195" s="968" t="s">
        <v>401</v>
      </c>
      <c r="AW195" s="968" t="s">
        <v>402</v>
      </c>
      <c r="AX195" s="968" t="s">
        <v>403</v>
      </c>
      <c r="AY195" s="968" t="s">
        <v>404</v>
      </c>
      <c r="AZ195" s="968" t="s">
        <v>405</v>
      </c>
    </row>
    <row r="196" spans="1:52" s="8" customFormat="1" ht="22.2" thickTop="1" thickBot="1">
      <c r="B196" s="13"/>
      <c r="C196" s="479"/>
      <c r="D196" s="623"/>
      <c r="E196" s="517"/>
      <c r="F196" s="503"/>
      <c r="G196" s="487">
        <f t="shared" ref="G196" si="149">J196*0.2</f>
        <v>0</v>
      </c>
      <c r="H196" s="465">
        <f t="shared" ref="H196" si="150">G196/0.2</f>
        <v>0</v>
      </c>
      <c r="I196" s="167"/>
      <c r="J196" s="27">
        <f t="shared" ref="J196" si="151">(K196*$K$188)+L196</f>
        <v>0</v>
      </c>
      <c r="K196" s="96"/>
      <c r="L196" s="96"/>
      <c r="M196" s="14"/>
      <c r="N196" s="340"/>
      <c r="O196" s="1165" t="s">
        <v>299</v>
      </c>
      <c r="P196" s="1166"/>
      <c r="Q196" s="1167"/>
      <c r="R196" s="1114"/>
      <c r="W196" s="308"/>
      <c r="Y196" s="1236"/>
      <c r="Z196" s="1237"/>
      <c r="AA196" s="1239"/>
      <c r="AB196" s="319"/>
      <c r="AC196" s="1240" t="s">
        <v>272</v>
      </c>
      <c r="AD196" s="1241"/>
      <c r="AF196" s="999" t="s">
        <v>679</v>
      </c>
      <c r="AG196" s="960" t="s">
        <v>680</v>
      </c>
      <c r="AH196" s="1003" t="s">
        <v>268</v>
      </c>
      <c r="AI196" s="959" t="s">
        <v>681</v>
      </c>
      <c r="AJ196" s="8" t="s">
        <v>622</v>
      </c>
      <c r="AO196" s="497">
        <v>245</v>
      </c>
      <c r="AP196" s="497">
        <v>464</v>
      </c>
      <c r="AQ196" s="497">
        <v>529</v>
      </c>
      <c r="AR196" s="497">
        <v>337</v>
      </c>
      <c r="AS196" s="497">
        <v>456</v>
      </c>
      <c r="AT196" s="970">
        <v>584</v>
      </c>
      <c r="AU196" s="497">
        <v>740</v>
      </c>
      <c r="AV196" s="497">
        <v>685</v>
      </c>
      <c r="AW196" s="497">
        <v>372</v>
      </c>
      <c r="AX196" s="497">
        <v>346</v>
      </c>
      <c r="AY196" s="497">
        <v>575</v>
      </c>
      <c r="AZ196" s="497">
        <v>574</v>
      </c>
    </row>
    <row r="197" spans="1:52" s="8" customFormat="1" ht="31.2" thickTop="1" thickBot="1">
      <c r="B197" s="13"/>
      <c r="C197" s="479"/>
      <c r="D197" s="623"/>
      <c r="E197" s="517"/>
      <c r="F197" s="503"/>
      <c r="G197" s="487">
        <f t="shared" ref="G197" si="152">J197*0.2</f>
        <v>0</v>
      </c>
      <c r="H197" s="465">
        <f t="shared" ref="H197" si="153">G197/0.2</f>
        <v>0</v>
      </c>
      <c r="I197" s="167"/>
      <c r="J197" s="27">
        <f t="shared" ref="J197" si="154">(K197*$K$188)+L197</f>
        <v>0</v>
      </c>
      <c r="K197" s="96"/>
      <c r="L197" s="96"/>
      <c r="M197" s="14"/>
      <c r="N197" s="340"/>
      <c r="O197" s="1289" t="s">
        <v>242</v>
      </c>
      <c r="P197" s="1290"/>
      <c r="Q197" s="1291"/>
      <c r="R197" s="221">
        <f>SUM(R195:R196)</f>
        <v>10</v>
      </c>
      <c r="S197" s="277"/>
      <c r="Y197" s="1182">
        <f>R195+W195</f>
        <v>26.4</v>
      </c>
      <c r="Z197" s="1183"/>
      <c r="AA197" s="318">
        <v>95</v>
      </c>
      <c r="AC197" s="1292">
        <f>Y197/AA197</f>
        <v>0.27789473684210525</v>
      </c>
      <c r="AD197" s="1293"/>
      <c r="AF197" s="1004">
        <v>0.92515789473684207</v>
      </c>
      <c r="AG197" s="1005">
        <v>0.83368421052631581</v>
      </c>
      <c r="AH197" s="1005">
        <v>0.69894736842105265</v>
      </c>
      <c r="AI197" s="1001">
        <v>0.27789473684210525</v>
      </c>
      <c r="AJ197" s="229">
        <f>AVERAGE(AF197:AI197)</f>
        <v>0.68392105263157899</v>
      </c>
      <c r="AO197" s="1389" t="s">
        <v>440</v>
      </c>
      <c r="AP197" s="1389"/>
      <c r="AQ197" s="1389"/>
      <c r="AR197" s="1389"/>
      <c r="AS197" s="1389"/>
      <c r="AT197" s="1389"/>
      <c r="AU197" s="1389"/>
      <c r="AV197" s="1389"/>
      <c r="AW197" s="1389"/>
      <c r="AX197" s="1389"/>
      <c r="AY197" s="1389"/>
      <c r="AZ197" s="1389"/>
    </row>
    <row r="198" spans="1:52" s="117" customFormat="1" ht="31.5" customHeight="1" thickBot="1">
      <c r="A198" s="8"/>
      <c r="B198" s="13"/>
      <c r="C198" s="479"/>
      <c r="D198" s="623"/>
      <c r="E198" s="517"/>
      <c r="F198" s="503"/>
      <c r="G198" s="487">
        <f t="shared" ref="G198" si="155">J198*0.2</f>
        <v>0</v>
      </c>
      <c r="H198" s="465">
        <f t="shared" ref="H198" si="156">G198/0.2</f>
        <v>0</v>
      </c>
      <c r="I198" s="167"/>
      <c r="J198" s="27">
        <f t="shared" ref="J198" si="157">(K198*$K$188)+L198</f>
        <v>0</v>
      </c>
      <c r="K198" s="96"/>
      <c r="L198" s="96"/>
      <c r="M198" s="14"/>
      <c r="N198" s="340"/>
      <c r="O198" s="1175" t="s">
        <v>243</v>
      </c>
      <c r="P198" s="1176"/>
      <c r="Q198" s="1177"/>
      <c r="R198" s="222">
        <f>$G$199-R197</f>
        <v>491.80000000000007</v>
      </c>
      <c r="S198" s="390"/>
      <c r="T198" s="390"/>
      <c r="Y198" s="1256"/>
      <c r="Z198" s="1162"/>
      <c r="AA198" s="332">
        <v>93.23</v>
      </c>
      <c r="AB198" s="8"/>
      <c r="AC198" s="8"/>
      <c r="AD198" s="8"/>
      <c r="AE198" s="8"/>
      <c r="AF198" s="8"/>
      <c r="AG198" s="8"/>
      <c r="AH198" s="8"/>
      <c r="AI198" s="8"/>
      <c r="AO198" s="968" t="s">
        <v>396</v>
      </c>
      <c r="AP198" s="968" t="s">
        <v>397</v>
      </c>
      <c r="AQ198" s="968" t="s">
        <v>398</v>
      </c>
      <c r="AR198" s="968" t="s">
        <v>399</v>
      </c>
      <c r="AS198" s="968" t="s">
        <v>400</v>
      </c>
      <c r="AT198" s="969" t="s">
        <v>375</v>
      </c>
      <c r="AU198" s="968" t="s">
        <v>376</v>
      </c>
      <c r="AV198" s="968" t="s">
        <v>401</v>
      </c>
      <c r="AW198" s="968" t="s">
        <v>402</v>
      </c>
      <c r="AX198" s="968" t="s">
        <v>403</v>
      </c>
      <c r="AY198" s="968" t="s">
        <v>404</v>
      </c>
      <c r="AZ198" s="968" t="s">
        <v>405</v>
      </c>
    </row>
    <row r="199" spans="1:52" s="8" customFormat="1" ht="21.6" thickBot="1">
      <c r="A199" s="117"/>
      <c r="B199" s="117"/>
      <c r="C199" s="453"/>
      <c r="D199" s="632"/>
      <c r="E199" s="613"/>
      <c r="F199" s="614">
        <f>SUM(F189:F198)</f>
        <v>750</v>
      </c>
      <c r="G199" s="615">
        <f>SUM(G189:G198)</f>
        <v>501.80000000000007</v>
      </c>
      <c r="H199" s="596">
        <f>SUM(H189:H198)</f>
        <v>2509</v>
      </c>
      <c r="I199" s="201"/>
      <c r="J199" s="61">
        <f>SUM(J189:J198)</f>
        <v>2509</v>
      </c>
      <c r="K199" s="117"/>
      <c r="L199" s="117"/>
      <c r="M199" s="117">
        <f>439-401</f>
        <v>38</v>
      </c>
      <c r="N199" s="340"/>
      <c r="O199" s="8" t="s">
        <v>318</v>
      </c>
      <c r="Q199" s="8">
        <v>614</v>
      </c>
      <c r="T199" s="299"/>
      <c r="W199" s="8" t="s">
        <v>301</v>
      </c>
      <c r="X199" s="117"/>
      <c r="Y199" s="396">
        <f>R198/Y197</f>
        <v>18.628787878787882</v>
      </c>
      <c r="Z199" s="392" t="s">
        <v>302</v>
      </c>
      <c r="AE199" s="117"/>
      <c r="AO199" s="1035">
        <v>316</v>
      </c>
      <c r="AP199" s="1035">
        <v>555</v>
      </c>
      <c r="AQ199" s="1036">
        <v>469.8</v>
      </c>
      <c r="AR199" s="1036">
        <v>441.8</v>
      </c>
      <c r="AS199" s="1036">
        <v>449</v>
      </c>
      <c r="AT199" s="1039">
        <v>448</v>
      </c>
      <c r="AU199" s="1036">
        <v>462</v>
      </c>
      <c r="AV199" s="1036">
        <v>490</v>
      </c>
      <c r="AW199" s="1036">
        <v>267</v>
      </c>
      <c r="AX199" s="1036">
        <v>236</v>
      </c>
      <c r="AY199" s="1036">
        <v>433</v>
      </c>
      <c r="AZ199" s="1036">
        <v>380</v>
      </c>
    </row>
    <row r="200" spans="1:52" s="8" customFormat="1" ht="30.75" customHeight="1" thickBot="1">
      <c r="A200" s="17"/>
      <c r="B200" s="17"/>
      <c r="C200" s="469"/>
      <c r="D200" s="469"/>
      <c r="E200" s="527"/>
      <c r="F200" s="469"/>
      <c r="G200" s="469"/>
      <c r="H200" s="469"/>
      <c r="N200" s="340"/>
      <c r="O200" s="8" t="s">
        <v>328</v>
      </c>
      <c r="P200" s="8" t="s">
        <v>329</v>
      </c>
      <c r="R200" s="8">
        <v>41.6</v>
      </c>
      <c r="S200" s="299"/>
      <c r="W200" s="8" t="s">
        <v>303</v>
      </c>
      <c r="Y200" s="396">
        <f>(R198-Y197)/Y197</f>
        <v>17.628787878787882</v>
      </c>
      <c r="Z200" s="392" t="s">
        <v>302</v>
      </c>
      <c r="AA200" s="117"/>
      <c r="AB200" s="117"/>
      <c r="AC200" s="117"/>
      <c r="AD200" s="117"/>
      <c r="AI200" s="305">
        <v>900</v>
      </c>
      <c r="AT200" s="332"/>
    </row>
    <row r="201" spans="1:52" s="8" customFormat="1" ht="23.4" thickBot="1">
      <c r="A201" s="122">
        <v>156</v>
      </c>
      <c r="B201" s="907" t="s">
        <v>505</v>
      </c>
      <c r="C201" s="677"/>
      <c r="D201" s="678"/>
      <c r="E201" s="679" t="s">
        <v>885</v>
      </c>
      <c r="F201" s="680"/>
      <c r="G201" s="681" t="s">
        <v>35</v>
      </c>
      <c r="H201" s="682"/>
      <c r="I201" s="169"/>
      <c r="J201" s="78"/>
      <c r="K201" s="123">
        <v>30</v>
      </c>
      <c r="L201" s="124" t="s">
        <v>39</v>
      </c>
      <c r="M201" s="125"/>
      <c r="N201" s="340" t="s">
        <v>538</v>
      </c>
      <c r="S201" s="299"/>
      <c r="AT201" s="332"/>
    </row>
    <row r="202" spans="1:52" s="8" customFormat="1">
      <c r="A202" s="64" t="s">
        <v>132</v>
      </c>
      <c r="B202" s="13"/>
      <c r="C202" s="479" t="s">
        <v>578</v>
      </c>
      <c r="D202" s="623" t="s">
        <v>219</v>
      </c>
      <c r="E202" s="517" t="s">
        <v>585</v>
      </c>
      <c r="F202" s="503">
        <v>150</v>
      </c>
      <c r="G202" s="487">
        <f>H202*0.2</f>
        <v>19.8</v>
      </c>
      <c r="H202" s="465">
        <v>99</v>
      </c>
      <c r="I202" s="167"/>
      <c r="J202" s="27">
        <v>500</v>
      </c>
      <c r="K202" s="96">
        <v>16</v>
      </c>
      <c r="L202" s="96">
        <v>20</v>
      </c>
      <c r="M202" s="46">
        <v>176</v>
      </c>
      <c r="N202" s="340"/>
      <c r="AT202" s="332"/>
    </row>
    <row r="203" spans="1:52" s="8" customFormat="1">
      <c r="A203" s="64" t="s">
        <v>498</v>
      </c>
      <c r="B203" s="13"/>
      <c r="C203" s="479" t="s">
        <v>598</v>
      </c>
      <c r="D203" s="623" t="s">
        <v>219</v>
      </c>
      <c r="E203" s="517" t="s">
        <v>605</v>
      </c>
      <c r="F203" s="503">
        <v>150</v>
      </c>
      <c r="G203" s="487">
        <f t="shared" ref="G203:G204" si="158">H203*0.2</f>
        <v>96.800000000000011</v>
      </c>
      <c r="H203" s="465">
        <v>484</v>
      </c>
      <c r="I203" s="167"/>
      <c r="J203" s="27">
        <v>506</v>
      </c>
      <c r="K203" s="96">
        <v>16</v>
      </c>
      <c r="L203" s="96">
        <v>26</v>
      </c>
      <c r="M203" s="46"/>
      <c r="N203" s="340"/>
      <c r="AT203" s="332"/>
    </row>
    <row r="204" spans="1:52" s="8" customFormat="1">
      <c r="A204" s="115"/>
      <c r="B204" s="13"/>
      <c r="C204" s="479" t="s">
        <v>654</v>
      </c>
      <c r="D204" s="623" t="s">
        <v>219</v>
      </c>
      <c r="E204" s="517" t="s">
        <v>671</v>
      </c>
      <c r="F204" s="503">
        <v>150</v>
      </c>
      <c r="G204" s="487">
        <f t="shared" si="158"/>
        <v>91.2</v>
      </c>
      <c r="H204" s="465">
        <v>456</v>
      </c>
      <c r="I204" s="167"/>
      <c r="J204" s="27">
        <v>508</v>
      </c>
      <c r="K204" s="96">
        <v>16</v>
      </c>
      <c r="L204" s="96">
        <v>28</v>
      </c>
      <c r="M204" s="46">
        <v>482</v>
      </c>
      <c r="N204" s="340"/>
      <c r="AT204" s="332"/>
    </row>
    <row r="205" spans="1:52" s="8" customFormat="1" ht="28.5" customHeight="1" thickBot="1">
      <c r="A205" s="115"/>
      <c r="B205" s="13"/>
      <c r="C205" s="479" t="s">
        <v>788</v>
      </c>
      <c r="D205" s="623" t="s">
        <v>219</v>
      </c>
      <c r="E205" s="517" t="s">
        <v>794</v>
      </c>
      <c r="F205" s="503">
        <v>150</v>
      </c>
      <c r="G205" s="487">
        <f t="shared" ref="G205:G206" si="159">J205*0.2</f>
        <v>99.4</v>
      </c>
      <c r="H205" s="465">
        <f t="shared" ref="H205:H207" si="160">G205/0.2</f>
        <v>497</v>
      </c>
      <c r="I205" s="167"/>
      <c r="J205" s="27">
        <f t="shared" ref="J205:J206" si="161">(K205*$K$201)+L205</f>
        <v>497</v>
      </c>
      <c r="K205" s="96">
        <v>16</v>
      </c>
      <c r="L205" s="96">
        <v>17</v>
      </c>
      <c r="M205" s="46"/>
      <c r="N205" s="340"/>
      <c r="AT205" s="332"/>
    </row>
    <row r="206" spans="1:52" s="8" customFormat="1" ht="30.6" thickBot="1">
      <c r="B206" s="13"/>
      <c r="C206" s="479"/>
      <c r="D206" s="623"/>
      <c r="E206" s="517"/>
      <c r="F206" s="503"/>
      <c r="G206" s="487">
        <f t="shared" si="159"/>
        <v>0</v>
      </c>
      <c r="H206" s="465">
        <f t="shared" si="160"/>
        <v>0</v>
      </c>
      <c r="I206" s="167"/>
      <c r="J206" s="27">
        <f t="shared" si="161"/>
        <v>0</v>
      </c>
      <c r="K206" s="96"/>
      <c r="L206" s="96"/>
      <c r="M206" s="46"/>
      <c r="N206" s="340"/>
      <c r="O206" s="1376" t="s">
        <v>505</v>
      </c>
      <c r="P206" s="1377"/>
      <c r="Q206" s="1378"/>
      <c r="R206" s="279" t="s">
        <v>262</v>
      </c>
      <c r="T206" s="1168" t="s">
        <v>268</v>
      </c>
      <c r="U206" s="1169"/>
      <c r="V206" s="1169"/>
      <c r="W206" s="1170"/>
      <c r="Y206" s="1232" t="s">
        <v>269</v>
      </c>
      <c r="Z206" s="1233"/>
      <c r="AF206" s="1224" t="s">
        <v>366</v>
      </c>
      <c r="AG206" s="1225"/>
      <c r="AH206" s="1225"/>
      <c r="AI206" s="1226"/>
      <c r="AO206" s="1389" t="s">
        <v>518</v>
      </c>
      <c r="AP206" s="1389"/>
      <c r="AQ206" s="1389"/>
      <c r="AR206" s="1389"/>
      <c r="AS206" s="1389"/>
      <c r="AT206" s="1389"/>
      <c r="AU206" s="1389"/>
      <c r="AV206" s="1389"/>
      <c r="AW206" s="1389"/>
      <c r="AX206" s="1389"/>
      <c r="AY206" s="1389"/>
      <c r="AZ206" s="1389"/>
    </row>
    <row r="207" spans="1:52" s="8" customFormat="1" ht="38.25" customHeight="1" thickBot="1">
      <c r="B207" s="13"/>
      <c r="C207" s="479"/>
      <c r="D207" s="623"/>
      <c r="E207" s="517"/>
      <c r="F207" s="503"/>
      <c r="G207" s="487">
        <f t="shared" ref="G207:G208" si="162">J207*0.2</f>
        <v>0</v>
      </c>
      <c r="H207" s="465">
        <f t="shared" si="160"/>
        <v>0</v>
      </c>
      <c r="I207" s="167"/>
      <c r="J207" s="27">
        <f t="shared" ref="J207:J208" si="163">(K207*$K$201)+L207</f>
        <v>0</v>
      </c>
      <c r="K207" s="96"/>
      <c r="L207" s="96"/>
      <c r="M207" s="46"/>
      <c r="N207" s="340"/>
      <c r="O207" s="1190" t="s">
        <v>298</v>
      </c>
      <c r="P207" s="1191"/>
      <c r="Q207" s="1192"/>
      <c r="R207" s="220">
        <v>18.8</v>
      </c>
      <c r="T207" s="1165" t="s">
        <v>299</v>
      </c>
      <c r="U207" s="1166"/>
      <c r="V207" s="1167"/>
      <c r="W207" s="309">
        <v>31.4</v>
      </c>
      <c r="Y207" s="1234" t="s">
        <v>270</v>
      </c>
      <c r="Z207" s="1235"/>
      <c r="AA207" s="1238" t="s">
        <v>271</v>
      </c>
      <c r="AB207" s="319"/>
      <c r="AC207" s="321"/>
      <c r="AD207" s="321"/>
      <c r="AF207" s="1227"/>
      <c r="AG207" s="1228"/>
      <c r="AH207" s="1228"/>
      <c r="AI207" s="1229"/>
      <c r="AJ207" s="1135">
        <f>(R210-(AJ209*AA209))/(AJ209*AA209)</f>
        <v>10.113680154142582</v>
      </c>
      <c r="AO207" s="968" t="s">
        <v>396</v>
      </c>
      <c r="AP207" s="968" t="s">
        <v>397</v>
      </c>
      <c r="AQ207" s="968" t="s">
        <v>398</v>
      </c>
      <c r="AR207" s="968" t="s">
        <v>399</v>
      </c>
      <c r="AS207" s="968" t="s">
        <v>400</v>
      </c>
      <c r="AT207" s="969" t="s">
        <v>375</v>
      </c>
      <c r="AU207" s="968" t="s">
        <v>376</v>
      </c>
      <c r="AV207" s="968" t="s">
        <v>401</v>
      </c>
      <c r="AW207" s="968" t="s">
        <v>402</v>
      </c>
      <c r="AX207" s="968" t="s">
        <v>403</v>
      </c>
      <c r="AY207" s="968" t="s">
        <v>404</v>
      </c>
      <c r="AZ207" s="968" t="s">
        <v>405</v>
      </c>
    </row>
    <row r="208" spans="1:52" s="8" customFormat="1" ht="22.2" thickTop="1" thickBot="1">
      <c r="B208" s="13"/>
      <c r="C208" s="479"/>
      <c r="D208" s="623"/>
      <c r="E208" s="517"/>
      <c r="F208" s="503"/>
      <c r="G208" s="487">
        <f t="shared" si="162"/>
        <v>0</v>
      </c>
      <c r="H208" s="465">
        <f t="shared" ref="H208" si="164">G208/0.2</f>
        <v>0</v>
      </c>
      <c r="I208" s="167"/>
      <c r="J208" s="27">
        <f t="shared" si="163"/>
        <v>0</v>
      </c>
      <c r="K208" s="96"/>
      <c r="L208" s="96"/>
      <c r="M208" s="46"/>
      <c r="N208" s="340"/>
      <c r="O208" s="1165" t="s">
        <v>299</v>
      </c>
      <c r="P208" s="1166"/>
      <c r="Q208" s="1167"/>
      <c r="R208" s="1114"/>
      <c r="T208" s="305" t="s">
        <v>342</v>
      </c>
      <c r="U208" s="299"/>
      <c r="Y208" s="1236"/>
      <c r="Z208" s="1237"/>
      <c r="AA208" s="1239"/>
      <c r="AB208" s="319"/>
      <c r="AC208" s="1240" t="s">
        <v>272</v>
      </c>
      <c r="AD208" s="1241"/>
      <c r="AF208" s="999" t="s">
        <v>679</v>
      </c>
      <c r="AG208" s="960" t="s">
        <v>680</v>
      </c>
      <c r="AH208" s="1003" t="s">
        <v>268</v>
      </c>
      <c r="AI208" s="959" t="s">
        <v>681</v>
      </c>
      <c r="AJ208" s="8" t="s">
        <v>622</v>
      </c>
      <c r="AO208" s="497">
        <v>132</v>
      </c>
      <c r="AP208" s="497">
        <v>179</v>
      </c>
      <c r="AQ208" s="497">
        <v>208</v>
      </c>
      <c r="AR208" s="497">
        <v>107</v>
      </c>
      <c r="AS208" s="497">
        <v>200</v>
      </c>
      <c r="AT208" s="970">
        <v>255</v>
      </c>
      <c r="AU208" s="497">
        <v>261</v>
      </c>
      <c r="AV208" s="497">
        <v>270</v>
      </c>
      <c r="AW208" s="497">
        <v>176</v>
      </c>
      <c r="AX208" s="497">
        <v>104</v>
      </c>
      <c r="AY208" s="497">
        <v>210</v>
      </c>
      <c r="AZ208" s="497">
        <v>288</v>
      </c>
    </row>
    <row r="209" spans="1:52" s="8" customFormat="1" ht="31.2" thickTop="1" thickBot="1">
      <c r="B209" s="13"/>
      <c r="C209" s="479"/>
      <c r="D209" s="623"/>
      <c r="E209" s="517"/>
      <c r="F209" s="503"/>
      <c r="G209" s="487">
        <f t="shared" ref="G209" si="165">J209*0.2</f>
        <v>0</v>
      </c>
      <c r="H209" s="465">
        <f t="shared" ref="H209:H210" si="166">G209/0.2</f>
        <v>0</v>
      </c>
      <c r="I209" s="167"/>
      <c r="J209" s="27">
        <f t="shared" ref="J209" si="167">(K209*$K$201)+L209</f>
        <v>0</v>
      </c>
      <c r="K209" s="96"/>
      <c r="L209" s="96"/>
      <c r="M209" s="46"/>
      <c r="N209" s="340"/>
      <c r="O209" s="1289" t="s">
        <v>242</v>
      </c>
      <c r="P209" s="1290"/>
      <c r="Q209" s="1291"/>
      <c r="R209" s="221">
        <f>SUM(R207:R208)</f>
        <v>18.8</v>
      </c>
      <c r="S209" s="277"/>
      <c r="T209" s="305" t="s">
        <v>343</v>
      </c>
      <c r="Y209" s="1182">
        <f>R207+W207</f>
        <v>50.2</v>
      </c>
      <c r="Z209" s="1183"/>
      <c r="AA209" s="318">
        <v>93</v>
      </c>
      <c r="AC209" s="1292">
        <f>Y209/AA209</f>
        <v>0.53978494623655915</v>
      </c>
      <c r="AD209" s="1293"/>
      <c r="AF209" s="1004">
        <v>0.18924731182795701</v>
      </c>
      <c r="AG209" s="1005">
        <v>8.6021505376344093E-2</v>
      </c>
      <c r="AH209" s="1005">
        <v>0.30107526881720431</v>
      </c>
      <c r="AI209" s="1001">
        <v>0.53978494623655915</v>
      </c>
      <c r="AJ209" s="229">
        <f>AVERAGE(AF209:AI209)</f>
        <v>0.27903225806451615</v>
      </c>
      <c r="AO209" s="1389" t="s">
        <v>519</v>
      </c>
      <c r="AP209" s="1389"/>
      <c r="AQ209" s="1389"/>
      <c r="AR209" s="1389"/>
      <c r="AS209" s="1389"/>
      <c r="AT209" s="1389"/>
      <c r="AU209" s="1389"/>
      <c r="AV209" s="1389"/>
      <c r="AW209" s="1389"/>
      <c r="AX209" s="1389"/>
      <c r="AY209" s="1389"/>
      <c r="AZ209" s="1389"/>
    </row>
    <row r="210" spans="1:52" s="117" customFormat="1" ht="27.75" customHeight="1" thickBot="1">
      <c r="A210" s="8"/>
      <c r="B210" s="13"/>
      <c r="C210" s="479"/>
      <c r="D210" s="623"/>
      <c r="E210" s="517"/>
      <c r="F210" s="503"/>
      <c r="G210" s="487">
        <f t="shared" ref="G210" si="168">J210*0.2</f>
        <v>0</v>
      </c>
      <c r="H210" s="465">
        <f t="shared" si="166"/>
        <v>0</v>
      </c>
      <c r="I210" s="167"/>
      <c r="J210" s="27">
        <f t="shared" ref="J210" si="169">(K210*$K$201)+L210</f>
        <v>0</v>
      </c>
      <c r="K210" s="96"/>
      <c r="L210" s="96"/>
      <c r="M210" s="46"/>
      <c r="N210" s="340"/>
      <c r="O210" s="1175" t="s">
        <v>243</v>
      </c>
      <c r="P210" s="1176"/>
      <c r="Q210" s="1177"/>
      <c r="R210" s="222">
        <f>$G$211-R209</f>
        <v>288.40000000000003</v>
      </c>
      <c r="T210" s="390"/>
      <c r="U210" s="390"/>
      <c r="Y210" s="1256"/>
      <c r="Z210" s="1162"/>
      <c r="AA210" s="332">
        <v>92.8</v>
      </c>
      <c r="AB210" s="8"/>
      <c r="AC210" s="8"/>
      <c r="AD210" s="8"/>
      <c r="AE210" s="8"/>
      <c r="AF210" s="8"/>
      <c r="AG210" s="8"/>
      <c r="AH210" s="8"/>
      <c r="AI210" s="8"/>
      <c r="AO210" s="968" t="s">
        <v>396</v>
      </c>
      <c r="AP210" s="968" t="s">
        <v>397</v>
      </c>
      <c r="AQ210" s="968" t="s">
        <v>398</v>
      </c>
      <c r="AR210" s="968" t="s">
        <v>399</v>
      </c>
      <c r="AS210" s="968" t="s">
        <v>400</v>
      </c>
      <c r="AT210" s="969" t="s">
        <v>375</v>
      </c>
      <c r="AU210" s="968" t="s">
        <v>376</v>
      </c>
      <c r="AV210" s="968" t="s">
        <v>401</v>
      </c>
      <c r="AW210" s="968" t="s">
        <v>402</v>
      </c>
      <c r="AX210" s="968" t="s">
        <v>403</v>
      </c>
      <c r="AY210" s="968" t="s">
        <v>404</v>
      </c>
      <c r="AZ210" s="968" t="s">
        <v>405</v>
      </c>
    </row>
    <row r="211" spans="1:52" s="8" customFormat="1" ht="21.6" thickBot="1">
      <c r="A211" s="117"/>
      <c r="B211" s="117"/>
      <c r="C211" s="453"/>
      <c r="D211" s="632"/>
      <c r="E211" s="613"/>
      <c r="F211" s="614">
        <f>SUM(F202:F210)</f>
        <v>600</v>
      </c>
      <c r="G211" s="615">
        <f>SUM(G202:G210)</f>
        <v>307.20000000000005</v>
      </c>
      <c r="H211" s="596">
        <f>SUM(H202:H210)</f>
        <v>1536</v>
      </c>
      <c r="I211" s="201"/>
      <c r="J211" s="61">
        <f>SUM(J202:J210)</f>
        <v>2011</v>
      </c>
      <c r="K211" s="117"/>
      <c r="L211" s="117"/>
      <c r="M211" s="1151">
        <f>332-307</f>
        <v>25</v>
      </c>
      <c r="N211" s="340"/>
      <c r="T211" s="299"/>
      <c r="W211" s="8" t="s">
        <v>301</v>
      </c>
      <c r="X211" s="117"/>
      <c r="Y211" s="396">
        <f>R210/Y209</f>
        <v>5.7450199203187253</v>
      </c>
      <c r="Z211" s="392" t="s">
        <v>302</v>
      </c>
      <c r="AE211" s="117"/>
      <c r="AO211" s="1035">
        <v>174</v>
      </c>
      <c r="AP211" s="1035">
        <v>272</v>
      </c>
      <c r="AQ211" s="1036">
        <v>43.2</v>
      </c>
      <c r="AR211" s="1036">
        <v>29.6</v>
      </c>
      <c r="AS211" s="1036">
        <v>26</v>
      </c>
      <c r="AT211" s="1039">
        <v>70</v>
      </c>
      <c r="AU211" s="1036">
        <v>10</v>
      </c>
      <c r="AV211" s="1036">
        <v>3</v>
      </c>
      <c r="AW211" s="1036">
        <v>8</v>
      </c>
      <c r="AX211" s="1036">
        <v>48</v>
      </c>
      <c r="AY211" s="1036">
        <v>72</v>
      </c>
      <c r="AZ211" s="1036">
        <v>69</v>
      </c>
    </row>
    <row r="212" spans="1:52" s="8" customFormat="1" ht="21.6" thickBot="1">
      <c r="A212" s="17"/>
      <c r="B212" s="17"/>
      <c r="C212" s="469"/>
      <c r="D212" s="469"/>
      <c r="E212" s="527"/>
      <c r="F212" s="469"/>
      <c r="G212" s="469"/>
      <c r="H212" s="469"/>
      <c r="N212" s="340"/>
      <c r="T212" s="299"/>
      <c r="W212" s="8" t="s">
        <v>303</v>
      </c>
      <c r="Y212" s="395">
        <f>(R210-Y209)/Y209</f>
        <v>4.7450199203187253</v>
      </c>
      <c r="Z212" s="392" t="s">
        <v>302</v>
      </c>
      <c r="AA212" s="117"/>
      <c r="AB212" s="117"/>
      <c r="AC212" s="117"/>
      <c r="AD212" s="117"/>
      <c r="AT212" s="332"/>
    </row>
    <row r="213" spans="1:52" s="8" customFormat="1" ht="23.4" hidden="1" thickBot="1">
      <c r="A213" s="122">
        <v>193</v>
      </c>
      <c r="B213" s="907" t="s">
        <v>133</v>
      </c>
      <c r="C213" s="677"/>
      <c r="D213" s="678"/>
      <c r="E213" s="679"/>
      <c r="F213" s="680"/>
      <c r="G213" s="681" t="s">
        <v>35</v>
      </c>
      <c r="H213" s="682"/>
      <c r="I213" s="169"/>
      <c r="J213" s="78"/>
      <c r="K213" s="123">
        <v>30</v>
      </c>
      <c r="L213" s="124" t="s">
        <v>39</v>
      </c>
      <c r="M213" s="125"/>
      <c r="N213" s="340"/>
      <c r="T213" s="299"/>
      <c r="AI213" s="305">
        <v>500</v>
      </c>
      <c r="AT213" s="332"/>
    </row>
    <row r="214" spans="1:52" s="8" customFormat="1" ht="21.6" hidden="1" thickBot="1">
      <c r="A214" s="64" t="s">
        <v>134</v>
      </c>
      <c r="B214" s="343"/>
      <c r="C214" s="626"/>
      <c r="D214" s="627"/>
      <c r="E214" s="624"/>
      <c r="F214" s="505"/>
      <c r="G214" s="610">
        <f t="shared" ref="G214:G217" si="170">J214*0.2</f>
        <v>0</v>
      </c>
      <c r="H214" s="625">
        <f t="shared" ref="H214:H217" si="171">G214/0.2</f>
        <v>0</v>
      </c>
      <c r="I214" s="167"/>
      <c r="J214" s="82">
        <f t="shared" ref="J214:J217" si="172">(K214*$K$213)+L214</f>
        <v>0</v>
      </c>
      <c r="K214" s="410"/>
      <c r="L214" s="410"/>
      <c r="M214" s="292"/>
      <c r="N214" s="1066"/>
      <c r="AT214" s="332"/>
    </row>
    <row r="215" spans="1:52" s="8" customFormat="1" ht="21.6" hidden="1" thickBot="1">
      <c r="A215" s="115" t="s">
        <v>135</v>
      </c>
      <c r="C215" s="626"/>
      <c r="D215" s="627"/>
      <c r="E215" s="624"/>
      <c r="F215" s="505"/>
      <c r="G215" s="610">
        <f t="shared" si="170"/>
        <v>0</v>
      </c>
      <c r="H215" s="625">
        <f t="shared" si="171"/>
        <v>0</v>
      </c>
      <c r="I215" s="167"/>
      <c r="J215" s="82">
        <f t="shared" si="172"/>
        <v>0</v>
      </c>
      <c r="K215" s="410"/>
      <c r="L215" s="410"/>
      <c r="M215" s="292"/>
      <c r="N215" s="340"/>
      <c r="AT215" s="332"/>
    </row>
    <row r="216" spans="1:52" s="8" customFormat="1" ht="21.6" hidden="1" thickBot="1">
      <c r="A216" s="115" t="s">
        <v>131</v>
      </c>
      <c r="B216" s="13"/>
      <c r="C216" s="626"/>
      <c r="D216" s="627"/>
      <c r="E216" s="624"/>
      <c r="F216" s="505"/>
      <c r="G216" s="610">
        <f t="shared" si="170"/>
        <v>0</v>
      </c>
      <c r="H216" s="625">
        <f t="shared" si="171"/>
        <v>0</v>
      </c>
      <c r="I216" s="167"/>
      <c r="J216" s="82">
        <f t="shared" si="172"/>
        <v>0</v>
      </c>
      <c r="K216" s="410"/>
      <c r="L216" s="410"/>
      <c r="M216" s="292"/>
      <c r="N216" s="340"/>
      <c r="AF216" s="1224" t="s">
        <v>366</v>
      </c>
      <c r="AG216" s="1225"/>
      <c r="AH216" s="1225"/>
      <c r="AI216" s="1226"/>
      <c r="AT216" s="332"/>
    </row>
    <row r="217" spans="1:52" s="8" customFormat="1" ht="30.6" hidden="1" thickBot="1">
      <c r="A217" s="115"/>
      <c r="B217" s="13"/>
      <c r="C217" s="626"/>
      <c r="D217" s="627"/>
      <c r="E217" s="624"/>
      <c r="F217" s="505"/>
      <c r="G217" s="610">
        <f t="shared" si="170"/>
        <v>0</v>
      </c>
      <c r="H217" s="625">
        <f t="shared" si="171"/>
        <v>0</v>
      </c>
      <c r="I217" s="167"/>
      <c r="J217" s="82">
        <f t="shared" si="172"/>
        <v>0</v>
      </c>
      <c r="K217" s="410"/>
      <c r="L217" s="410"/>
      <c r="M217" s="292"/>
      <c r="N217" s="340"/>
      <c r="O217" s="1379" t="s">
        <v>133</v>
      </c>
      <c r="P217" s="1379"/>
      <c r="Q217" s="1380"/>
      <c r="R217" s="279" t="s">
        <v>262</v>
      </c>
      <c r="T217" s="1168" t="s">
        <v>268</v>
      </c>
      <c r="U217" s="1169"/>
      <c r="V217" s="1169"/>
      <c r="W217" s="1170"/>
      <c r="Y217" s="1232" t="s">
        <v>269</v>
      </c>
      <c r="Z217" s="1233"/>
      <c r="AF217" s="1227"/>
      <c r="AG217" s="1228"/>
      <c r="AH217" s="1228"/>
      <c r="AI217" s="1229"/>
      <c r="AO217" s="1389" t="s">
        <v>421</v>
      </c>
      <c r="AP217" s="1389"/>
      <c r="AQ217" s="1389"/>
      <c r="AR217" s="1389"/>
      <c r="AS217" s="1389"/>
      <c r="AT217" s="1389"/>
      <c r="AU217" s="1389"/>
      <c r="AV217" s="1389"/>
      <c r="AW217" s="1389"/>
      <c r="AX217" s="1389"/>
      <c r="AY217" s="1389"/>
      <c r="AZ217" s="1389"/>
    </row>
    <row r="218" spans="1:52" s="8" customFormat="1" ht="21.6" hidden="1" thickBot="1">
      <c r="B218" s="13"/>
      <c r="C218" s="626"/>
      <c r="D218" s="627"/>
      <c r="E218" s="624"/>
      <c r="F218" s="505"/>
      <c r="G218" s="610">
        <f t="shared" ref="G218" si="173">J218*0.2</f>
        <v>0</v>
      </c>
      <c r="H218" s="625">
        <f t="shared" ref="H218" si="174">G218/0.2</f>
        <v>0</v>
      </c>
      <c r="I218" s="167"/>
      <c r="J218" s="82">
        <f t="shared" ref="J218" si="175">(K218*$K$213)+L218</f>
        <v>0</v>
      </c>
      <c r="K218" s="410"/>
      <c r="L218" s="410"/>
      <c r="M218" s="292"/>
      <c r="N218" s="340"/>
      <c r="O218" s="1190" t="s">
        <v>298</v>
      </c>
      <c r="P218" s="1191"/>
      <c r="Q218" s="1192"/>
      <c r="R218" s="220"/>
      <c r="T218" s="1165" t="s">
        <v>299</v>
      </c>
      <c r="U218" s="1166"/>
      <c r="V218" s="1167"/>
      <c r="W218" s="309">
        <v>7.2</v>
      </c>
      <c r="Y218" s="1234" t="s">
        <v>270</v>
      </c>
      <c r="Z218" s="1235"/>
      <c r="AA218" s="1238" t="s">
        <v>271</v>
      </c>
      <c r="AB218" s="319"/>
      <c r="AC218" s="321"/>
      <c r="AD218" s="321"/>
      <c r="AF218" s="999" t="s">
        <v>452</v>
      </c>
      <c r="AG218" s="998" t="s">
        <v>453</v>
      </c>
      <c r="AH218" s="1003" t="s">
        <v>455</v>
      </c>
      <c r="AI218" s="1002" t="s">
        <v>456</v>
      </c>
      <c r="AO218" s="968" t="s">
        <v>396</v>
      </c>
      <c r="AP218" s="968" t="s">
        <v>397</v>
      </c>
      <c r="AQ218" s="968" t="s">
        <v>398</v>
      </c>
      <c r="AR218" s="968" t="s">
        <v>399</v>
      </c>
      <c r="AS218" s="968" t="s">
        <v>400</v>
      </c>
      <c r="AT218" s="969" t="s">
        <v>375</v>
      </c>
      <c r="AU218" s="968" t="s">
        <v>376</v>
      </c>
      <c r="AV218" s="968" t="s">
        <v>401</v>
      </c>
      <c r="AW218" s="968" t="s">
        <v>402</v>
      </c>
      <c r="AX218" s="968" t="s">
        <v>403</v>
      </c>
      <c r="AY218" s="968" t="s">
        <v>404</v>
      </c>
      <c r="AZ218" s="968" t="s">
        <v>405</v>
      </c>
    </row>
    <row r="219" spans="1:52" s="8" customFormat="1" ht="22.2" hidden="1" thickTop="1" thickBot="1">
      <c r="A219" s="115"/>
      <c r="B219" s="13"/>
      <c r="C219" s="626"/>
      <c r="D219" s="627"/>
      <c r="E219" s="624"/>
      <c r="F219" s="505"/>
      <c r="G219" s="610">
        <f t="shared" ref="G219" si="176">J219*0.2</f>
        <v>0</v>
      </c>
      <c r="H219" s="625">
        <f t="shared" ref="H219" si="177">G219/0.2</f>
        <v>0</v>
      </c>
      <c r="I219" s="167"/>
      <c r="J219" s="82">
        <f t="shared" ref="J219" si="178">(K219*$K$213)+L219</f>
        <v>0</v>
      </c>
      <c r="K219" s="410"/>
      <c r="L219" s="410"/>
      <c r="M219" s="292"/>
      <c r="N219" s="340"/>
      <c r="O219" s="1165" t="s">
        <v>299</v>
      </c>
      <c r="P219" s="1166"/>
      <c r="Q219" s="1167"/>
      <c r="R219" s="158"/>
      <c r="X219" s="117"/>
      <c r="Y219" s="1236"/>
      <c r="Z219" s="1237"/>
      <c r="AA219" s="1239"/>
      <c r="AB219" s="319"/>
      <c r="AC219" s="1240" t="s">
        <v>272</v>
      </c>
      <c r="AD219" s="1241"/>
      <c r="AF219" s="1004">
        <v>0.8</v>
      </c>
      <c r="AG219" s="1005">
        <v>0.9</v>
      </c>
      <c r="AH219" s="1005">
        <v>0.94</v>
      </c>
      <c r="AI219" s="1001">
        <f>AC220</f>
        <v>7.7419354838709681E-2</v>
      </c>
      <c r="AO219" s="497">
        <v>155</v>
      </c>
      <c r="AP219" s="497">
        <v>329</v>
      </c>
      <c r="AQ219" s="497">
        <v>383</v>
      </c>
      <c r="AR219" s="497">
        <v>245</v>
      </c>
      <c r="AS219" s="497">
        <v>441</v>
      </c>
      <c r="AT219" s="970">
        <v>453</v>
      </c>
      <c r="AU219" s="497">
        <v>509</v>
      </c>
      <c r="AV219" s="497">
        <v>531</v>
      </c>
      <c r="AW219" s="497">
        <v>261</v>
      </c>
      <c r="AX219" s="497">
        <v>249</v>
      </c>
      <c r="AY219" s="497">
        <v>469</v>
      </c>
      <c r="AZ219" s="497">
        <v>342</v>
      </c>
    </row>
    <row r="220" spans="1:52" s="8" customFormat="1" ht="31.2" hidden="1" thickTop="1" thickBot="1">
      <c r="B220" s="13"/>
      <c r="C220" s="626"/>
      <c r="D220" s="627"/>
      <c r="E220" s="624"/>
      <c r="F220" s="505"/>
      <c r="G220" s="610">
        <f t="shared" ref="G220" si="179">J220*0.2</f>
        <v>0</v>
      </c>
      <c r="H220" s="625">
        <f t="shared" ref="H220" si="180">G220/0.2</f>
        <v>0</v>
      </c>
      <c r="I220" s="167"/>
      <c r="J220" s="82">
        <f t="shared" ref="J220" si="181">(K220*$K$213)+L220</f>
        <v>0</v>
      </c>
      <c r="K220" s="410"/>
      <c r="L220" s="410"/>
      <c r="M220" s="292"/>
      <c r="N220" s="340"/>
      <c r="O220" s="1289" t="s">
        <v>242</v>
      </c>
      <c r="P220" s="1290"/>
      <c r="Q220" s="1291"/>
      <c r="R220" s="221">
        <f>SUM(R218:R219)</f>
        <v>0</v>
      </c>
      <c r="S220" s="277"/>
      <c r="T220" s="299"/>
      <c r="X220" s="299"/>
      <c r="Y220" s="1182">
        <f>R218+W218</f>
        <v>7.2</v>
      </c>
      <c r="Z220" s="1183"/>
      <c r="AA220" s="318">
        <v>93</v>
      </c>
      <c r="AC220" s="1292">
        <f>Y220/AA220</f>
        <v>7.7419354838709681E-2</v>
      </c>
      <c r="AD220" s="1293"/>
      <c r="AF220" s="117"/>
      <c r="AG220" s="117"/>
      <c r="AH220" s="117"/>
      <c r="AI220" s="117"/>
      <c r="AO220" s="1389" t="s">
        <v>441</v>
      </c>
      <c r="AP220" s="1389"/>
      <c r="AQ220" s="1389"/>
      <c r="AR220" s="1389"/>
      <c r="AS220" s="1389"/>
      <c r="AT220" s="1389"/>
      <c r="AU220" s="1389"/>
      <c r="AV220" s="1389"/>
      <c r="AW220" s="1389"/>
      <c r="AX220" s="1389"/>
      <c r="AY220" s="1389"/>
      <c r="AZ220" s="1389"/>
    </row>
    <row r="221" spans="1:52" s="117" customFormat="1" ht="29.25" hidden="1" customHeight="1" thickBot="1">
      <c r="A221" s="8"/>
      <c r="B221" s="40"/>
      <c r="C221" s="626"/>
      <c r="D221" s="627"/>
      <c r="E221" s="624"/>
      <c r="F221" s="505"/>
      <c r="G221" s="610">
        <f t="shared" ref="G221" si="182">J221*0.2</f>
        <v>0</v>
      </c>
      <c r="H221" s="625">
        <f t="shared" ref="H221" si="183">G221/0.2</f>
        <v>0</v>
      </c>
      <c r="I221" s="167"/>
      <c r="J221" s="82">
        <f t="shared" ref="J221" si="184">(K221*$K$213)+L221</f>
        <v>0</v>
      </c>
      <c r="K221" s="410"/>
      <c r="L221" s="410"/>
      <c r="M221" s="292"/>
      <c r="N221" s="340"/>
      <c r="O221" s="1175" t="s">
        <v>243</v>
      </c>
      <c r="P221" s="1176"/>
      <c r="Q221" s="1177"/>
      <c r="R221" s="222">
        <f>$G$224-R220</f>
        <v>0</v>
      </c>
      <c r="S221" s="390"/>
      <c r="T221" s="390"/>
      <c r="V221" s="957"/>
      <c r="Y221" s="1256"/>
      <c r="Z221" s="1162"/>
      <c r="AA221" s="332">
        <v>93.47</v>
      </c>
      <c r="AB221" s="8"/>
      <c r="AC221" s="8"/>
      <c r="AD221" s="8"/>
      <c r="AE221" s="8"/>
      <c r="AF221" s="8"/>
      <c r="AG221" s="8"/>
      <c r="AH221" s="8"/>
      <c r="AI221" s="8"/>
      <c r="AO221" s="968" t="s">
        <v>396</v>
      </c>
      <c r="AP221" s="968" t="s">
        <v>397</v>
      </c>
      <c r="AQ221" s="968" t="s">
        <v>398</v>
      </c>
      <c r="AR221" s="968" t="s">
        <v>399</v>
      </c>
      <c r="AS221" s="968" t="s">
        <v>400</v>
      </c>
      <c r="AT221" s="969" t="s">
        <v>375</v>
      </c>
      <c r="AU221" s="968" t="s">
        <v>376</v>
      </c>
      <c r="AV221" s="968" t="s">
        <v>401</v>
      </c>
      <c r="AW221" s="968" t="s">
        <v>402</v>
      </c>
      <c r="AX221" s="968" t="s">
        <v>403</v>
      </c>
      <c r="AY221" s="968" t="s">
        <v>404</v>
      </c>
      <c r="AZ221" s="968" t="s">
        <v>405</v>
      </c>
    </row>
    <row r="222" spans="1:52" s="8" customFormat="1" ht="24.75" hidden="1" customHeight="1">
      <c r="A222" s="445" t="s">
        <v>308</v>
      </c>
      <c r="B222" s="1351" t="s">
        <v>155</v>
      </c>
      <c r="C222" s="1352"/>
      <c r="D222" s="1352"/>
      <c r="E222" s="1352"/>
      <c r="F222" s="1352"/>
      <c r="G222" s="1352"/>
      <c r="H222" s="1352"/>
      <c r="I222" s="1352"/>
      <c r="J222" s="1353"/>
      <c r="K222" s="416">
        <v>28</v>
      </c>
      <c r="L222" s="416" t="s">
        <v>153</v>
      </c>
      <c r="M222" s="417"/>
      <c r="N222" s="340"/>
      <c r="S222" s="299"/>
      <c r="T222" s="299"/>
      <c r="U222" s="299"/>
      <c r="AA222" s="117"/>
      <c r="AB222" s="117"/>
      <c r="AC222" s="117"/>
      <c r="AD222" s="117"/>
      <c r="AO222" s="497">
        <v>244</v>
      </c>
      <c r="AP222" s="497">
        <v>382</v>
      </c>
      <c r="AQ222" s="973">
        <f>AQ219*1.2</f>
        <v>459.59999999999997</v>
      </c>
      <c r="AR222" s="973">
        <f t="shared" ref="AR222:AZ222" si="185">AR219*1.2</f>
        <v>294</v>
      </c>
      <c r="AS222" s="973">
        <f t="shared" si="185"/>
        <v>529.19999999999993</v>
      </c>
      <c r="AT222" s="974">
        <f t="shared" si="185"/>
        <v>543.6</v>
      </c>
      <c r="AU222" s="973">
        <f t="shared" si="185"/>
        <v>610.79999999999995</v>
      </c>
      <c r="AV222" s="973">
        <f t="shared" si="185"/>
        <v>637.19999999999993</v>
      </c>
      <c r="AW222" s="973">
        <f t="shared" si="185"/>
        <v>313.2</v>
      </c>
      <c r="AX222" s="973">
        <f t="shared" si="185"/>
        <v>298.8</v>
      </c>
      <c r="AY222" s="973">
        <f t="shared" si="185"/>
        <v>562.79999999999995</v>
      </c>
      <c r="AZ222" s="973">
        <f t="shared" si="185"/>
        <v>410.4</v>
      </c>
    </row>
    <row r="223" spans="1:52" s="8" customFormat="1" ht="21.6" hidden="1" thickBot="1">
      <c r="B223" s="413"/>
      <c r="C223" s="628"/>
      <c r="D223" s="629"/>
      <c r="E223" s="630"/>
      <c r="F223" s="631"/>
      <c r="G223" s="683"/>
      <c r="H223" s="684"/>
      <c r="I223" s="412"/>
      <c r="J223" s="414"/>
      <c r="K223" s="415"/>
      <c r="L223" s="415"/>
      <c r="M223" s="117"/>
      <c r="N223" s="340"/>
      <c r="T223" s="299"/>
      <c r="U223" s="299"/>
      <c r="AT223" s="332"/>
    </row>
    <row r="224" spans="1:52" s="8" customFormat="1" ht="32.25" hidden="1" customHeight="1" thickBot="1">
      <c r="A224" s="117"/>
      <c r="B224" s="117"/>
      <c r="C224" s="453"/>
      <c r="D224" s="632"/>
      <c r="E224" s="613"/>
      <c r="F224" s="633">
        <f>SUM(F214:F221)</f>
        <v>0</v>
      </c>
      <c r="G224" s="685">
        <f>SUM(G214:G221)+G223</f>
        <v>0</v>
      </c>
      <c r="H224" s="686">
        <f>SUM(H214:H221)</f>
        <v>0</v>
      </c>
      <c r="I224" s="171"/>
      <c r="J224" s="411">
        <f>SUM(J214:J221)</f>
        <v>0</v>
      </c>
      <c r="K224" s="290"/>
      <c r="L224" s="290"/>
      <c r="M224" s="117"/>
      <c r="N224" s="340"/>
      <c r="T224" s="299"/>
      <c r="U224" s="299"/>
      <c r="W224" s="8" t="s">
        <v>301</v>
      </c>
      <c r="X224" s="117"/>
      <c r="Y224" s="396">
        <f>R221/Y220</f>
        <v>0</v>
      </c>
      <c r="Z224" s="392" t="s">
        <v>302</v>
      </c>
      <c r="AC224" s="910"/>
      <c r="AE224" s="117"/>
      <c r="AI224" s="305">
        <v>560</v>
      </c>
      <c r="AT224" s="332"/>
    </row>
    <row r="225" spans="1:52" s="8" customFormat="1" ht="21.6" thickBot="1">
      <c r="B225" s="407"/>
      <c r="C225" s="687"/>
      <c r="D225" s="688"/>
      <c r="E225" s="689"/>
      <c r="F225" s="690"/>
      <c r="G225" s="691"/>
      <c r="H225" s="692"/>
      <c r="I225" s="162"/>
      <c r="J225" s="57"/>
      <c r="K225" s="409"/>
      <c r="L225" s="409"/>
      <c r="M225" s="408"/>
      <c r="N225" s="340"/>
      <c r="W225" s="8" t="s">
        <v>303</v>
      </c>
      <c r="Y225" s="395">
        <f>(R221-Y220)/Y220</f>
        <v>-1</v>
      </c>
      <c r="Z225" s="392" t="s">
        <v>302</v>
      </c>
      <c r="AT225" s="332"/>
    </row>
    <row r="226" spans="1:52" s="8" customFormat="1" ht="23.4" thickBot="1">
      <c r="A226" s="122">
        <v>228</v>
      </c>
      <c r="B226" s="907" t="s">
        <v>504</v>
      </c>
      <c r="C226" s="677"/>
      <c r="D226" s="678"/>
      <c r="E226" s="679" t="s">
        <v>885</v>
      </c>
      <c r="F226" s="680"/>
      <c r="G226" s="693" t="s">
        <v>35</v>
      </c>
      <c r="H226" s="682"/>
      <c r="I226" s="169"/>
      <c r="J226" s="78"/>
      <c r="K226" s="123">
        <v>30</v>
      </c>
      <c r="L226" s="124" t="s">
        <v>39</v>
      </c>
      <c r="M226" s="125"/>
      <c r="N226" s="340" t="s">
        <v>540</v>
      </c>
      <c r="AT226" s="332"/>
    </row>
    <row r="227" spans="1:52" s="8" customFormat="1">
      <c r="A227" s="64" t="s">
        <v>137</v>
      </c>
      <c r="B227" s="953" t="s">
        <v>363</v>
      </c>
      <c r="C227" s="626" t="s">
        <v>578</v>
      </c>
      <c r="D227" s="627" t="s">
        <v>219</v>
      </c>
      <c r="E227" s="624" t="s">
        <v>585</v>
      </c>
      <c r="F227" s="505">
        <v>150</v>
      </c>
      <c r="G227" s="694">
        <f>H227*0.2</f>
        <v>28.6</v>
      </c>
      <c r="H227" s="465">
        <v>143</v>
      </c>
      <c r="I227" s="167"/>
      <c r="J227" s="27">
        <v>497</v>
      </c>
      <c r="K227" s="96">
        <v>16</v>
      </c>
      <c r="L227" s="96">
        <v>17</v>
      </c>
      <c r="M227" s="46">
        <v>207</v>
      </c>
      <c r="N227" s="340"/>
      <c r="AT227" s="332"/>
    </row>
    <row r="228" spans="1:52" s="8" customFormat="1" ht="28.5" customHeight="1" thickBot="1">
      <c r="A228" s="64" t="s">
        <v>138</v>
      </c>
      <c r="B228" s="953" t="s">
        <v>363</v>
      </c>
      <c r="C228" s="626" t="s">
        <v>598</v>
      </c>
      <c r="D228" s="627" t="s">
        <v>219</v>
      </c>
      <c r="E228" s="624" t="s">
        <v>604</v>
      </c>
      <c r="F228" s="505">
        <v>150</v>
      </c>
      <c r="G228" s="694">
        <f t="shared" ref="G228:G229" si="186">H228*0.2</f>
        <v>92.4</v>
      </c>
      <c r="H228" s="465">
        <v>462</v>
      </c>
      <c r="I228" s="167"/>
      <c r="J228" s="27">
        <v>503</v>
      </c>
      <c r="K228" s="96">
        <v>16</v>
      </c>
      <c r="L228" s="96">
        <v>23</v>
      </c>
      <c r="M228" s="46">
        <v>460</v>
      </c>
      <c r="N228" s="340"/>
      <c r="AT228" s="332"/>
    </row>
    <row r="229" spans="1:52" s="8" customFormat="1" ht="30.6" thickBot="1">
      <c r="A229" s="115" t="s">
        <v>131</v>
      </c>
      <c r="B229" s="953" t="s">
        <v>363</v>
      </c>
      <c r="C229" s="626" t="s">
        <v>744</v>
      </c>
      <c r="D229" s="627" t="s">
        <v>219</v>
      </c>
      <c r="E229" s="624" t="s">
        <v>696</v>
      </c>
      <c r="F229" s="505">
        <v>150</v>
      </c>
      <c r="G229" s="694">
        <f t="shared" si="186"/>
        <v>89.600000000000009</v>
      </c>
      <c r="H229" s="465">
        <v>448</v>
      </c>
      <c r="I229" s="167"/>
      <c r="J229" s="27">
        <v>500</v>
      </c>
      <c r="K229" s="96">
        <v>16</v>
      </c>
      <c r="L229" s="96">
        <v>20</v>
      </c>
      <c r="M229" s="46"/>
      <c r="N229" s="340"/>
      <c r="O229" s="1376" t="s">
        <v>136</v>
      </c>
      <c r="P229" s="1377"/>
      <c r="Q229" s="1378"/>
      <c r="R229" s="279" t="s">
        <v>262</v>
      </c>
      <c r="T229" s="1168" t="s">
        <v>268</v>
      </c>
      <c r="U229" s="1169"/>
      <c r="V229" s="1169"/>
      <c r="W229" s="1170"/>
      <c r="Y229" s="1232" t="s">
        <v>269</v>
      </c>
      <c r="Z229" s="1233"/>
      <c r="AF229" s="1224" t="s">
        <v>366</v>
      </c>
      <c r="AG229" s="1225"/>
      <c r="AH229" s="1225"/>
      <c r="AI229" s="1226"/>
      <c r="AO229" s="1389" t="s">
        <v>422</v>
      </c>
      <c r="AP229" s="1389"/>
      <c r="AQ229" s="1389"/>
      <c r="AR229" s="1389"/>
      <c r="AS229" s="1389"/>
      <c r="AT229" s="1389"/>
      <c r="AU229" s="1389"/>
      <c r="AV229" s="1389"/>
      <c r="AW229" s="1389"/>
      <c r="AX229" s="1389"/>
      <c r="AY229" s="1389"/>
      <c r="AZ229" s="1389"/>
    </row>
    <row r="230" spans="1:52" s="8" customFormat="1" ht="35.25" customHeight="1" thickBot="1">
      <c r="A230" s="115"/>
      <c r="B230" s="953" t="s">
        <v>363</v>
      </c>
      <c r="C230" s="626"/>
      <c r="D230" s="627"/>
      <c r="E230" s="624"/>
      <c r="F230" s="505"/>
      <c r="G230" s="694">
        <f t="shared" ref="G230:G231" si="187">J230*0.2</f>
        <v>0</v>
      </c>
      <c r="H230" s="465">
        <f t="shared" ref="H230:H231" si="188">G230/0.2</f>
        <v>0</v>
      </c>
      <c r="I230" s="167"/>
      <c r="J230" s="27">
        <f t="shared" ref="J230:J231" si="189">(K230*$K$226)+L230</f>
        <v>0</v>
      </c>
      <c r="K230" s="96"/>
      <c r="L230" s="96"/>
      <c r="M230" s="46"/>
      <c r="N230" s="340"/>
      <c r="O230" s="1190" t="s">
        <v>298</v>
      </c>
      <c r="P230" s="1191"/>
      <c r="Q230" s="1192"/>
      <c r="R230" s="154">
        <v>8.4</v>
      </c>
      <c r="T230" s="1165" t="s">
        <v>299</v>
      </c>
      <c r="U230" s="1166"/>
      <c r="V230" s="1167"/>
      <c r="W230" s="309">
        <v>32</v>
      </c>
      <c r="Y230" s="1234" t="s">
        <v>270</v>
      </c>
      <c r="Z230" s="1235"/>
      <c r="AA230" s="1238" t="s">
        <v>271</v>
      </c>
      <c r="AB230" s="319"/>
      <c r="AC230" s="321"/>
      <c r="AD230" s="321"/>
      <c r="AF230" s="1227"/>
      <c r="AG230" s="1228"/>
      <c r="AH230" s="1228"/>
      <c r="AI230" s="1229"/>
      <c r="AJ230" s="1135">
        <f>(R233-(AJ232*AA232))/(AJ232*AA232)</f>
        <v>6.8830409356725148</v>
      </c>
      <c r="AO230" s="968" t="s">
        <v>396</v>
      </c>
      <c r="AP230" s="968" t="s">
        <v>397</v>
      </c>
      <c r="AQ230" s="968" t="s">
        <v>398</v>
      </c>
      <c r="AR230" s="968" t="s">
        <v>399</v>
      </c>
      <c r="AS230" s="968" t="s">
        <v>400</v>
      </c>
      <c r="AT230" s="969" t="s">
        <v>375</v>
      </c>
      <c r="AU230" s="968" t="s">
        <v>376</v>
      </c>
      <c r="AV230" s="968" t="s">
        <v>401</v>
      </c>
      <c r="AW230" s="968" t="s">
        <v>402</v>
      </c>
      <c r="AX230" s="968" t="s">
        <v>403</v>
      </c>
      <c r="AY230" s="968" t="s">
        <v>404</v>
      </c>
      <c r="AZ230" s="968" t="s">
        <v>405</v>
      </c>
    </row>
    <row r="231" spans="1:52" s="8" customFormat="1" ht="27.75" customHeight="1" thickTop="1" thickBot="1">
      <c r="B231" s="953" t="s">
        <v>363</v>
      </c>
      <c r="C231" s="626"/>
      <c r="D231" s="627"/>
      <c r="E231" s="624"/>
      <c r="F231" s="505"/>
      <c r="G231" s="694">
        <f t="shared" si="187"/>
        <v>0</v>
      </c>
      <c r="H231" s="465">
        <f t="shared" si="188"/>
        <v>0</v>
      </c>
      <c r="I231" s="167"/>
      <c r="J231" s="27">
        <f t="shared" si="189"/>
        <v>0</v>
      </c>
      <c r="K231" s="96"/>
      <c r="L231" s="96"/>
      <c r="M231" s="46"/>
      <c r="N231" s="340"/>
      <c r="O231" s="1165" t="s">
        <v>299</v>
      </c>
      <c r="P231" s="1166"/>
      <c r="Q231" s="1167"/>
      <c r="R231" s="1117"/>
      <c r="Y231" s="1236"/>
      <c r="Z231" s="1237"/>
      <c r="AA231" s="1239"/>
      <c r="AB231" s="319"/>
      <c r="AC231" s="1240" t="s">
        <v>272</v>
      </c>
      <c r="AD231" s="1241"/>
      <c r="AF231" s="999" t="s">
        <v>679</v>
      </c>
      <c r="AG231" s="960" t="s">
        <v>680</v>
      </c>
      <c r="AH231" s="1003" t="s">
        <v>268</v>
      </c>
      <c r="AI231" s="959" t="s">
        <v>681</v>
      </c>
      <c r="AJ231" s="8" t="s">
        <v>622</v>
      </c>
      <c r="AO231" s="497">
        <v>97</v>
      </c>
      <c r="AP231" s="497">
        <v>157</v>
      </c>
      <c r="AQ231" s="497">
        <v>189</v>
      </c>
      <c r="AR231" s="497">
        <v>127</v>
      </c>
      <c r="AS231" s="497">
        <v>187</v>
      </c>
      <c r="AT231" s="970">
        <v>210</v>
      </c>
      <c r="AU231" s="497">
        <v>204</v>
      </c>
      <c r="AV231" s="497">
        <v>185</v>
      </c>
      <c r="AW231" s="497">
        <v>178</v>
      </c>
      <c r="AX231" s="497">
        <v>149</v>
      </c>
      <c r="AY231" s="497">
        <v>243</v>
      </c>
      <c r="AZ231" s="497">
        <v>277</v>
      </c>
    </row>
    <row r="232" spans="1:52" s="8" customFormat="1" ht="31.2" thickTop="1" thickBot="1">
      <c r="B232" s="953" t="s">
        <v>363</v>
      </c>
      <c r="C232" s="626"/>
      <c r="D232" s="627"/>
      <c r="E232" s="624"/>
      <c r="F232" s="505"/>
      <c r="G232" s="694">
        <f t="shared" ref="G232" si="190">J232*0.2</f>
        <v>0</v>
      </c>
      <c r="H232" s="465">
        <f t="shared" ref="H232" si="191">G232/0.2</f>
        <v>0</v>
      </c>
      <c r="I232" s="167"/>
      <c r="J232" s="27">
        <f t="shared" ref="J232" si="192">(K232*$K$226)+L232</f>
        <v>0</v>
      </c>
      <c r="K232" s="96"/>
      <c r="L232" s="96"/>
      <c r="M232" s="46"/>
      <c r="N232" s="340"/>
      <c r="O232" s="1289" t="s">
        <v>242</v>
      </c>
      <c r="P232" s="1290"/>
      <c r="Q232" s="1291"/>
      <c r="R232" s="155">
        <f>SUM(R230:R231)</f>
        <v>8.4</v>
      </c>
      <c r="Y232" s="1182">
        <f>R230+W230</f>
        <v>40.4</v>
      </c>
      <c r="Z232" s="1183"/>
      <c r="AA232" s="318">
        <v>93</v>
      </c>
      <c r="AC232" s="1292">
        <f>Y232/AA232</f>
        <v>0.43440860215053761</v>
      </c>
      <c r="AD232" s="1293"/>
      <c r="AF232" s="1004">
        <v>9.4623655913978505E-2</v>
      </c>
      <c r="AG232" s="1005">
        <v>0.24516129032258066</v>
      </c>
      <c r="AH232" s="1005">
        <v>0.32903225806451608</v>
      </c>
      <c r="AI232" s="1001">
        <v>0.43440860215053761</v>
      </c>
      <c r="AJ232" s="229">
        <f>AVERAGE(AF232:AI232)</f>
        <v>0.27580645161290324</v>
      </c>
      <c r="AO232" s="1389" t="s">
        <v>442</v>
      </c>
      <c r="AP232" s="1389"/>
      <c r="AQ232" s="1389"/>
      <c r="AR232" s="1389"/>
      <c r="AS232" s="1389"/>
      <c r="AT232" s="1389"/>
      <c r="AU232" s="1389"/>
      <c r="AV232" s="1389"/>
      <c r="AW232" s="1389"/>
      <c r="AX232" s="1389"/>
      <c r="AY232" s="1389"/>
      <c r="AZ232" s="1389"/>
    </row>
    <row r="233" spans="1:52" s="8" customFormat="1" ht="30" customHeight="1" thickBot="1">
      <c r="B233" s="40"/>
      <c r="C233" s="626"/>
      <c r="D233" s="627"/>
      <c r="E233" s="624"/>
      <c r="F233" s="505"/>
      <c r="G233" s="694">
        <f t="shared" ref="G233" si="193">J233*0.2</f>
        <v>0</v>
      </c>
      <c r="H233" s="465">
        <f t="shared" ref="H233" si="194">G233/0.2</f>
        <v>0</v>
      </c>
      <c r="I233" s="167"/>
      <c r="J233" s="27">
        <f t="shared" ref="J233" si="195">(K233*$K$226)+L233</f>
        <v>0</v>
      </c>
      <c r="K233" s="96"/>
      <c r="L233" s="96"/>
      <c r="M233" s="46"/>
      <c r="N233" s="340"/>
      <c r="O233" s="1247" t="s">
        <v>243</v>
      </c>
      <c r="P233" s="1248"/>
      <c r="Q233" s="1249"/>
      <c r="R233" s="156">
        <f>$G$234-R232</f>
        <v>202.20000000000002</v>
      </c>
      <c r="U233" s="229"/>
      <c r="Y233" s="1350"/>
      <c r="Z233" s="1162"/>
      <c r="AA233" s="332">
        <v>93.2</v>
      </c>
      <c r="AO233" s="968" t="s">
        <v>396</v>
      </c>
      <c r="AP233" s="968" t="s">
        <v>397</v>
      </c>
      <c r="AQ233" s="968" t="s">
        <v>398</v>
      </c>
      <c r="AR233" s="968" t="s">
        <v>399</v>
      </c>
      <c r="AS233" s="968" t="s">
        <v>400</v>
      </c>
      <c r="AT233" s="969" t="s">
        <v>375</v>
      </c>
      <c r="AU233" s="968" t="s">
        <v>376</v>
      </c>
      <c r="AV233" s="968" t="s">
        <v>401</v>
      </c>
      <c r="AW233" s="968" t="s">
        <v>402</v>
      </c>
      <c r="AX233" s="968" t="s">
        <v>403</v>
      </c>
      <c r="AY233" s="968" t="s">
        <v>404</v>
      </c>
      <c r="AZ233" s="968" t="s">
        <v>405</v>
      </c>
    </row>
    <row r="234" spans="1:52" s="8" customFormat="1" ht="21.6" thickBot="1">
      <c r="C234" s="471"/>
      <c r="D234" s="527"/>
      <c r="E234" s="521"/>
      <c r="F234" s="672">
        <f>SUM(F227:F233)</f>
        <v>450</v>
      </c>
      <c r="G234" s="695">
        <f>SUM(G227:G233)</f>
        <v>210.60000000000002</v>
      </c>
      <c r="H234" s="940">
        <f>SUM(H227:H233)</f>
        <v>1053</v>
      </c>
      <c r="I234" s="168"/>
      <c r="J234" s="130">
        <f>SUM(J227:J233)</f>
        <v>1500</v>
      </c>
      <c r="M234" s="1152">
        <f>233-210</f>
        <v>23</v>
      </c>
      <c r="N234" s="340"/>
      <c r="S234" s="229"/>
      <c r="W234" s="8" t="s">
        <v>301</v>
      </c>
      <c r="X234" s="117"/>
      <c r="Y234" s="396">
        <f>R233/Y232</f>
        <v>5.0049504950495054</v>
      </c>
      <c r="Z234" s="392" t="s">
        <v>302</v>
      </c>
      <c r="AO234" s="1035">
        <v>149</v>
      </c>
      <c r="AP234" s="1035">
        <v>287</v>
      </c>
      <c r="AQ234" s="1036">
        <v>155.6</v>
      </c>
      <c r="AR234" s="1036">
        <v>135.80000000000001</v>
      </c>
      <c r="AS234" s="1036">
        <v>122</v>
      </c>
      <c r="AT234" s="1039">
        <v>177</v>
      </c>
      <c r="AU234" s="1036">
        <v>123</v>
      </c>
      <c r="AV234" s="1036">
        <v>203</v>
      </c>
      <c r="AW234" s="1036">
        <v>60</v>
      </c>
      <c r="AX234" s="1036">
        <v>106</v>
      </c>
      <c r="AY234" s="1036">
        <v>189</v>
      </c>
      <c r="AZ234" s="1036">
        <v>162</v>
      </c>
    </row>
    <row r="235" spans="1:52" s="8" customFormat="1" ht="21.6" thickBot="1">
      <c r="A235" s="17"/>
      <c r="B235" s="17"/>
      <c r="C235" s="469"/>
      <c r="D235" s="469"/>
      <c r="E235" s="527"/>
      <c r="F235" s="469"/>
      <c r="G235" s="469"/>
      <c r="H235" s="469"/>
      <c r="N235" s="340"/>
      <c r="T235" s="229"/>
      <c r="W235" s="8" t="s">
        <v>303</v>
      </c>
      <c r="Y235" s="395">
        <f>(R233-Y232)/Y232</f>
        <v>4.0049504950495054</v>
      </c>
      <c r="Z235" s="392" t="s">
        <v>302</v>
      </c>
      <c r="AT235" s="332"/>
    </row>
    <row r="236" spans="1:52" s="8" customFormat="1" ht="21.6" hidden="1" thickBot="1">
      <c r="A236" s="126">
        <v>106</v>
      </c>
      <c r="B236" s="43" t="s">
        <v>142</v>
      </c>
      <c r="C236" s="696"/>
      <c r="D236" s="697"/>
      <c r="E236" s="516"/>
      <c r="F236" s="698"/>
      <c r="G236" s="699" t="s">
        <v>35</v>
      </c>
      <c r="H236" s="700"/>
      <c r="I236" s="169"/>
      <c r="J236" s="135"/>
      <c r="K236" s="127">
        <v>30</v>
      </c>
      <c r="L236" s="128" t="s">
        <v>39</v>
      </c>
      <c r="M236" s="44"/>
      <c r="N236" s="340"/>
      <c r="AI236" s="305">
        <v>270</v>
      </c>
      <c r="AT236" s="332"/>
    </row>
    <row r="237" spans="1:52" s="8" customFormat="1" ht="21.6" hidden="1" thickBot="1">
      <c r="A237" s="64" t="s">
        <v>143</v>
      </c>
      <c r="B237" s="12"/>
      <c r="C237" s="575"/>
      <c r="D237" s="673"/>
      <c r="E237" s="674"/>
      <c r="F237" s="578"/>
      <c r="G237" s="701">
        <f>J237*0.2</f>
        <v>0</v>
      </c>
      <c r="H237" s="580"/>
      <c r="I237" s="164"/>
      <c r="J237" s="30">
        <f>(K237*$K$236)+L237</f>
        <v>0</v>
      </c>
      <c r="K237" s="95"/>
      <c r="L237" s="95"/>
      <c r="M237" s="12"/>
      <c r="N237" s="340"/>
      <c r="AT237" s="332"/>
    </row>
    <row r="238" spans="1:52" s="8" customFormat="1" ht="23.25" hidden="1" customHeight="1" thickBot="1">
      <c r="A238" s="64"/>
      <c r="B238" s="13"/>
      <c r="C238" s="466"/>
      <c r="D238" s="622"/>
      <c r="E238" s="536"/>
      <c r="F238" s="505"/>
      <c r="G238" s="694">
        <f t="shared" ref="G238" si="196">J238*0.2</f>
        <v>0</v>
      </c>
      <c r="H238" s="676"/>
      <c r="I238" s="164"/>
      <c r="J238" s="82">
        <f>(K238*$K$236)+L238</f>
        <v>0</v>
      </c>
      <c r="K238" s="96"/>
      <c r="L238" s="96"/>
      <c r="M238" s="13"/>
      <c r="N238" s="340"/>
      <c r="AT238" s="332"/>
    </row>
    <row r="239" spans="1:52" s="8" customFormat="1" ht="21.6" hidden="1" thickBot="1">
      <c r="C239" s="471"/>
      <c r="D239" s="527"/>
      <c r="E239" s="521"/>
      <c r="F239" s="672">
        <f>SUM(F237:F238)</f>
        <v>0</v>
      </c>
      <c r="G239" s="702">
        <f t="shared" ref="G239:J239" si="197">SUM(G237:G238)</f>
        <v>0</v>
      </c>
      <c r="H239" s="703"/>
      <c r="I239" s="164"/>
      <c r="J239" s="130">
        <f t="shared" si="197"/>
        <v>0</v>
      </c>
      <c r="K239" s="31"/>
      <c r="L239" s="31"/>
      <c r="N239" s="340"/>
      <c r="AT239" s="332"/>
    </row>
    <row r="240" spans="1:52" s="8" customFormat="1" ht="21.6" hidden="1" thickBot="1">
      <c r="A240" s="126">
        <v>109</v>
      </c>
      <c r="B240" s="43" t="s">
        <v>144</v>
      </c>
      <c r="C240" s="696"/>
      <c r="D240" s="697"/>
      <c r="E240" s="516"/>
      <c r="F240" s="698"/>
      <c r="G240" s="699" t="s">
        <v>35</v>
      </c>
      <c r="H240" s="700"/>
      <c r="I240" s="169"/>
      <c r="J240" s="135"/>
      <c r="K240" s="127">
        <v>30</v>
      </c>
      <c r="L240" s="128" t="s">
        <v>39</v>
      </c>
      <c r="M240" s="44"/>
      <c r="N240" s="340"/>
      <c r="AT240" s="332"/>
    </row>
    <row r="241" spans="1:46" s="8" customFormat="1" ht="21.6" hidden="1" thickBot="1">
      <c r="A241" s="64" t="s">
        <v>145</v>
      </c>
      <c r="B241" s="12"/>
      <c r="C241" s="575"/>
      <c r="D241" s="673"/>
      <c r="E241" s="674"/>
      <c r="F241" s="578"/>
      <c r="G241" s="701">
        <f t="shared" ref="G241:G242" si="198">J241*0.2</f>
        <v>0</v>
      </c>
      <c r="H241" s="580"/>
      <c r="I241" s="164"/>
      <c r="J241" s="30">
        <f>(K241*$K$240)+L241</f>
        <v>0</v>
      </c>
      <c r="K241" s="95"/>
      <c r="L241" s="95"/>
      <c r="M241" s="12"/>
      <c r="N241" s="340"/>
      <c r="AT241" s="332"/>
    </row>
    <row r="242" spans="1:46" s="8" customFormat="1" ht="24" hidden="1" customHeight="1" thickBot="1">
      <c r="A242" s="64"/>
      <c r="B242" s="13"/>
      <c r="C242" s="466"/>
      <c r="D242" s="622"/>
      <c r="E242" s="536"/>
      <c r="F242" s="505"/>
      <c r="G242" s="694">
        <f t="shared" si="198"/>
        <v>0</v>
      </c>
      <c r="H242" s="676"/>
      <c r="I242" s="164"/>
      <c r="J242" s="82">
        <f>(K242*$K$240)+L242</f>
        <v>0</v>
      </c>
      <c r="K242" s="96"/>
      <c r="L242" s="96"/>
      <c r="M242" s="13"/>
      <c r="N242" s="340"/>
      <c r="AT242" s="332"/>
    </row>
    <row r="243" spans="1:46" s="8" customFormat="1" ht="21.6" hidden="1" thickBot="1">
      <c r="C243" s="471"/>
      <c r="D243" s="527"/>
      <c r="E243" s="521"/>
      <c r="F243" s="672">
        <f>SUM(F241:F242)</f>
        <v>0</v>
      </c>
      <c r="G243" s="702">
        <f t="shared" ref="G243:J243" si="199">SUM(G241:G242)</f>
        <v>0</v>
      </c>
      <c r="H243" s="703"/>
      <c r="I243" s="164"/>
      <c r="J243" s="130">
        <f t="shared" si="199"/>
        <v>0</v>
      </c>
      <c r="K243" s="31"/>
      <c r="L243" s="31"/>
      <c r="N243" s="340"/>
      <c r="AT243" s="332"/>
    </row>
    <row r="244" spans="1:46" s="8" customFormat="1" ht="21.6" hidden="1" thickBot="1">
      <c r="A244" s="126">
        <v>117</v>
      </c>
      <c r="B244" s="43" t="s">
        <v>146</v>
      </c>
      <c r="C244" s="696"/>
      <c r="D244" s="697"/>
      <c r="E244" s="516"/>
      <c r="F244" s="698"/>
      <c r="G244" s="699" t="s">
        <v>35</v>
      </c>
      <c r="H244" s="700"/>
      <c r="I244" s="169"/>
      <c r="J244" s="135"/>
      <c r="K244" s="127">
        <v>30</v>
      </c>
      <c r="L244" s="128" t="s">
        <v>39</v>
      </c>
      <c r="M244" s="44"/>
      <c r="N244" s="340"/>
      <c r="AT244" s="332"/>
    </row>
    <row r="245" spans="1:46" s="8" customFormat="1" ht="21.6" hidden="1" thickBot="1">
      <c r="A245" s="64" t="s">
        <v>147</v>
      </c>
      <c r="B245" s="12"/>
      <c r="C245" s="575"/>
      <c r="D245" s="673"/>
      <c r="E245" s="674"/>
      <c r="F245" s="578"/>
      <c r="G245" s="701">
        <f t="shared" ref="G245:G246" si="200">J245*0.2</f>
        <v>0</v>
      </c>
      <c r="H245" s="580"/>
      <c r="I245" s="164"/>
      <c r="J245" s="30">
        <f>(K245*$K$244)+L245</f>
        <v>0</v>
      </c>
      <c r="K245" s="95"/>
      <c r="L245" s="95"/>
      <c r="M245" s="12"/>
      <c r="N245" s="340"/>
      <c r="AT245" s="332"/>
    </row>
    <row r="246" spans="1:46" s="8" customFormat="1" ht="23.25" hidden="1" customHeight="1" thickBot="1">
      <c r="A246" s="64"/>
      <c r="B246" s="13"/>
      <c r="C246" s="466"/>
      <c r="D246" s="622"/>
      <c r="E246" s="536"/>
      <c r="F246" s="505"/>
      <c r="G246" s="694">
        <f t="shared" si="200"/>
        <v>0</v>
      </c>
      <c r="H246" s="676"/>
      <c r="I246" s="164"/>
      <c r="J246" s="82">
        <f>(K246*$K$244)+L246</f>
        <v>0</v>
      </c>
      <c r="K246" s="96"/>
      <c r="L246" s="96"/>
      <c r="M246" s="13"/>
      <c r="N246" s="340"/>
      <c r="AT246" s="332"/>
    </row>
    <row r="247" spans="1:46" s="8" customFormat="1" ht="21.6" hidden="1" thickBot="1">
      <c r="C247" s="471"/>
      <c r="D247" s="527"/>
      <c r="E247" s="521"/>
      <c r="F247" s="672">
        <f>SUM(F245:F246)</f>
        <v>0</v>
      </c>
      <c r="G247" s="702">
        <f t="shared" ref="G247:J247" si="201">SUM(G245:G246)</f>
        <v>0</v>
      </c>
      <c r="H247" s="703"/>
      <c r="I247" s="164"/>
      <c r="J247" s="130">
        <f t="shared" si="201"/>
        <v>0</v>
      </c>
      <c r="K247" s="31"/>
      <c r="L247" s="31"/>
      <c r="N247" s="340"/>
      <c r="AT247" s="332"/>
    </row>
    <row r="248" spans="1:46" s="8" customFormat="1" ht="21.6" hidden="1" thickBot="1">
      <c r="A248" s="126">
        <v>153</v>
      </c>
      <c r="B248" s="43" t="s">
        <v>148</v>
      </c>
      <c r="C248" s="696"/>
      <c r="D248" s="697"/>
      <c r="E248" s="516"/>
      <c r="F248" s="698"/>
      <c r="G248" s="699" t="s">
        <v>35</v>
      </c>
      <c r="H248" s="700"/>
      <c r="I248" s="169"/>
      <c r="J248" s="135"/>
      <c r="K248" s="127">
        <v>30</v>
      </c>
      <c r="L248" s="128" t="s">
        <v>39</v>
      </c>
      <c r="M248" s="44"/>
      <c r="N248" s="340"/>
      <c r="AT248" s="332"/>
    </row>
    <row r="249" spans="1:46" s="8" customFormat="1" ht="21.6" hidden="1" thickBot="1">
      <c r="A249" s="64" t="s">
        <v>149</v>
      </c>
      <c r="B249" s="12"/>
      <c r="C249" s="575"/>
      <c r="D249" s="673"/>
      <c r="E249" s="674"/>
      <c r="F249" s="578"/>
      <c r="G249" s="701">
        <f t="shared" ref="G249:G250" si="202">J249*0.2</f>
        <v>0</v>
      </c>
      <c r="H249" s="580"/>
      <c r="I249" s="164"/>
      <c r="J249" s="30">
        <f>(K249*$K$248)+L249</f>
        <v>0</v>
      </c>
      <c r="K249" s="95"/>
      <c r="L249" s="95"/>
      <c r="M249" s="12"/>
      <c r="N249" s="340"/>
      <c r="AT249" s="332"/>
    </row>
    <row r="250" spans="1:46" s="8" customFormat="1" ht="23.25" hidden="1" customHeight="1" thickBot="1">
      <c r="A250" s="64"/>
      <c r="B250" s="13"/>
      <c r="C250" s="466"/>
      <c r="D250" s="622"/>
      <c r="E250" s="536"/>
      <c r="F250" s="505"/>
      <c r="G250" s="694">
        <f t="shared" si="202"/>
        <v>0</v>
      </c>
      <c r="H250" s="676"/>
      <c r="I250" s="164"/>
      <c r="J250" s="82">
        <f>(K250*$K$248)+L250</f>
        <v>0</v>
      </c>
      <c r="K250" s="96"/>
      <c r="L250" s="96"/>
      <c r="M250" s="13"/>
      <c r="N250" s="340"/>
      <c r="AT250" s="332"/>
    </row>
    <row r="251" spans="1:46" s="8" customFormat="1" ht="21.6" hidden="1" thickBot="1">
      <c r="C251" s="471"/>
      <c r="D251" s="527"/>
      <c r="E251" s="521"/>
      <c r="F251" s="672">
        <f>SUM(F249:F250)</f>
        <v>0</v>
      </c>
      <c r="G251" s="702">
        <f t="shared" ref="G251:J251" si="203">SUM(G249:G250)</f>
        <v>0</v>
      </c>
      <c r="H251" s="703"/>
      <c r="I251" s="164"/>
      <c r="J251" s="130">
        <f t="shared" si="203"/>
        <v>0</v>
      </c>
      <c r="K251" s="31"/>
      <c r="L251" s="31"/>
      <c r="N251" s="340"/>
      <c r="AT251" s="332"/>
    </row>
    <row r="252" spans="1:46" s="8" customFormat="1" ht="21.6" hidden="1" thickBot="1">
      <c r="A252" s="126">
        <v>113</v>
      </c>
      <c r="B252" s="43" t="s">
        <v>151</v>
      </c>
      <c r="C252" s="696"/>
      <c r="D252" s="697"/>
      <c r="E252" s="516"/>
      <c r="F252" s="698"/>
      <c r="G252" s="699" t="s">
        <v>35</v>
      </c>
      <c r="H252" s="700"/>
      <c r="I252" s="169"/>
      <c r="J252" s="135"/>
      <c r="K252" s="127">
        <v>30</v>
      </c>
      <c r="L252" s="128" t="s">
        <v>39</v>
      </c>
      <c r="M252" s="44"/>
      <c r="N252" s="340"/>
      <c r="AT252" s="332"/>
    </row>
    <row r="253" spans="1:46" s="8" customFormat="1" ht="21.6" hidden="1" thickBot="1">
      <c r="A253" s="64" t="s">
        <v>150</v>
      </c>
      <c r="B253" s="12"/>
      <c r="C253" s="575"/>
      <c r="D253" s="673"/>
      <c r="E253" s="674"/>
      <c r="F253" s="578"/>
      <c r="G253" s="701">
        <f t="shared" ref="G253:G254" si="204">J253*0.2</f>
        <v>0</v>
      </c>
      <c r="H253" s="580"/>
      <c r="I253" s="164"/>
      <c r="J253" s="30">
        <f>(K253*$K$252)+L253</f>
        <v>0</v>
      </c>
      <c r="K253" s="95"/>
      <c r="L253" s="95"/>
      <c r="M253" s="12"/>
      <c r="N253" s="340"/>
      <c r="AT253" s="332"/>
    </row>
    <row r="254" spans="1:46" s="8" customFormat="1" ht="21.75" hidden="1" customHeight="1" thickBot="1">
      <c r="A254" s="64"/>
      <c r="B254" s="13"/>
      <c r="C254" s="466"/>
      <c r="D254" s="622"/>
      <c r="E254" s="536"/>
      <c r="F254" s="505"/>
      <c r="G254" s="694">
        <f t="shared" si="204"/>
        <v>0</v>
      </c>
      <c r="H254" s="676"/>
      <c r="I254" s="164"/>
      <c r="J254" s="82">
        <f>(K254*$K$252)+L254</f>
        <v>0</v>
      </c>
      <c r="K254" s="96"/>
      <c r="L254" s="96"/>
      <c r="M254" s="13"/>
      <c r="N254" s="340"/>
      <c r="AT254" s="332"/>
    </row>
    <row r="255" spans="1:46" s="8" customFormat="1" ht="21.6" hidden="1" thickBot="1">
      <c r="C255" s="471"/>
      <c r="D255" s="527"/>
      <c r="E255" s="521"/>
      <c r="F255" s="672">
        <f>SUM(F253:F254)</f>
        <v>0</v>
      </c>
      <c r="G255" s="702">
        <f t="shared" ref="G255:J255" si="205">SUM(G253:G254)</f>
        <v>0</v>
      </c>
      <c r="H255" s="703"/>
      <c r="I255" s="164"/>
      <c r="J255" s="130">
        <f t="shared" si="205"/>
        <v>0</v>
      </c>
      <c r="K255" s="31"/>
      <c r="L255" s="31"/>
      <c r="N255" s="340"/>
      <c r="AI255" s="305">
        <v>280</v>
      </c>
      <c r="AT255" s="332"/>
    </row>
    <row r="256" spans="1:46" s="8" customFormat="1" ht="21.6" hidden="1" thickBot="1">
      <c r="A256" s="920"/>
      <c r="B256" s="921" t="s">
        <v>351</v>
      </c>
      <c r="C256" s="922"/>
      <c r="D256" s="923"/>
      <c r="E256" s="924"/>
      <c r="F256" s="925"/>
      <c r="G256" s="926" t="s">
        <v>350</v>
      </c>
      <c r="H256" s="927"/>
      <c r="I256" s="928"/>
      <c r="J256" s="929"/>
      <c r="K256" s="930">
        <v>30</v>
      </c>
      <c r="L256" s="931" t="s">
        <v>39</v>
      </c>
      <c r="M256" s="932"/>
      <c r="N256" s="340"/>
      <c r="AT256" s="332"/>
    </row>
    <row r="257" spans="1:52" s="8" customFormat="1" ht="21.6" hidden="1" thickBot="1">
      <c r="A257" s="64"/>
      <c r="B257" s="12" t="s">
        <v>352</v>
      </c>
      <c r="C257" s="575"/>
      <c r="D257" s="673"/>
      <c r="E257" s="674"/>
      <c r="F257" s="578">
        <v>156</v>
      </c>
      <c r="G257" s="701">
        <f>J257*0.3</f>
        <v>0</v>
      </c>
      <c r="H257" s="465">
        <f>G257/0.3</f>
        <v>0</v>
      </c>
      <c r="I257" s="164"/>
      <c r="J257" s="30">
        <f>(K257*$K$256)+L257</f>
        <v>0</v>
      </c>
      <c r="K257" s="95"/>
      <c r="L257" s="95"/>
      <c r="M257" s="12"/>
      <c r="N257" s="340"/>
      <c r="AT257" s="332"/>
    </row>
    <row r="258" spans="1:52" s="8" customFormat="1" ht="24" hidden="1" customHeight="1" thickBot="1">
      <c r="A258" s="64"/>
      <c r="B258" s="13"/>
      <c r="C258" s="466"/>
      <c r="D258" s="622"/>
      <c r="E258" s="536"/>
      <c r="F258" s="505"/>
      <c r="G258" s="694">
        <f t="shared" ref="G258" si="206">J258*0.2</f>
        <v>0</v>
      </c>
      <c r="H258" s="676"/>
      <c r="I258" s="164"/>
      <c r="J258" s="82">
        <f>(K258*$K$256)+L258</f>
        <v>0</v>
      </c>
      <c r="K258" s="96"/>
      <c r="L258" s="96"/>
      <c r="M258" s="13"/>
      <c r="N258" s="340"/>
      <c r="AF258"/>
      <c r="AG258"/>
      <c r="AH258"/>
      <c r="AI258"/>
      <c r="AT258" s="332"/>
    </row>
    <row r="259" spans="1:52" ht="32.25" hidden="1" customHeight="1" thickBot="1">
      <c r="A259" s="8"/>
      <c r="B259" s="8"/>
      <c r="C259" s="471"/>
      <c r="D259" s="527"/>
      <c r="E259" s="521"/>
      <c r="F259" s="672">
        <f>SUM(F257:F258)</f>
        <v>156</v>
      </c>
      <c r="G259" s="702">
        <f t="shared" ref="G259:J259" si="207">SUM(G257:G258)</f>
        <v>0</v>
      </c>
      <c r="H259" s="703">
        <f>SUM(H257:H258)</f>
        <v>0</v>
      </c>
      <c r="I259" s="164"/>
      <c r="J259" s="130">
        <f t="shared" si="207"/>
        <v>0</v>
      </c>
      <c r="K259" s="31"/>
      <c r="L259" s="31"/>
      <c r="M259" s="8"/>
      <c r="N259" s="340"/>
      <c r="Y259" s="8"/>
      <c r="Z259" s="8"/>
      <c r="AA259" s="8"/>
      <c r="AB259" s="8"/>
      <c r="AC259" s="8"/>
      <c r="AD259" s="8"/>
      <c r="AE259" s="8"/>
      <c r="AF259" s="998"/>
      <c r="AG259" s="998"/>
      <c r="AH259" s="1000"/>
    </row>
    <row r="260" spans="1:52" ht="21.6" thickBot="1">
      <c r="Y260" s="8"/>
      <c r="Z260" s="8"/>
      <c r="AA260" s="8"/>
      <c r="AB260" s="8"/>
      <c r="AC260" s="8"/>
      <c r="AD260" s="8"/>
      <c r="AE260" s="1109"/>
      <c r="AF260" s="8"/>
      <c r="AG260" s="8"/>
      <c r="AH260" s="8"/>
      <c r="AI260" s="8"/>
    </row>
    <row r="261" spans="1:52" s="8" customFormat="1" ht="28.5" customHeight="1" thickBot="1">
      <c r="A261" s="1041">
        <v>123</v>
      </c>
      <c r="B261" s="1042" t="s">
        <v>524</v>
      </c>
      <c r="C261" s="1042"/>
      <c r="D261" s="1043"/>
      <c r="E261" s="1044" t="s">
        <v>885</v>
      </c>
      <c r="F261" s="1045"/>
      <c r="G261" s="1046" t="s">
        <v>35</v>
      </c>
      <c r="H261" s="1047"/>
      <c r="I261" s="1048"/>
      <c r="J261" s="1049"/>
      <c r="K261" s="1050">
        <v>30</v>
      </c>
      <c r="L261" s="1051" t="s">
        <v>39</v>
      </c>
      <c r="M261" s="1052"/>
      <c r="N261" s="340" t="s">
        <v>538</v>
      </c>
      <c r="O261" s="8" t="s">
        <v>328</v>
      </c>
      <c r="P261" s="8" t="s">
        <v>329</v>
      </c>
      <c r="AT261" s="332"/>
    </row>
    <row r="262" spans="1:52" s="8" customFormat="1" ht="30.6" thickBot="1">
      <c r="A262" s="64" t="s">
        <v>525</v>
      </c>
      <c r="B262" s="894" t="s">
        <v>528</v>
      </c>
      <c r="C262" s="479" t="s">
        <v>701</v>
      </c>
      <c r="D262" s="623" t="s">
        <v>217</v>
      </c>
      <c r="E262" s="517" t="s">
        <v>750</v>
      </c>
      <c r="F262" s="505">
        <v>75</v>
      </c>
      <c r="G262" s="610">
        <f>H262*0.2</f>
        <v>29.6</v>
      </c>
      <c r="H262" s="465">
        <v>148</v>
      </c>
      <c r="I262" s="167"/>
      <c r="J262" s="27">
        <v>252</v>
      </c>
      <c r="K262" s="96">
        <v>8</v>
      </c>
      <c r="L262" s="96">
        <v>12</v>
      </c>
      <c r="M262" s="46"/>
      <c r="N262" s="340"/>
      <c r="O262" s="1390" t="s">
        <v>524</v>
      </c>
      <c r="P262" s="1391"/>
      <c r="Q262" s="1392"/>
      <c r="R262" s="279" t="s">
        <v>262</v>
      </c>
      <c r="T262" s="1168" t="s">
        <v>268</v>
      </c>
      <c r="U262" s="1169"/>
      <c r="V262" s="1169"/>
      <c r="W262" s="1170"/>
      <c r="Y262" s="1232" t="s">
        <v>269</v>
      </c>
      <c r="Z262" s="1233"/>
      <c r="AF262" s="1224" t="s">
        <v>366</v>
      </c>
      <c r="AG262" s="1225"/>
      <c r="AH262" s="1225"/>
      <c r="AI262" s="1226"/>
      <c r="AO262" s="1389" t="s">
        <v>526</v>
      </c>
      <c r="AP262" s="1389"/>
      <c r="AQ262" s="1389"/>
      <c r="AR262" s="1389"/>
      <c r="AS262" s="1389"/>
      <c r="AT262" s="1389"/>
      <c r="AU262" s="1389"/>
      <c r="AV262" s="1389"/>
      <c r="AW262" s="1389"/>
      <c r="AX262" s="1389"/>
      <c r="AY262" s="1389"/>
      <c r="AZ262" s="1389"/>
    </row>
    <row r="263" spans="1:52" s="8" customFormat="1" ht="38.25" customHeight="1" thickBot="1">
      <c r="A263" s="64"/>
      <c r="B263" s="1054"/>
      <c r="C263" s="479" t="s">
        <v>695</v>
      </c>
      <c r="D263" s="623" t="s">
        <v>219</v>
      </c>
      <c r="E263" s="517" t="s">
        <v>752</v>
      </c>
      <c r="F263" s="505">
        <v>150</v>
      </c>
      <c r="G263" s="610">
        <f>H263*0.2</f>
        <v>89.2</v>
      </c>
      <c r="H263" s="465">
        <v>446</v>
      </c>
      <c r="I263" s="167"/>
      <c r="J263" s="27">
        <v>510</v>
      </c>
      <c r="K263" s="96">
        <v>17</v>
      </c>
      <c r="L263" s="96"/>
      <c r="M263" s="46"/>
      <c r="N263" s="340"/>
      <c r="O263" s="1190" t="s">
        <v>298</v>
      </c>
      <c r="P263" s="1191"/>
      <c r="Q263" s="1192"/>
      <c r="R263" s="220">
        <v>20.8</v>
      </c>
      <c r="T263" s="1165" t="s">
        <v>299</v>
      </c>
      <c r="U263" s="1166"/>
      <c r="V263" s="1167"/>
      <c r="W263" s="309">
        <v>49.2</v>
      </c>
      <c r="Y263" s="1234" t="s">
        <v>270</v>
      </c>
      <c r="Z263" s="1235"/>
      <c r="AA263" s="1238" t="s">
        <v>271</v>
      </c>
      <c r="AB263" s="319"/>
      <c r="AC263" s="321"/>
      <c r="AD263" s="321"/>
      <c r="AF263" s="1227"/>
      <c r="AG263" s="1228"/>
      <c r="AH263" s="1228"/>
      <c r="AI263" s="1229"/>
      <c r="AJ263" s="1135">
        <f>(R266-(AJ265*AA265))/(AJ265*AA265)</f>
        <v>4.6765375854214133</v>
      </c>
      <c r="AO263" s="968" t="s">
        <v>396</v>
      </c>
      <c r="AP263" s="968" t="s">
        <v>397</v>
      </c>
      <c r="AQ263" s="968" t="s">
        <v>398</v>
      </c>
      <c r="AR263" s="968" t="s">
        <v>399</v>
      </c>
      <c r="AS263" s="968" t="s">
        <v>400</v>
      </c>
      <c r="AT263" s="969" t="s">
        <v>375</v>
      </c>
      <c r="AU263" s="968" t="s">
        <v>376</v>
      </c>
      <c r="AV263" s="968" t="s">
        <v>401</v>
      </c>
      <c r="AW263" s="968" t="s">
        <v>402</v>
      </c>
      <c r="AX263" s="968" t="s">
        <v>403</v>
      </c>
      <c r="AY263" s="968" t="s">
        <v>404</v>
      </c>
      <c r="AZ263" s="968" t="s">
        <v>405</v>
      </c>
    </row>
    <row r="264" spans="1:52" s="8" customFormat="1" ht="22.2" thickTop="1" thickBot="1">
      <c r="A264" s="115"/>
      <c r="B264" s="13"/>
      <c r="C264" s="479" t="s">
        <v>788</v>
      </c>
      <c r="D264" s="623" t="s">
        <v>219</v>
      </c>
      <c r="E264" s="517" t="s">
        <v>794</v>
      </c>
      <c r="F264" s="505">
        <v>150</v>
      </c>
      <c r="G264" s="610">
        <f>J264*0.2</f>
        <v>99.600000000000009</v>
      </c>
      <c r="H264" s="465">
        <f>G264/0.2</f>
        <v>498</v>
      </c>
      <c r="I264" s="167"/>
      <c r="J264" s="27">
        <f>(K264*$K$164)+L264</f>
        <v>498</v>
      </c>
      <c r="K264" s="96">
        <v>16</v>
      </c>
      <c r="L264" s="96">
        <v>18</v>
      </c>
      <c r="M264" s="46"/>
      <c r="N264" s="340"/>
      <c r="O264" s="1165" t="s">
        <v>299</v>
      </c>
      <c r="P264" s="1166"/>
      <c r="Q264" s="1167"/>
      <c r="R264" s="158"/>
      <c r="Y264" s="1236"/>
      <c r="Z264" s="1237"/>
      <c r="AA264" s="1239"/>
      <c r="AB264" s="319"/>
      <c r="AC264" s="1240" t="s">
        <v>272</v>
      </c>
      <c r="AD264" s="1241"/>
      <c r="AF264" s="999" t="s">
        <v>679</v>
      </c>
      <c r="AG264" s="960" t="s">
        <v>680</v>
      </c>
      <c r="AH264" s="1003" t="s">
        <v>268</v>
      </c>
      <c r="AI264" s="959" t="s">
        <v>681</v>
      </c>
      <c r="AJ264" s="8" t="s">
        <v>622</v>
      </c>
      <c r="AO264" s="497"/>
      <c r="AP264" s="497"/>
      <c r="AQ264" s="497"/>
      <c r="AR264" s="497"/>
      <c r="AS264" s="497"/>
      <c r="AT264" s="970"/>
      <c r="AU264" s="497"/>
      <c r="AV264" s="497"/>
      <c r="AW264" s="497"/>
      <c r="AX264" s="497"/>
      <c r="AY264" s="497"/>
      <c r="AZ264" s="497"/>
    </row>
    <row r="265" spans="1:52" s="8" customFormat="1" ht="31.2" thickTop="1" thickBot="1">
      <c r="A265" s="115"/>
      <c r="B265" s="13"/>
      <c r="C265" s="479" t="s">
        <v>809</v>
      </c>
      <c r="D265" s="623" t="s">
        <v>217</v>
      </c>
      <c r="E265" s="517" t="s">
        <v>837</v>
      </c>
      <c r="F265" s="505">
        <v>75</v>
      </c>
      <c r="G265" s="610">
        <f>H265*0.2</f>
        <v>51.6</v>
      </c>
      <c r="H265" s="465">
        <v>258</v>
      </c>
      <c r="I265" s="167"/>
      <c r="J265" s="27">
        <f>(K265*$K$164)+L265</f>
        <v>258</v>
      </c>
      <c r="K265" s="96">
        <v>8</v>
      </c>
      <c r="L265" s="96">
        <v>18</v>
      </c>
      <c r="M265" s="46"/>
      <c r="N265" s="340"/>
      <c r="O265" s="1289" t="s">
        <v>242</v>
      </c>
      <c r="P265" s="1290"/>
      <c r="Q265" s="1291"/>
      <c r="R265" s="221">
        <f>SUM(R263:R264)</f>
        <v>20.8</v>
      </c>
      <c r="S265" s="277"/>
      <c r="Y265" s="1182">
        <f>R263+W263</f>
        <v>70</v>
      </c>
      <c r="Z265" s="1183"/>
      <c r="AA265" s="318">
        <v>94</v>
      </c>
      <c r="AC265" s="1292">
        <f>Y265/AA265</f>
        <v>0.74468085106382975</v>
      </c>
      <c r="AD265" s="1293"/>
      <c r="AF265" s="1004">
        <v>0.56170212765957439</v>
      </c>
      <c r="AG265" s="1005">
        <v>0.15319148936170213</v>
      </c>
      <c r="AH265" s="1005">
        <v>0.40851063829787232</v>
      </c>
      <c r="AI265" s="1001">
        <v>0.74468085106382975</v>
      </c>
      <c r="AJ265" s="229">
        <f>AVERAGE(AF265:AI265)</f>
        <v>0.46702127659574466</v>
      </c>
      <c r="AO265" s="1389" t="s">
        <v>527</v>
      </c>
      <c r="AP265" s="1389"/>
      <c r="AQ265" s="1389"/>
      <c r="AR265" s="1389"/>
      <c r="AS265" s="1389"/>
      <c r="AT265" s="1389"/>
      <c r="AU265" s="1389"/>
      <c r="AV265" s="1389"/>
      <c r="AW265" s="1389"/>
      <c r="AX265" s="1389"/>
      <c r="AY265" s="1389"/>
      <c r="AZ265" s="1389"/>
    </row>
    <row r="266" spans="1:52" s="117" customFormat="1" ht="33.75" customHeight="1" thickBot="1">
      <c r="A266" s="8"/>
      <c r="B266" s="13"/>
      <c r="C266" s="479"/>
      <c r="D266" s="623"/>
      <c r="E266" s="517"/>
      <c r="F266" s="505"/>
      <c r="G266" s="610">
        <f>H266*0.2</f>
        <v>0</v>
      </c>
      <c r="H266" s="465">
        <v>0</v>
      </c>
      <c r="I266" s="167"/>
      <c r="J266" s="27"/>
      <c r="K266" s="96"/>
      <c r="L266" s="96"/>
      <c r="M266" s="46"/>
      <c r="N266" s="340"/>
      <c r="O266" s="1175" t="s">
        <v>243</v>
      </c>
      <c r="P266" s="1176"/>
      <c r="Q266" s="1177"/>
      <c r="R266" s="222">
        <f>$G$267-R265</f>
        <v>249.20000000000005</v>
      </c>
      <c r="S266" s="117" t="s">
        <v>336</v>
      </c>
      <c r="U266" s="390"/>
      <c r="Y266" s="1162"/>
      <c r="Z266" s="1162"/>
      <c r="AA266" s="332">
        <v>92.4</v>
      </c>
      <c r="AB266" s="8"/>
      <c r="AC266" s="8"/>
      <c r="AD266" s="8"/>
      <c r="AE266" s="8"/>
      <c r="AF266" s="8"/>
      <c r="AG266" s="8"/>
      <c r="AH266" s="8"/>
      <c r="AI266" s="8"/>
      <c r="AO266" s="968" t="s">
        <v>396</v>
      </c>
      <c r="AP266" s="968" t="s">
        <v>397</v>
      </c>
      <c r="AQ266" s="968" t="s">
        <v>398</v>
      </c>
      <c r="AR266" s="968" t="s">
        <v>399</v>
      </c>
      <c r="AS266" s="968" t="s">
        <v>400</v>
      </c>
      <c r="AT266" s="969" t="s">
        <v>375</v>
      </c>
      <c r="AU266" s="968" t="s">
        <v>376</v>
      </c>
      <c r="AV266" s="968" t="s">
        <v>401</v>
      </c>
      <c r="AW266" s="968" t="s">
        <v>402</v>
      </c>
      <c r="AX266" s="968" t="s">
        <v>403</v>
      </c>
      <c r="AY266" s="968" t="s">
        <v>404</v>
      </c>
      <c r="AZ266" s="968" t="s">
        <v>405</v>
      </c>
    </row>
    <row r="267" spans="1:52" s="8" customFormat="1" ht="21.6" thickBot="1">
      <c r="A267" s="117"/>
      <c r="B267" s="117"/>
      <c r="C267" s="453" t="s">
        <v>860</v>
      </c>
      <c r="D267" s="632" t="s">
        <v>217</v>
      </c>
      <c r="E267" s="613"/>
      <c r="F267" s="614">
        <f>SUM(F262:F265)</f>
        <v>450</v>
      </c>
      <c r="G267" s="615">
        <f>SUM(G262:G265)</f>
        <v>270.00000000000006</v>
      </c>
      <c r="H267" s="595">
        <f>SUM(H262:H265)</f>
        <v>1350</v>
      </c>
      <c r="I267" s="201"/>
      <c r="J267" s="61">
        <f>SUM(J262:J265)</f>
        <v>1518</v>
      </c>
      <c r="K267" s="117"/>
      <c r="L267" s="117"/>
      <c r="M267" s="117">
        <f>267-218</f>
        <v>49</v>
      </c>
      <c r="N267" s="340"/>
      <c r="O267" s="8" t="s">
        <v>318</v>
      </c>
      <c r="Q267" s="8">
        <v>98</v>
      </c>
      <c r="R267" s="285"/>
      <c r="S267" s="117"/>
      <c r="T267" s="390"/>
      <c r="U267" s="117"/>
      <c r="V267" s="117"/>
      <c r="W267" s="8" t="s">
        <v>301</v>
      </c>
      <c r="X267" s="117"/>
      <c r="Y267" s="396">
        <f>R266/Y265</f>
        <v>3.5600000000000005</v>
      </c>
      <c r="Z267" s="392" t="s">
        <v>302</v>
      </c>
      <c r="AE267" s="117"/>
      <c r="AO267" s="497"/>
      <c r="AP267" s="497"/>
      <c r="AQ267" s="802"/>
      <c r="AR267" s="802"/>
      <c r="AS267" s="802"/>
      <c r="AT267" s="1040"/>
      <c r="AU267" s="802"/>
      <c r="AV267" s="802"/>
      <c r="AW267" s="802"/>
      <c r="AX267" s="802"/>
      <c r="AY267" s="802"/>
      <c r="AZ267" s="802"/>
    </row>
    <row r="268" spans="1:52" s="8" customFormat="1" ht="21.6" thickBot="1">
      <c r="A268" s="17"/>
      <c r="B268" s="17"/>
      <c r="C268" s="469"/>
      <c r="D268" s="469"/>
      <c r="E268" s="527"/>
      <c r="F268" s="469"/>
      <c r="G268" s="469"/>
      <c r="H268" s="469"/>
      <c r="N268" s="340"/>
      <c r="O268" s="8" t="s">
        <v>328</v>
      </c>
      <c r="P268" s="8" t="s">
        <v>329</v>
      </c>
      <c r="R268" s="285">
        <v>12.8</v>
      </c>
      <c r="S268" s="117"/>
      <c r="T268" s="117"/>
      <c r="U268" s="117"/>
      <c r="V268" s="117"/>
      <c r="W268" s="8" t="s">
        <v>303</v>
      </c>
      <c r="Y268" s="395">
        <f>(R266-Y265)/Y265</f>
        <v>2.5600000000000005</v>
      </c>
      <c r="Z268" s="392" t="s">
        <v>302</v>
      </c>
      <c r="AF268"/>
      <c r="AG268"/>
      <c r="AH268"/>
      <c r="AI268"/>
      <c r="AT268" s="332"/>
    </row>
    <row r="269" spans="1:52" ht="21.6" hidden="1" thickBot="1">
      <c r="A269" s="1079">
        <v>127</v>
      </c>
      <c r="B269" s="1091" t="s">
        <v>583</v>
      </c>
      <c r="C269" s="1080"/>
      <c r="D269" s="1081"/>
      <c r="E269" s="1082"/>
      <c r="F269" s="1083"/>
      <c r="G269" s="1084" t="s">
        <v>35</v>
      </c>
      <c r="H269" s="1085"/>
      <c r="I269" s="1086"/>
      <c r="J269" s="1087"/>
      <c r="K269" s="1088">
        <v>30</v>
      </c>
      <c r="L269" s="1089" t="s">
        <v>39</v>
      </c>
      <c r="M269" s="1090"/>
    </row>
    <row r="270" spans="1:52" ht="21.6" hidden="1" thickBot="1">
      <c r="A270" s="64" t="s">
        <v>581</v>
      </c>
      <c r="B270" s="1053" t="s">
        <v>570</v>
      </c>
      <c r="C270" s="479"/>
      <c r="D270" s="623"/>
      <c r="E270" s="517"/>
      <c r="F270" s="505"/>
      <c r="G270" s="610">
        <f>J270*0.2</f>
        <v>0</v>
      </c>
      <c r="H270" s="465">
        <f>G270/0.2</f>
        <v>0</v>
      </c>
      <c r="I270" s="167"/>
      <c r="J270" s="27">
        <f t="shared" ref="J270" si="208">(K270*$K$164)+L270</f>
        <v>0</v>
      </c>
      <c r="K270" s="96"/>
      <c r="L270" s="96"/>
      <c r="M270" s="46"/>
    </row>
    <row r="271" spans="1:52" ht="21.6" hidden="1" thickBot="1">
      <c r="A271" s="64"/>
      <c r="B271" s="894"/>
      <c r="C271" s="479"/>
      <c r="D271" s="623"/>
      <c r="E271" s="517"/>
      <c r="F271" s="505"/>
      <c r="G271" s="610">
        <f>J271*0.2</f>
        <v>0</v>
      </c>
      <c r="H271" s="465">
        <f>G271/0.2</f>
        <v>0</v>
      </c>
      <c r="I271" s="167"/>
      <c r="J271" s="27">
        <f t="shared" ref="J271:J272" si="209">(K271*$K$164)+L271</f>
        <v>0</v>
      </c>
      <c r="K271" s="96"/>
      <c r="L271" s="96"/>
      <c r="M271" s="46"/>
      <c r="O271" s="1346" t="s">
        <v>647</v>
      </c>
      <c r="P271" s="1347"/>
      <c r="Q271" s="1348"/>
      <c r="R271" s="279" t="s">
        <v>262</v>
      </c>
    </row>
    <row r="272" spans="1:52" hidden="1">
      <c r="A272" s="115"/>
      <c r="B272" s="894"/>
      <c r="C272" s="479"/>
      <c r="D272" s="623"/>
      <c r="E272" s="517"/>
      <c r="F272" s="505"/>
      <c r="G272" s="610">
        <f>J272*0.2</f>
        <v>0</v>
      </c>
      <c r="H272" s="465">
        <f>G272/0.2</f>
        <v>0</v>
      </c>
      <c r="I272" s="167"/>
      <c r="J272" s="27">
        <f t="shared" si="209"/>
        <v>0</v>
      </c>
      <c r="K272" s="96"/>
      <c r="L272" s="96"/>
      <c r="M272" s="46"/>
      <c r="O272" s="1190" t="s">
        <v>298</v>
      </c>
      <c r="P272" s="1191"/>
      <c r="Q272" s="1192"/>
      <c r="R272" s="220"/>
    </row>
    <row r="273" spans="1:18" hidden="1">
      <c r="A273" s="115"/>
      <c r="B273" s="1054"/>
      <c r="C273" s="479"/>
      <c r="D273" s="623"/>
      <c r="E273" s="517"/>
      <c r="F273" s="505"/>
      <c r="G273" s="610">
        <f>J273*0.2</f>
        <v>0</v>
      </c>
      <c r="H273" s="465">
        <f>G273/0.2</f>
        <v>0</v>
      </c>
      <c r="I273" s="167"/>
      <c r="J273" s="27">
        <f>(K273*$K$164)+L273</f>
        <v>0</v>
      </c>
      <c r="K273" s="96"/>
      <c r="L273" s="96"/>
      <c r="M273" s="46"/>
      <c r="O273" s="1165" t="s">
        <v>299</v>
      </c>
      <c r="P273" s="1166"/>
      <c r="Q273" s="1167"/>
      <c r="R273" s="158"/>
    </row>
    <row r="274" spans="1:18" ht="21.6" hidden="1" thickBot="1">
      <c r="A274" s="8"/>
      <c r="B274" s="13"/>
      <c r="C274" s="479"/>
      <c r="D274" s="623"/>
      <c r="E274" s="517"/>
      <c r="F274" s="505"/>
      <c r="G274" s="610">
        <f>J274*0.2</f>
        <v>0</v>
      </c>
      <c r="H274" s="465">
        <f>G274/0.2</f>
        <v>0</v>
      </c>
      <c r="I274" s="167"/>
      <c r="J274" s="27">
        <f>(K274*$K$164)+L274</f>
        <v>0</v>
      </c>
      <c r="K274" s="96"/>
      <c r="L274" s="96"/>
      <c r="M274" s="46"/>
      <c r="O274" s="1289" t="s">
        <v>242</v>
      </c>
      <c r="P274" s="1290"/>
      <c r="Q274" s="1291"/>
      <c r="R274" s="221">
        <f>SUM(R272:R273)</f>
        <v>0</v>
      </c>
    </row>
    <row r="275" spans="1:18" ht="21.6" hidden="1" thickBot="1">
      <c r="A275" s="117"/>
      <c r="B275" s="117"/>
      <c r="C275" s="453"/>
      <c r="D275" s="632"/>
      <c r="E275" s="613"/>
      <c r="F275" s="614">
        <f>SUM(F270:F274)</f>
        <v>0</v>
      </c>
      <c r="G275" s="615">
        <f>SUM(G270:G274)</f>
        <v>0</v>
      </c>
      <c r="H275" s="595">
        <f>SUM(H270:H274)</f>
        <v>0</v>
      </c>
      <c r="I275" s="201"/>
      <c r="J275" s="61">
        <f>SUM(J270:J274)</f>
        <v>0</v>
      </c>
      <c r="K275" s="117"/>
      <c r="L275" s="117"/>
      <c r="M275" s="117"/>
      <c r="O275" s="1175" t="s">
        <v>243</v>
      </c>
      <c r="P275" s="1176"/>
      <c r="Q275" s="1177"/>
      <c r="R275" s="222">
        <f>G275-R274</f>
        <v>0</v>
      </c>
    </row>
    <row r="276" spans="1:18" hidden="1"/>
    <row r="277" spans="1:18" hidden="1"/>
    <row r="278" spans="1:18" ht="21.6" hidden="1" thickBot="1"/>
    <row r="279" spans="1:18" ht="21.6" hidden="1" thickBot="1">
      <c r="A279" s="1079">
        <v>129</v>
      </c>
      <c r="B279" s="1091" t="s">
        <v>584</v>
      </c>
      <c r="C279" s="1080"/>
      <c r="D279" s="1081"/>
      <c r="E279" s="1082"/>
      <c r="F279" s="1083"/>
      <c r="G279" s="1084" t="s">
        <v>35</v>
      </c>
      <c r="H279" s="1085"/>
      <c r="I279" s="1086"/>
      <c r="J279" s="1087"/>
      <c r="K279" s="1088">
        <v>30</v>
      </c>
      <c r="L279" s="1089" t="s">
        <v>39</v>
      </c>
      <c r="M279" s="1090"/>
    </row>
    <row r="280" spans="1:18" ht="21.6" hidden="1" thickBot="1">
      <c r="A280" s="64" t="s">
        <v>582</v>
      </c>
      <c r="B280" s="1053" t="s">
        <v>571</v>
      </c>
      <c r="C280" s="479"/>
      <c r="D280" s="623"/>
      <c r="E280" s="517"/>
      <c r="F280" s="505"/>
      <c r="G280" s="610">
        <f>J280*0.2</f>
        <v>0</v>
      </c>
      <c r="H280" s="465">
        <f>G280/0.2</f>
        <v>0</v>
      </c>
      <c r="I280" s="167"/>
      <c r="J280" s="27">
        <f t="shared" ref="J280:J282" si="210">(K280*$K$164)+L280</f>
        <v>0</v>
      </c>
      <c r="K280" s="96"/>
      <c r="L280" s="96"/>
      <c r="M280" s="46"/>
      <c r="O280" s="1346" t="s">
        <v>648</v>
      </c>
      <c r="P280" s="1347"/>
      <c r="Q280" s="1348"/>
      <c r="R280" s="279" t="s">
        <v>262</v>
      </c>
    </row>
    <row r="281" spans="1:18" hidden="1">
      <c r="A281" s="64"/>
      <c r="B281" s="894"/>
      <c r="C281" s="479"/>
      <c r="D281" s="623"/>
      <c r="E281" s="517"/>
      <c r="F281" s="505"/>
      <c r="G281" s="610">
        <f>J281*0.2</f>
        <v>0</v>
      </c>
      <c r="H281" s="465">
        <f>G281/0.2</f>
        <v>0</v>
      </c>
      <c r="I281" s="167"/>
      <c r="J281" s="27">
        <f t="shared" si="210"/>
        <v>0</v>
      </c>
      <c r="K281" s="96"/>
      <c r="L281" s="96"/>
      <c r="M281" s="46"/>
      <c r="O281" s="1190" t="s">
        <v>298</v>
      </c>
      <c r="P281" s="1191"/>
      <c r="Q281" s="1192"/>
      <c r="R281" s="220"/>
    </row>
    <row r="282" spans="1:18" hidden="1">
      <c r="A282" s="115"/>
      <c r="B282" s="894"/>
      <c r="C282" s="479"/>
      <c r="D282" s="623"/>
      <c r="E282" s="517"/>
      <c r="F282" s="505"/>
      <c r="G282" s="610">
        <f>J282*0.2</f>
        <v>0</v>
      </c>
      <c r="H282" s="465">
        <f>G282/0.2</f>
        <v>0</v>
      </c>
      <c r="I282" s="167"/>
      <c r="J282" s="27">
        <f t="shared" si="210"/>
        <v>0</v>
      </c>
      <c r="K282" s="96"/>
      <c r="L282" s="96"/>
      <c r="M282" s="46"/>
      <c r="O282" s="1165" t="s">
        <v>299</v>
      </c>
      <c r="P282" s="1166"/>
      <c r="Q282" s="1167"/>
      <c r="R282" s="158"/>
    </row>
    <row r="283" spans="1:18" ht="21.6" hidden="1" thickBot="1">
      <c r="A283" s="115"/>
      <c r="B283" s="1054"/>
      <c r="C283" s="479"/>
      <c r="D283" s="623"/>
      <c r="E283" s="517"/>
      <c r="F283" s="505"/>
      <c r="G283" s="610">
        <f>J283*0.2</f>
        <v>0</v>
      </c>
      <c r="H283" s="465">
        <f>G283/0.2</f>
        <v>0</v>
      </c>
      <c r="I283" s="167"/>
      <c r="J283" s="27">
        <f>(K283*$K$164)+L283</f>
        <v>0</v>
      </c>
      <c r="K283" s="96"/>
      <c r="L283" s="96"/>
      <c r="M283" s="46"/>
      <c r="O283" s="1289" t="s">
        <v>242</v>
      </c>
      <c r="P283" s="1290"/>
      <c r="Q283" s="1291"/>
      <c r="R283" s="221">
        <f>SUM(R281:R282)</f>
        <v>0</v>
      </c>
    </row>
    <row r="284" spans="1:18" ht="21.6" hidden="1" thickBot="1">
      <c r="A284" s="8"/>
      <c r="B284" s="13"/>
      <c r="C284" s="479"/>
      <c r="D284" s="623"/>
      <c r="E284" s="517"/>
      <c r="F284" s="505"/>
      <c r="G284" s="610">
        <f>J284*0.2</f>
        <v>0</v>
      </c>
      <c r="H284" s="465">
        <f>G284/0.2</f>
        <v>0</v>
      </c>
      <c r="I284" s="167"/>
      <c r="J284" s="27">
        <f>(K284*$K$164)+L284</f>
        <v>0</v>
      </c>
      <c r="K284" s="96"/>
      <c r="L284" s="96"/>
      <c r="M284" s="46"/>
      <c r="O284" s="1175" t="s">
        <v>243</v>
      </c>
      <c r="P284" s="1176"/>
      <c r="Q284" s="1177"/>
      <c r="R284" s="222">
        <f>G285-R283</f>
        <v>0</v>
      </c>
    </row>
    <row r="285" spans="1:18" ht="21.6" thickBot="1">
      <c r="A285" s="117"/>
      <c r="B285" s="117"/>
      <c r="C285" s="453"/>
      <c r="D285" s="632"/>
      <c r="E285" s="613"/>
      <c r="F285" s="614">
        <f>SUM(F280:F284)</f>
        <v>0</v>
      </c>
      <c r="G285" s="615">
        <f>SUM(G280:G284)</f>
        <v>0</v>
      </c>
      <c r="H285" s="595">
        <f>SUM(H280:H284)</f>
        <v>0</v>
      </c>
      <c r="I285" s="201"/>
      <c r="J285" s="61">
        <f>SUM(J280:J284)</f>
        <v>0</v>
      </c>
      <c r="K285" s="117"/>
      <c r="L285" s="117"/>
      <c r="M285" s="117"/>
    </row>
  </sheetData>
  <protectedRanges>
    <protectedRange sqref="K4:N17 A4:E17 K20:N30 A20:E30" name="Plage1"/>
    <protectedRange sqref="O15:O16 O28:O29 O92:O93 O53:O54 O66:O70 O82:O83 O220:O221 O107:O109 O117:O118 O126:O127 O134:O135 O143:O144 O151:O153 O160:O161 O197:O198 O209:O210 O168:O169 O232:O233 A18:C18 A31:C31 A72:C72 A85:C85 A111:C111 A120:C120 A129:C129 A137:C137 A146:C146 A155:C155 A163:C163 A171:C171 A177:C180 A200:C200 A212:C212 A235:C235 O38:O41 A186:C187 O182:O187 O265:O266 A268:C268 O274:O275 O283:O284 O174:O180" name="Plage1_2"/>
    <protectedRange sqref="T174" name="Plage1_2_2_14"/>
    <protectedRange sqref="O13:O14 T13 T26 T36 T51 T64 T80 T90 T115 T124 T132 T141 T149 T158 T166 T195 T207 T218 T230 T105 T263" name="Plage1_2_2"/>
    <protectedRange sqref="O26:O27" name="Plage1_2_2_1"/>
    <protectedRange sqref="O36:O37" name="Plage1_2_2_2"/>
    <protectedRange sqref="O51:O52" name="Plage1_2_2_3"/>
    <protectedRange sqref="O64:O65" name="Plage1_2_2_4"/>
    <protectedRange sqref="O80:O81" name="Plage1_2_2_5"/>
    <protectedRange sqref="O90:O91" name="Plage1_2_2_6"/>
    <protectedRange sqref="O105:O106" name="Plage1_2_2_7"/>
    <protectedRange sqref="O115:O116" name="Plage1_2_2_8"/>
    <protectedRange sqref="O124:O125" name="Plage1_2_2_9"/>
    <protectedRange sqref="O132:O133" name="Plage1_2_2_10"/>
    <protectedRange sqref="O141:O142" name="Plage1_2_2_11"/>
    <protectedRange sqref="O149:O150" name="Plage1_2_2_12"/>
    <protectedRange sqref="O158:O159" name="Plage1_2_2_13"/>
    <protectedRange sqref="O166:O167 O263:O264 O272:O273 O281:O282" name="Plage1_2_2_15"/>
    <protectedRange sqref="O195:O196" name="Plage1_2_2_16"/>
    <protectedRange sqref="O207:O208" name="Plage1_2_2_17"/>
    <protectedRange sqref="O218:O219" name="Plage1_2_2_18"/>
    <protectedRange sqref="O230:O231" name="Plage1_2_2_19"/>
  </protectedRanges>
  <mergeCells count="385">
    <mergeCell ref="AF216:AI217"/>
    <mergeCell ref="AO117:AZ117"/>
    <mergeCell ref="AF229:AI230"/>
    <mergeCell ref="AF262:AI263"/>
    <mergeCell ref="AF173:AI174"/>
    <mergeCell ref="O265:Q265"/>
    <mergeCell ref="Y265:Z265"/>
    <mergeCell ref="AC265:AD265"/>
    <mergeCell ref="AO265:AZ265"/>
    <mergeCell ref="AO232:AZ232"/>
    <mergeCell ref="AO229:AZ229"/>
    <mergeCell ref="AO175:AZ175"/>
    <mergeCell ref="AO220:AZ220"/>
    <mergeCell ref="AO123:AZ123"/>
    <mergeCell ref="AO131:AZ131"/>
    <mergeCell ref="AO140:AZ140"/>
    <mergeCell ref="AO148:AZ148"/>
    <mergeCell ref="AO157:AZ157"/>
    <mergeCell ref="AO165:AZ165"/>
    <mergeCell ref="AO194:AZ194"/>
    <mergeCell ref="AO206:AZ206"/>
    <mergeCell ref="AO217:AZ217"/>
    <mergeCell ref="AO126:AZ126"/>
    <mergeCell ref="AO134:AZ134"/>
    <mergeCell ref="O266:Q266"/>
    <mergeCell ref="Y266:Z266"/>
    <mergeCell ref="O262:Q262"/>
    <mergeCell ref="T262:W262"/>
    <mergeCell ref="Y262:Z262"/>
    <mergeCell ref="AO262:AZ262"/>
    <mergeCell ref="O263:Q263"/>
    <mergeCell ref="T263:V263"/>
    <mergeCell ref="Y263:Z264"/>
    <mergeCell ref="AA263:AA264"/>
    <mergeCell ref="O264:Q264"/>
    <mergeCell ref="AC264:AD264"/>
    <mergeCell ref="AO143:AZ143"/>
    <mergeCell ref="AO151:AZ151"/>
    <mergeCell ref="AO160:AZ160"/>
    <mergeCell ref="AO168:AZ168"/>
    <mergeCell ref="AO179:AZ179"/>
    <mergeCell ref="AO197:AZ197"/>
    <mergeCell ref="AO209:AZ209"/>
    <mergeCell ref="AO16:AZ16"/>
    <mergeCell ref="AO25:AZ25"/>
    <mergeCell ref="AO35:AZ35"/>
    <mergeCell ref="AO50:AZ50"/>
    <mergeCell ref="AO63:AZ63"/>
    <mergeCell ref="AO79:AZ79"/>
    <mergeCell ref="AO89:AZ89"/>
    <mergeCell ref="AO104:AZ104"/>
    <mergeCell ref="AO114:AZ114"/>
    <mergeCell ref="AO19:AZ19"/>
    <mergeCell ref="AO28:AZ28"/>
    <mergeCell ref="AO38:AZ38"/>
    <mergeCell ref="AO53:AZ53"/>
    <mergeCell ref="AO66:AZ66"/>
    <mergeCell ref="AO82:AZ82"/>
    <mergeCell ref="AO92:AZ92"/>
    <mergeCell ref="AO107:AZ107"/>
    <mergeCell ref="AF123:AI124"/>
    <mergeCell ref="AF131:AI132"/>
    <mergeCell ref="AF140:AI141"/>
    <mergeCell ref="AF148:AI149"/>
    <mergeCell ref="AF157:AI158"/>
    <mergeCell ref="AF165:AI166"/>
    <mergeCell ref="AF194:AI195"/>
    <mergeCell ref="AF206:AI207"/>
    <mergeCell ref="AF12:AI13"/>
    <mergeCell ref="AF25:AI26"/>
    <mergeCell ref="AF35:AI36"/>
    <mergeCell ref="AF50:AI51"/>
    <mergeCell ref="AF63:AI64"/>
    <mergeCell ref="AF79:AI80"/>
    <mergeCell ref="AF89:AI90"/>
    <mergeCell ref="AF104:AI105"/>
    <mergeCell ref="AF114:AI115"/>
    <mergeCell ref="Y176:Z176"/>
    <mergeCell ref="O144:Q144"/>
    <mergeCell ref="O116:Q116"/>
    <mergeCell ref="O149:Q149"/>
    <mergeCell ref="O135:Q135"/>
    <mergeCell ref="O141:Q141"/>
    <mergeCell ref="O142:Q142"/>
    <mergeCell ref="O124:Q124"/>
    <mergeCell ref="O150:Q150"/>
    <mergeCell ref="Y151:Z151"/>
    <mergeCell ref="Y161:Z161"/>
    <mergeCell ref="Y169:Z169"/>
    <mergeCell ref="O125:Q125"/>
    <mergeCell ref="O126:Q126"/>
    <mergeCell ref="O127:Q127"/>
    <mergeCell ref="O132:Q132"/>
    <mergeCell ref="T132:V132"/>
    <mergeCell ref="T140:W140"/>
    <mergeCell ref="O131:Q131"/>
    <mergeCell ref="AC151:AD151"/>
    <mergeCell ref="Y157:Z157"/>
    <mergeCell ref="Y158:Z159"/>
    <mergeCell ref="AC133:AD133"/>
    <mergeCell ref="Y115:Z116"/>
    <mergeCell ref="AC82:AD82"/>
    <mergeCell ref="AA90:AA91"/>
    <mergeCell ref="AC91:AD91"/>
    <mergeCell ref="Y92:Z92"/>
    <mergeCell ref="AC92:AD92"/>
    <mergeCell ref="Y104:Z104"/>
    <mergeCell ref="Y105:Z106"/>
    <mergeCell ref="AA105:AA106"/>
    <mergeCell ref="AC106:AD106"/>
    <mergeCell ref="Y118:Z118"/>
    <mergeCell ref="Y127:Z127"/>
    <mergeCell ref="Y135:Z135"/>
    <mergeCell ref="Y144:Z144"/>
    <mergeCell ref="Y152:Z152"/>
    <mergeCell ref="AA149:AA150"/>
    <mergeCell ref="Y207:Z208"/>
    <mergeCell ref="AA207:AA208"/>
    <mergeCell ref="AC208:AD208"/>
    <mergeCell ref="AA158:AA159"/>
    <mergeCell ref="AC159:AD159"/>
    <mergeCell ref="Y206:Z206"/>
    <mergeCell ref="AC197:AD197"/>
    <mergeCell ref="Y160:Z160"/>
    <mergeCell ref="AC160:AD160"/>
    <mergeCell ref="Y165:Z165"/>
    <mergeCell ref="Y166:Z167"/>
    <mergeCell ref="AA166:AA167"/>
    <mergeCell ref="AC167:AD167"/>
    <mergeCell ref="Y168:Z168"/>
    <mergeCell ref="AC168:AD168"/>
    <mergeCell ref="Y173:Z173"/>
    <mergeCell ref="Y194:Z194"/>
    <mergeCell ref="Y195:Z196"/>
    <mergeCell ref="AA195:AA196"/>
    <mergeCell ref="AC196:AD196"/>
    <mergeCell ref="Y197:Z197"/>
    <mergeCell ref="Y174:Z175"/>
    <mergeCell ref="AA174:AA175"/>
    <mergeCell ref="AC175:AD175"/>
    <mergeCell ref="Y230:Z231"/>
    <mergeCell ref="AA230:AA231"/>
    <mergeCell ref="AC231:AD231"/>
    <mergeCell ref="Y232:Z232"/>
    <mergeCell ref="AC232:AD232"/>
    <mergeCell ref="Y209:Z209"/>
    <mergeCell ref="AC209:AD209"/>
    <mergeCell ref="Y217:Z217"/>
    <mergeCell ref="Y218:Z219"/>
    <mergeCell ref="AA218:AA219"/>
    <mergeCell ref="AC219:AD219"/>
    <mergeCell ref="Y220:Z220"/>
    <mergeCell ref="AC220:AD220"/>
    <mergeCell ref="Y229:Z229"/>
    <mergeCell ref="AC176:AD176"/>
    <mergeCell ref="AC107:AD107"/>
    <mergeCell ref="AA115:AA116"/>
    <mergeCell ref="AC116:AD116"/>
    <mergeCell ref="Y117:Z117"/>
    <mergeCell ref="AC117:AD117"/>
    <mergeCell ref="Y123:Z123"/>
    <mergeCell ref="Y134:Z134"/>
    <mergeCell ref="AC134:AD134"/>
    <mergeCell ref="AC143:AD143"/>
    <mergeCell ref="Y140:Z140"/>
    <mergeCell ref="Y141:Z142"/>
    <mergeCell ref="AA141:AA142"/>
    <mergeCell ref="AC142:AD142"/>
    <mergeCell ref="Y143:Z143"/>
    <mergeCell ref="Y124:Z125"/>
    <mergeCell ref="AA124:AA125"/>
    <mergeCell ref="AC125:AD125"/>
    <mergeCell ref="Y126:Z126"/>
    <mergeCell ref="AC126:AD126"/>
    <mergeCell ref="Y131:Z131"/>
    <mergeCell ref="Y132:Z133"/>
    <mergeCell ref="AA132:AA133"/>
    <mergeCell ref="AC150:AD150"/>
    <mergeCell ref="AC53:AD53"/>
    <mergeCell ref="T50:W50"/>
    <mergeCell ref="T51:V51"/>
    <mergeCell ref="AA64:AA65"/>
    <mergeCell ref="AC65:AD65"/>
    <mergeCell ref="Y66:Z66"/>
    <mergeCell ref="AC66:AD66"/>
    <mergeCell ref="Y79:Z79"/>
    <mergeCell ref="Y80:Z81"/>
    <mergeCell ref="AA80:AA81"/>
    <mergeCell ref="AC81:AD81"/>
    <mergeCell ref="T63:W63"/>
    <mergeCell ref="T64:V64"/>
    <mergeCell ref="T79:W79"/>
    <mergeCell ref="O50:Q50"/>
    <mergeCell ref="O63:Q63"/>
    <mergeCell ref="Y148:Z148"/>
    <mergeCell ref="Y149:Z150"/>
    <mergeCell ref="AA13:AA14"/>
    <mergeCell ref="AC14:AD14"/>
    <mergeCell ref="Y15:Z15"/>
    <mergeCell ref="AC15:AD15"/>
    <mergeCell ref="Y25:Z25"/>
    <mergeCell ref="Y26:Z27"/>
    <mergeCell ref="AA26:AA27"/>
    <mergeCell ref="AC27:AD27"/>
    <mergeCell ref="Y28:Z28"/>
    <mergeCell ref="AC28:AD28"/>
    <mergeCell ref="AA36:AA37"/>
    <mergeCell ref="AC37:AD37"/>
    <mergeCell ref="Y38:Z38"/>
    <mergeCell ref="AC38:AD38"/>
    <mergeCell ref="Y50:Z50"/>
    <mergeCell ref="Y51:Z52"/>
    <mergeCell ref="AA51:AA52"/>
    <mergeCell ref="O51:Q51"/>
    <mergeCell ref="AC52:AD52"/>
    <mergeCell ref="Y53:Z53"/>
    <mergeCell ref="Y12:Z12"/>
    <mergeCell ref="Y13:Z14"/>
    <mergeCell ref="Y35:Z35"/>
    <mergeCell ref="Y36:Z37"/>
    <mergeCell ref="Y63:Z63"/>
    <mergeCell ref="Y64:Z65"/>
    <mergeCell ref="Y89:Z89"/>
    <mergeCell ref="Y90:Z91"/>
    <mergeCell ref="Y114:Z114"/>
    <mergeCell ref="Y82:Z82"/>
    <mergeCell ref="Y107:Z107"/>
    <mergeCell ref="Y16:Z16"/>
    <mergeCell ref="Y29:Z29"/>
    <mergeCell ref="Y54:Z54"/>
    <mergeCell ref="Y67:Z67"/>
    <mergeCell ref="Y83:Z83"/>
    <mergeCell ref="Y93:Z93"/>
    <mergeCell ref="Y108:Z108"/>
    <mergeCell ref="O52:Q52"/>
    <mergeCell ref="O115:Q115"/>
    <mergeCell ref="O53:Q53"/>
    <mergeCell ref="O54:Q54"/>
    <mergeCell ref="O79:Q79"/>
    <mergeCell ref="O89:Q89"/>
    <mergeCell ref="O104:Q104"/>
    <mergeCell ref="O114:Q114"/>
    <mergeCell ref="O108:Q108"/>
    <mergeCell ref="O81:Q81"/>
    <mergeCell ref="O82:Q82"/>
    <mergeCell ref="O83:Q83"/>
    <mergeCell ref="O90:Q90"/>
    <mergeCell ref="O91:Q91"/>
    <mergeCell ref="O92:Q92"/>
    <mergeCell ref="O93:Q93"/>
    <mergeCell ref="O105:Q105"/>
    <mergeCell ref="O106:Q106"/>
    <mergeCell ref="O107:Q107"/>
    <mergeCell ref="O64:Q64"/>
    <mergeCell ref="O65:Q65"/>
    <mergeCell ref="O66:Q66"/>
    <mergeCell ref="O68:Q68"/>
    <mergeCell ref="O80:Q80"/>
    <mergeCell ref="O233:Q233"/>
    <mergeCell ref="O219:Q219"/>
    <mergeCell ref="O220:Q220"/>
    <mergeCell ref="O221:Q221"/>
    <mergeCell ref="O230:Q230"/>
    <mergeCell ref="O231:Q231"/>
    <mergeCell ref="O160:Q160"/>
    <mergeCell ref="O161:Q161"/>
    <mergeCell ref="O165:Q165"/>
    <mergeCell ref="O194:Q194"/>
    <mergeCell ref="O206:Q206"/>
    <mergeCell ref="O217:Q217"/>
    <mergeCell ref="O173:Q173"/>
    <mergeCell ref="O198:Q198"/>
    <mergeCell ref="O207:Q207"/>
    <mergeCell ref="O208:Q208"/>
    <mergeCell ref="O229:Q229"/>
    <mergeCell ref="O174:Q174"/>
    <mergeCell ref="O218:Q218"/>
    <mergeCell ref="O196:Q196"/>
    <mergeCell ref="O166:Q166"/>
    <mergeCell ref="O167:Q167"/>
    <mergeCell ref="O168:Q168"/>
    <mergeCell ref="O209:Q209"/>
    <mergeCell ref="O232:Q232"/>
    <mergeCell ref="O175:Q175"/>
    <mergeCell ref="O176:Q176"/>
    <mergeCell ref="O177:Q177"/>
    <mergeCell ref="O195:Q195"/>
    <mergeCell ref="O140:Q140"/>
    <mergeCell ref="O169:Q169"/>
    <mergeCell ref="O152:Q152"/>
    <mergeCell ref="O158:Q158"/>
    <mergeCell ref="O159:Q159"/>
    <mergeCell ref="O143:Q143"/>
    <mergeCell ref="O151:Q151"/>
    <mergeCell ref="O210:Q210"/>
    <mergeCell ref="O197:Q197"/>
    <mergeCell ref="O148:Q148"/>
    <mergeCell ref="O157:Q157"/>
    <mergeCell ref="O181:Q181"/>
    <mergeCell ref="O182:Q182"/>
    <mergeCell ref="O183:Q183"/>
    <mergeCell ref="O184:Q184"/>
    <mergeCell ref="O185:Q185"/>
    <mergeCell ref="A1:A2"/>
    <mergeCell ref="J1:L1"/>
    <mergeCell ref="G1:G2"/>
    <mergeCell ref="F1:F2"/>
    <mergeCell ref="E1:E2"/>
    <mergeCell ref="D1:D2"/>
    <mergeCell ref="C1:C2"/>
    <mergeCell ref="M1:M2"/>
    <mergeCell ref="O37:Q37"/>
    <mergeCell ref="O12:Q12"/>
    <mergeCell ref="O25:Q25"/>
    <mergeCell ref="O35:Q35"/>
    <mergeCell ref="B1:B2"/>
    <mergeCell ref="N1:N2"/>
    <mergeCell ref="O38:Q38"/>
    <mergeCell ref="O39:Q39"/>
    <mergeCell ref="O117:Q117"/>
    <mergeCell ref="O118:Q118"/>
    <mergeCell ref="O133:Q133"/>
    <mergeCell ref="O134:Q134"/>
    <mergeCell ref="O123:Q123"/>
    <mergeCell ref="T12:W12"/>
    <mergeCell ref="T13:V13"/>
    <mergeCell ref="T25:W25"/>
    <mergeCell ref="T26:V26"/>
    <mergeCell ref="T35:W35"/>
    <mergeCell ref="T36:V36"/>
    <mergeCell ref="O27:Q27"/>
    <mergeCell ref="O28:Q28"/>
    <mergeCell ref="O29:Q29"/>
    <mergeCell ref="O13:Q13"/>
    <mergeCell ref="O14:Q14"/>
    <mergeCell ref="O15:Q15"/>
    <mergeCell ref="O26:Q26"/>
    <mergeCell ref="O36:Q36"/>
    <mergeCell ref="T80:V80"/>
    <mergeCell ref="T89:W89"/>
    <mergeCell ref="T90:V90"/>
    <mergeCell ref="T230:V230"/>
    <mergeCell ref="T166:V166"/>
    <mergeCell ref="T173:W173"/>
    <mergeCell ref="T174:V174"/>
    <mergeCell ref="T194:W194"/>
    <mergeCell ref="T195:V195"/>
    <mergeCell ref="T206:W206"/>
    <mergeCell ref="T207:V207"/>
    <mergeCell ref="T217:W217"/>
    <mergeCell ref="T218:V218"/>
    <mergeCell ref="T82:V82"/>
    <mergeCell ref="T160:V160"/>
    <mergeCell ref="T126:U126"/>
    <mergeCell ref="Y198:Z198"/>
    <mergeCell ref="Y39:Z39"/>
    <mergeCell ref="Y210:Z210"/>
    <mergeCell ref="Y221:Z221"/>
    <mergeCell ref="Y233:Z233"/>
    <mergeCell ref="B222:J222"/>
    <mergeCell ref="B98:J98"/>
    <mergeCell ref="B42:H42"/>
    <mergeCell ref="T141:V141"/>
    <mergeCell ref="T148:W148"/>
    <mergeCell ref="T149:V149"/>
    <mergeCell ref="T157:W157"/>
    <mergeCell ref="T158:V158"/>
    <mergeCell ref="T104:W104"/>
    <mergeCell ref="T105:V105"/>
    <mergeCell ref="T123:W123"/>
    <mergeCell ref="T124:V124"/>
    <mergeCell ref="T114:W114"/>
    <mergeCell ref="T115:V115"/>
    <mergeCell ref="T131:W131"/>
    <mergeCell ref="T229:W229"/>
    <mergeCell ref="O284:Q284"/>
    <mergeCell ref="O271:Q271"/>
    <mergeCell ref="O272:Q272"/>
    <mergeCell ref="O273:Q273"/>
    <mergeCell ref="O274:Q274"/>
    <mergeCell ref="O275:Q275"/>
    <mergeCell ref="O280:Q280"/>
    <mergeCell ref="O281:Q281"/>
    <mergeCell ref="O282:Q282"/>
    <mergeCell ref="O283:Q283"/>
  </mergeCells>
  <phoneticPr fontId="46" type="noConversion"/>
  <pageMargins left="0.23622047244094491" right="0.23622047244094491" top="0.55118110236220474" bottom="0.15748031496062992" header="0.11811023622047245" footer="0.11811023622047245"/>
  <pageSetup paperSize="9" scale="65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F484-90AD-46EB-8D2D-412E463D4FB6}">
  <sheetPr codeName="Feuil6">
    <pageSetUpPr fitToPage="1"/>
  </sheetPr>
  <dimension ref="A1:Y85"/>
  <sheetViews>
    <sheetView zoomScaleNormal="100" zoomScalePageLayoutView="85" workbookViewId="0">
      <pane ySplit="1" topLeftCell="A2" activePane="bottomLeft" state="frozen"/>
      <selection activeCell="H4" sqref="H4"/>
      <selection pane="bottomLeft" activeCell="J18" sqref="J18"/>
    </sheetView>
  </sheetViews>
  <sheetFormatPr defaultColWidth="11.44140625" defaultRowHeight="21"/>
  <cols>
    <col min="1" max="1" width="11.44140625" style="38"/>
    <col min="2" max="2" width="29" style="37" customWidth="1"/>
    <col min="3" max="3" width="16.109375" style="800" customWidth="1"/>
    <col min="4" max="4" width="17.44140625" style="799" customWidth="1"/>
    <col min="5" max="5" width="10.109375" style="800" customWidth="1"/>
    <col min="6" max="6" width="15.44140625" style="799" bestFit="1" customWidth="1"/>
    <col min="7" max="7" width="9.88671875" style="801" customWidth="1"/>
    <col min="8" max="8" width="16.33203125" style="850" customWidth="1"/>
    <col min="9" max="9" width="13.6640625" style="802" customWidth="1"/>
    <col min="10" max="10" width="13.44140625" style="443" customWidth="1"/>
    <col min="11" max="11" width="28.88671875" style="365" customWidth="1"/>
    <col min="12" max="12" width="14.33203125" style="37" customWidth="1"/>
    <col min="13" max="15" width="11.44140625" style="37"/>
    <col min="16" max="16" width="14.6640625" style="37" customWidth="1"/>
    <col min="17" max="17" width="11.44140625" style="37"/>
    <col min="18" max="18" width="11.44140625" style="335"/>
    <col min="19" max="19" width="11.44140625" style="336"/>
    <col min="20" max="20" width="25" style="37" customWidth="1"/>
    <col min="21" max="16384" width="11.44140625" style="37"/>
  </cols>
  <sheetData>
    <row r="1" spans="1:25" customFormat="1" ht="42" thickBot="1">
      <c r="A1" s="251" t="s">
        <v>0</v>
      </c>
      <c r="B1" s="348" t="s">
        <v>16</v>
      </c>
      <c r="C1" s="257" t="s">
        <v>199</v>
      </c>
      <c r="D1" s="251" t="s">
        <v>1</v>
      </c>
      <c r="E1" s="348" t="s">
        <v>204</v>
      </c>
      <c r="F1" s="348" t="s">
        <v>198</v>
      </c>
      <c r="G1" s="258" t="s">
        <v>211</v>
      </c>
      <c r="H1" s="348" t="s">
        <v>253</v>
      </c>
      <c r="I1" s="348" t="s">
        <v>210</v>
      </c>
      <c r="J1" s="874" t="s">
        <v>200</v>
      </c>
      <c r="K1" s="352" t="s">
        <v>201</v>
      </c>
      <c r="L1" s="1417" t="s">
        <v>257</v>
      </c>
      <c r="M1" s="1418"/>
      <c r="N1" s="1418"/>
      <c r="O1" s="1418"/>
      <c r="P1" s="1418"/>
      <c r="Q1" s="1419"/>
      <c r="R1" s="335"/>
      <c r="S1" s="336"/>
    </row>
    <row r="2" spans="1:25" ht="21" customHeight="1" thickBot="1">
      <c r="A2" s="41">
        <v>253</v>
      </c>
      <c r="B2" s="42" t="s">
        <v>212</v>
      </c>
      <c r="C2" s="698"/>
      <c r="D2" s="455"/>
      <c r="E2" s="455"/>
      <c r="F2" s="455"/>
      <c r="G2" s="764" t="s">
        <v>297</v>
      </c>
      <c r="H2" s="842"/>
      <c r="I2" s="696"/>
      <c r="J2" s="875"/>
      <c r="K2" s="353"/>
      <c r="L2" s="1414" t="s">
        <v>251</v>
      </c>
      <c r="M2" s="1415"/>
      <c r="N2" s="1415"/>
      <c r="O2" s="1416"/>
      <c r="P2" s="212">
        <v>0</v>
      </c>
      <c r="Q2" s="253">
        <f>P2/$G$10</f>
        <v>0</v>
      </c>
    </row>
    <row r="3" spans="1:25" ht="21" customHeight="1">
      <c r="A3" s="11"/>
      <c r="B3" s="39"/>
      <c r="C3" s="790">
        <v>45146</v>
      </c>
      <c r="D3" s="791">
        <v>23215</v>
      </c>
      <c r="E3" s="736">
        <v>20</v>
      </c>
      <c r="F3" s="792">
        <v>13.875999999999999</v>
      </c>
      <c r="G3" s="793">
        <f>F3/E3</f>
        <v>0.69379999999999997</v>
      </c>
      <c r="H3" s="843">
        <f t="shared" ref="H3:H6" si="0">I3*G3</f>
        <v>9.7132000000000005</v>
      </c>
      <c r="I3" s="789">
        <v>14</v>
      </c>
      <c r="J3" s="918">
        <v>45235</v>
      </c>
      <c r="K3" s="917">
        <v>14</v>
      </c>
      <c r="L3" s="1400" t="s">
        <v>252</v>
      </c>
      <c r="M3" s="1401"/>
      <c r="N3" s="1401"/>
      <c r="O3" s="1402"/>
      <c r="P3" s="313">
        <v>9.7420000000000009</v>
      </c>
      <c r="Q3" s="254">
        <f t="shared" ref="Q3" si="1">P3/$G$10</f>
        <v>14.041510521764199</v>
      </c>
      <c r="T3" s="1420"/>
      <c r="U3" s="1421"/>
      <c r="V3" s="1421"/>
      <c r="W3" s="1421"/>
      <c r="X3" s="1421"/>
      <c r="Y3" s="1422"/>
    </row>
    <row r="4" spans="1:25" ht="21" customHeight="1" thickBot="1">
      <c r="A4" s="11"/>
      <c r="B4" s="39"/>
      <c r="C4" s="790"/>
      <c r="D4" s="791"/>
      <c r="E4" s="736"/>
      <c r="F4" s="792"/>
      <c r="G4" s="793"/>
      <c r="H4" s="843">
        <f t="shared" si="0"/>
        <v>0</v>
      </c>
      <c r="I4" s="789"/>
      <c r="J4" s="918"/>
      <c r="K4" s="917"/>
      <c r="L4" s="1409" t="s">
        <v>242</v>
      </c>
      <c r="M4" s="1410"/>
      <c r="N4" s="1410"/>
      <c r="O4" s="1411"/>
      <c r="P4" s="218">
        <f>SUM(P2:P3)</f>
        <v>9.7420000000000009</v>
      </c>
      <c r="Q4" s="255">
        <f>P4/$G$10</f>
        <v>14.041510521764199</v>
      </c>
      <c r="T4" s="1423"/>
      <c r="U4" s="1424"/>
      <c r="V4" s="1424"/>
      <c r="W4" s="1424"/>
      <c r="X4" s="1424"/>
      <c r="Y4" s="1425"/>
    </row>
    <row r="5" spans="1:25" ht="21" customHeight="1" thickBot="1">
      <c r="B5" s="39"/>
      <c r="C5" s="790"/>
      <c r="D5" s="791"/>
      <c r="E5" s="736"/>
      <c r="F5" s="792"/>
      <c r="G5" s="793"/>
      <c r="H5" s="843">
        <f t="shared" si="0"/>
        <v>0</v>
      </c>
      <c r="I5" s="789"/>
      <c r="J5" s="918"/>
      <c r="K5" s="917"/>
      <c r="L5" s="1397" t="s">
        <v>243</v>
      </c>
      <c r="M5" s="1398"/>
      <c r="N5" s="1398"/>
      <c r="O5" s="1399"/>
      <c r="P5" s="219">
        <f>$H$10-P4</f>
        <v>-2.8800000000000381E-2</v>
      </c>
      <c r="Q5" s="202">
        <f>I10-Q4</f>
        <v>-4.1510521764198671E-2</v>
      </c>
      <c r="R5" s="341"/>
      <c r="S5" s="355"/>
      <c r="T5" s="1423"/>
      <c r="U5" s="1424"/>
      <c r="V5" s="1424"/>
      <c r="W5" s="1424"/>
      <c r="X5" s="1424"/>
      <c r="Y5" s="1425"/>
    </row>
    <row r="6" spans="1:25" ht="21" customHeight="1">
      <c r="B6" s="39"/>
      <c r="C6" s="790"/>
      <c r="D6" s="791"/>
      <c r="E6" s="736"/>
      <c r="F6" s="792"/>
      <c r="G6" s="793"/>
      <c r="H6" s="843">
        <f t="shared" si="0"/>
        <v>0</v>
      </c>
      <c r="I6" s="789"/>
      <c r="J6" s="918"/>
      <c r="K6" s="917"/>
      <c r="L6" s="1396" t="s">
        <v>275</v>
      </c>
      <c r="M6" s="1396"/>
      <c r="N6" s="1396"/>
      <c r="O6" s="1396"/>
      <c r="P6" s="356" t="s">
        <v>753</v>
      </c>
      <c r="Q6" s="341" t="s">
        <v>858</v>
      </c>
      <c r="S6" s="356"/>
      <c r="T6" s="1423"/>
      <c r="U6" s="1424"/>
      <c r="V6" s="1424"/>
      <c r="W6" s="1424"/>
      <c r="X6" s="1424"/>
      <c r="Y6" s="1425"/>
    </row>
    <row r="7" spans="1:25" ht="21" customHeight="1">
      <c r="B7" s="39"/>
      <c r="C7" s="790"/>
      <c r="D7" s="791"/>
      <c r="E7" s="736"/>
      <c r="F7" s="792"/>
      <c r="G7" s="793"/>
      <c r="H7" s="843">
        <f t="shared" ref="H7" si="2">I7*G7</f>
        <v>0</v>
      </c>
      <c r="I7" s="789"/>
      <c r="J7" s="918"/>
      <c r="K7" s="917"/>
      <c r="S7" s="356"/>
      <c r="T7" s="1423"/>
      <c r="U7" s="1424"/>
      <c r="V7" s="1424"/>
      <c r="W7" s="1424"/>
      <c r="X7" s="1424"/>
      <c r="Y7" s="1425"/>
    </row>
    <row r="8" spans="1:25" ht="21" customHeight="1">
      <c r="B8" s="39"/>
      <c r="C8" s="790"/>
      <c r="D8" s="791"/>
      <c r="E8" s="736"/>
      <c r="F8" s="792"/>
      <c r="G8" s="793"/>
      <c r="H8" s="843">
        <f t="shared" ref="H8:H9" si="3">I8*G8</f>
        <v>0</v>
      </c>
      <c r="I8" s="789"/>
      <c r="J8" s="918"/>
      <c r="K8" s="917"/>
      <c r="S8" s="356"/>
      <c r="T8" s="1423"/>
      <c r="U8" s="1424"/>
      <c r="V8" s="1424"/>
      <c r="W8" s="1424"/>
      <c r="X8" s="1424"/>
      <c r="Y8" s="1425"/>
    </row>
    <row r="9" spans="1:25" ht="21" customHeight="1" thickBot="1">
      <c r="B9" s="357"/>
      <c r="C9" s="790"/>
      <c r="D9" s="791"/>
      <c r="E9" s="736"/>
      <c r="F9" s="792"/>
      <c r="G9" s="793"/>
      <c r="H9" s="843">
        <f t="shared" si="3"/>
        <v>0</v>
      </c>
      <c r="I9" s="789"/>
      <c r="J9" s="918"/>
      <c r="K9" s="917"/>
      <c r="L9" s="345"/>
      <c r="M9" s="47"/>
      <c r="S9" s="356"/>
      <c r="T9" s="1423"/>
      <c r="U9" s="1424"/>
      <c r="V9" s="1424"/>
      <c r="W9" s="1424"/>
      <c r="X9" s="1424"/>
      <c r="Y9" s="1425"/>
    </row>
    <row r="10" spans="1:25" s="260" customFormat="1" ht="37.5" customHeight="1">
      <c r="A10" s="259"/>
      <c r="B10" s="358"/>
      <c r="C10" s="734"/>
      <c r="D10" s="765"/>
      <c r="E10" s="766">
        <f>SUM(E3:E9)</f>
        <v>20</v>
      </c>
      <c r="F10" s="766">
        <f>SUM(F3:F9)</f>
        <v>13.875999999999999</v>
      </c>
      <c r="G10" s="812">
        <f>AVERAGE(G3:G9)</f>
        <v>0.69379999999999997</v>
      </c>
      <c r="H10" s="844">
        <f>SUM(H3:H9)</f>
        <v>9.7132000000000005</v>
      </c>
      <c r="I10" s="767">
        <f>SUM(I3:I9)</f>
        <v>14</v>
      </c>
      <c r="J10" s="439"/>
      <c r="K10" s="359" t="s">
        <v>834</v>
      </c>
      <c r="L10" s="385">
        <v>14</v>
      </c>
      <c r="M10" s="805" t="s">
        <v>325</v>
      </c>
      <c r="N10" s="828"/>
      <c r="O10" s="828"/>
      <c r="P10" s="828"/>
      <c r="Q10" s="828"/>
      <c r="R10" s="335"/>
      <c r="S10" s="356"/>
      <c r="T10" s="1423"/>
      <c r="U10" s="1424"/>
      <c r="V10" s="1424"/>
      <c r="W10" s="1424"/>
      <c r="X10" s="1424"/>
      <c r="Y10" s="1425"/>
    </row>
    <row r="11" spans="1:25" s="8" customFormat="1" ht="9.75" customHeight="1" thickBot="1">
      <c r="A11" s="17"/>
      <c r="B11" s="17"/>
      <c r="C11" s="453"/>
      <c r="D11" s="758"/>
      <c r="E11" s="758"/>
      <c r="F11" s="758"/>
      <c r="G11" s="758"/>
      <c r="H11" s="453"/>
      <c r="I11" s="453"/>
      <c r="J11" s="261"/>
      <c r="K11" s="150"/>
      <c r="R11" s="335"/>
      <c r="S11" s="356"/>
      <c r="T11" s="1423"/>
      <c r="U11" s="1424"/>
      <c r="V11" s="1424"/>
      <c r="W11" s="1424"/>
      <c r="X11" s="1424"/>
      <c r="Y11" s="1425"/>
    </row>
    <row r="12" spans="1:25" ht="21" customHeight="1" thickBot="1">
      <c r="A12" s="41">
        <v>252</v>
      </c>
      <c r="B12" s="42" t="s">
        <v>213</v>
      </c>
      <c r="C12" s="698"/>
      <c r="D12" s="455"/>
      <c r="E12" s="455"/>
      <c r="F12" s="455"/>
      <c r="G12" s="764" t="s">
        <v>209</v>
      </c>
      <c r="H12" s="842"/>
      <c r="I12" s="696"/>
      <c r="J12" s="437"/>
      <c r="K12" s="353"/>
      <c r="L12" s="1414" t="s">
        <v>251</v>
      </c>
      <c r="M12" s="1415"/>
      <c r="N12" s="1415"/>
      <c r="O12" s="1416"/>
      <c r="P12" s="314">
        <v>0</v>
      </c>
      <c r="Q12" s="253">
        <f>P12/$G$19</f>
        <v>0</v>
      </c>
      <c r="S12" s="356"/>
      <c r="T12" s="1423"/>
      <c r="U12" s="1424"/>
      <c r="V12" s="1424"/>
      <c r="W12" s="1424"/>
      <c r="X12" s="1424"/>
      <c r="Y12" s="1425"/>
    </row>
    <row r="13" spans="1:25" ht="21" customHeight="1">
      <c r="A13" s="11"/>
      <c r="B13" s="39"/>
      <c r="C13" s="808">
        <v>45132</v>
      </c>
      <c r="D13" s="794">
        <v>23198</v>
      </c>
      <c r="E13" s="955">
        <v>8</v>
      </c>
      <c r="F13" s="956">
        <v>20</v>
      </c>
      <c r="G13" s="793">
        <v>2.5</v>
      </c>
      <c r="H13" s="848">
        <f t="shared" ref="H13:H15" si="4">I13*G13</f>
        <v>5</v>
      </c>
      <c r="I13" s="827">
        <v>2</v>
      </c>
      <c r="J13" s="815">
        <v>45221</v>
      </c>
      <c r="K13" s="399">
        <v>2</v>
      </c>
      <c r="L13" s="1400" t="s">
        <v>252</v>
      </c>
      <c r="M13" s="1401"/>
      <c r="N13" s="1401"/>
      <c r="O13" s="1402"/>
      <c r="P13" s="315">
        <v>2.48</v>
      </c>
      <c r="Q13" s="254">
        <f>P13/$G$19</f>
        <v>0.99199999999999999</v>
      </c>
      <c r="S13" s="356"/>
      <c r="T13" s="1423"/>
      <c r="U13" s="1424"/>
      <c r="V13" s="1424"/>
      <c r="W13" s="1424"/>
      <c r="X13" s="1424"/>
      <c r="Y13" s="1425"/>
    </row>
    <row r="14" spans="1:25" ht="21" customHeight="1" thickBot="1">
      <c r="A14" s="11"/>
      <c r="B14" s="39"/>
      <c r="C14" s="808">
        <v>45146</v>
      </c>
      <c r="D14" s="794">
        <v>23215</v>
      </c>
      <c r="E14" s="955">
        <v>8</v>
      </c>
      <c r="F14" s="956">
        <v>20</v>
      </c>
      <c r="G14" s="793">
        <v>2.5</v>
      </c>
      <c r="H14" s="848">
        <f t="shared" si="4"/>
        <v>20</v>
      </c>
      <c r="I14" s="827">
        <v>8</v>
      </c>
      <c r="J14" s="815">
        <v>45235</v>
      </c>
      <c r="K14" s="399">
        <v>8</v>
      </c>
      <c r="L14" s="1409" t="s">
        <v>242</v>
      </c>
      <c r="M14" s="1410"/>
      <c r="N14" s="1410"/>
      <c r="O14" s="1411"/>
      <c r="P14" s="218">
        <f>SUM(P12:P13)</f>
        <v>2.48</v>
      </c>
      <c r="Q14" s="255">
        <f>P14/$G$19</f>
        <v>0.99199999999999999</v>
      </c>
      <c r="S14" s="356"/>
      <c r="T14" s="1423"/>
      <c r="U14" s="1424"/>
      <c r="V14" s="1424"/>
      <c r="W14" s="1424"/>
      <c r="X14" s="1424"/>
      <c r="Y14" s="1425"/>
    </row>
    <row r="15" spans="1:25" ht="21" customHeight="1" thickBot="1">
      <c r="B15" s="39"/>
      <c r="C15" s="808"/>
      <c r="D15" s="794"/>
      <c r="E15" s="955"/>
      <c r="F15" s="956"/>
      <c r="G15" s="793">
        <v>2.5</v>
      </c>
      <c r="H15" s="848">
        <f t="shared" si="4"/>
        <v>0</v>
      </c>
      <c r="I15" s="827"/>
      <c r="J15" s="815"/>
      <c r="K15" s="399"/>
      <c r="L15" s="1397" t="s">
        <v>243</v>
      </c>
      <c r="M15" s="1398"/>
      <c r="N15" s="1398"/>
      <c r="O15" s="1399"/>
      <c r="P15" s="219">
        <f>$H$19-P14</f>
        <v>22.52</v>
      </c>
      <c r="Q15" s="202">
        <f>I19-Q14</f>
        <v>9.0079999999999991</v>
      </c>
      <c r="S15" s="355"/>
      <c r="T15" s="1426"/>
      <c r="U15" s="1427"/>
      <c r="V15" s="1427"/>
      <c r="W15" s="1427"/>
      <c r="X15" s="1427"/>
      <c r="Y15" s="1428"/>
    </row>
    <row r="16" spans="1:25" ht="21" customHeight="1">
      <c r="B16" s="39"/>
      <c r="C16" s="808"/>
      <c r="D16" s="794"/>
      <c r="E16" s="955"/>
      <c r="F16" s="956"/>
      <c r="G16" s="793">
        <v>2.5</v>
      </c>
      <c r="H16" s="848">
        <f t="shared" ref="H16" si="5">I16*G16</f>
        <v>0</v>
      </c>
      <c r="I16" s="827"/>
      <c r="J16" s="815"/>
      <c r="K16" s="399"/>
      <c r="L16" s="1396" t="s">
        <v>276</v>
      </c>
      <c r="M16" s="1396"/>
      <c r="N16" s="1396"/>
      <c r="O16" s="1396"/>
    </row>
    <row r="17" spans="1:21" ht="21" customHeight="1">
      <c r="B17" s="39"/>
      <c r="C17" s="808"/>
      <c r="D17" s="794"/>
      <c r="E17" s="955"/>
      <c r="F17" s="956"/>
      <c r="G17" s="793">
        <v>2.5</v>
      </c>
      <c r="H17" s="848">
        <f t="shared" ref="H17" si="6">I17*G17</f>
        <v>0</v>
      </c>
      <c r="I17" s="827"/>
      <c r="J17" s="815"/>
      <c r="K17" s="399"/>
    </row>
    <row r="18" spans="1:21" ht="21" customHeight="1" thickBot="1">
      <c r="B18" s="357"/>
      <c r="C18" s="808"/>
      <c r="D18" s="794"/>
      <c r="E18" s="809"/>
      <c r="F18" s="797"/>
      <c r="G18" s="866">
        <v>2.5</v>
      </c>
      <c r="H18" s="867">
        <f t="shared" ref="H18" si="7">I18*G18</f>
        <v>0</v>
      </c>
      <c r="I18" s="827"/>
      <c r="J18" s="811"/>
      <c r="K18" s="399"/>
    </row>
    <row r="19" spans="1:21" s="260" customFormat="1" ht="37.5" customHeight="1" thickBot="1">
      <c r="A19" s="259"/>
      <c r="B19" s="358"/>
      <c r="C19" s="734"/>
      <c r="D19" s="765"/>
      <c r="E19" s="766">
        <f>SUM(E13:E18)</f>
        <v>16</v>
      </c>
      <c r="F19" s="766">
        <f>SUM(F13:F18)</f>
        <v>40</v>
      </c>
      <c r="G19" s="768">
        <f>AVERAGE(G13:G17)</f>
        <v>2.5</v>
      </c>
      <c r="H19" s="847">
        <f>SUM(H13:H17)</f>
        <v>25</v>
      </c>
      <c r="I19" s="767">
        <f>SUM(I13:I18)</f>
        <v>10</v>
      </c>
      <c r="J19" s="439"/>
      <c r="K19" s="359" t="s">
        <v>834</v>
      </c>
      <c r="L19" s="385">
        <v>10</v>
      </c>
      <c r="M19" s="805" t="s">
        <v>325</v>
      </c>
      <c r="N19" s="828"/>
      <c r="O19" s="828"/>
      <c r="P19" s="828"/>
      <c r="Q19" s="828"/>
      <c r="R19" s="335"/>
      <c r="S19" s="336"/>
    </row>
    <row r="20" spans="1:21" s="8" customFormat="1" ht="10.5" customHeight="1" thickBot="1">
      <c r="A20" s="17"/>
      <c r="B20" s="17"/>
      <c r="C20" s="453"/>
      <c r="D20" s="758"/>
      <c r="E20" s="758"/>
      <c r="F20" s="758"/>
      <c r="G20" s="758"/>
      <c r="H20" s="453"/>
      <c r="I20" s="453"/>
      <c r="J20" s="261"/>
      <c r="K20" s="150"/>
      <c r="L20" s="150"/>
      <c r="N20" s="37"/>
      <c r="O20" s="37"/>
      <c r="P20" s="37"/>
      <c r="Q20" s="37"/>
      <c r="R20" s="335"/>
      <c r="S20" s="336"/>
      <c r="T20" s="37"/>
      <c r="U20" s="37"/>
    </row>
    <row r="21" spans="1:21" ht="21" customHeight="1" thickBot="1">
      <c r="A21" s="41">
        <v>206</v>
      </c>
      <c r="B21" s="42" t="s">
        <v>214</v>
      </c>
      <c r="C21" s="698"/>
      <c r="D21" s="455"/>
      <c r="E21" s="455"/>
      <c r="F21" s="455"/>
      <c r="G21" s="764" t="s">
        <v>208</v>
      </c>
      <c r="H21" s="842"/>
      <c r="I21" s="696"/>
      <c r="J21" s="437"/>
      <c r="K21" s="353"/>
      <c r="L21" s="1414" t="s">
        <v>251</v>
      </c>
      <c r="M21" s="1415"/>
      <c r="N21" s="1415"/>
      <c r="O21" s="1416"/>
      <c r="P21" s="212">
        <v>0</v>
      </c>
      <c r="Q21" s="253">
        <f>P21/$G$27</f>
        <v>0</v>
      </c>
    </row>
    <row r="22" spans="1:21" ht="21" customHeight="1">
      <c r="A22" s="11"/>
      <c r="B22" s="360" t="s">
        <v>522</v>
      </c>
      <c r="C22" s="788">
        <v>45110</v>
      </c>
      <c r="D22" s="794">
        <v>3122202</v>
      </c>
      <c r="E22" s="796">
        <v>20</v>
      </c>
      <c r="F22" s="778">
        <v>110</v>
      </c>
      <c r="G22" s="793">
        <v>5.5</v>
      </c>
      <c r="H22" s="845">
        <f t="shared" ref="H22:H24" si="8">I22*G22</f>
        <v>38.5</v>
      </c>
      <c r="I22" s="779">
        <v>7</v>
      </c>
      <c r="J22" s="436">
        <v>45291</v>
      </c>
      <c r="K22" s="349">
        <v>7</v>
      </c>
      <c r="L22" s="1400" t="s">
        <v>252</v>
      </c>
      <c r="M22" s="1401"/>
      <c r="N22" s="1401"/>
      <c r="O22" s="1402"/>
      <c r="P22" s="313">
        <v>0</v>
      </c>
      <c r="Q22" s="254">
        <f t="shared" ref="Q22" si="9">P22/$G$27</f>
        <v>0</v>
      </c>
    </row>
    <row r="23" spans="1:21" ht="21" customHeight="1" thickBot="1">
      <c r="A23" s="11"/>
      <c r="B23" s="360"/>
      <c r="C23" s="788"/>
      <c r="D23" s="794"/>
      <c r="E23" s="796"/>
      <c r="F23" s="778"/>
      <c r="G23" s="793">
        <v>5.5</v>
      </c>
      <c r="H23" s="845">
        <f t="shared" si="8"/>
        <v>0</v>
      </c>
      <c r="I23" s="779">
        <f>+[1]S6!$L$15</f>
        <v>0</v>
      </c>
      <c r="J23" s="436"/>
      <c r="K23" s="1092"/>
      <c r="L23" s="1409" t="s">
        <v>242</v>
      </c>
      <c r="M23" s="1410"/>
      <c r="N23" s="1410"/>
      <c r="O23" s="1411"/>
      <c r="P23" s="218">
        <f>SUM(P21:P22)</f>
        <v>0</v>
      </c>
      <c r="Q23" s="255">
        <f>P23/$G$27</f>
        <v>0</v>
      </c>
    </row>
    <row r="24" spans="1:21" ht="21" customHeight="1" thickBot="1">
      <c r="B24" s="360"/>
      <c r="C24" s="788"/>
      <c r="D24" s="794"/>
      <c r="E24" s="796"/>
      <c r="F24" s="778"/>
      <c r="G24" s="793">
        <v>5.5</v>
      </c>
      <c r="H24" s="845">
        <f t="shared" si="8"/>
        <v>0</v>
      </c>
      <c r="I24" s="779">
        <f>+[1]S6!$L$15</f>
        <v>0</v>
      </c>
      <c r="J24" s="436"/>
      <c r="K24" s="349"/>
      <c r="L24" s="1397" t="s">
        <v>243</v>
      </c>
      <c r="M24" s="1398"/>
      <c r="N24" s="1398"/>
      <c r="O24" s="1399"/>
      <c r="P24" s="219">
        <f>$H$27-P23</f>
        <v>38.5</v>
      </c>
      <c r="Q24" s="202">
        <f>I27-Q23</f>
        <v>7</v>
      </c>
      <c r="S24" s="1432"/>
      <c r="T24" s="1432"/>
    </row>
    <row r="25" spans="1:21" ht="21" customHeight="1">
      <c r="B25" s="360"/>
      <c r="C25" s="788"/>
      <c r="D25" s="794"/>
      <c r="E25" s="796"/>
      <c r="F25" s="778"/>
      <c r="G25" s="793">
        <v>5.5</v>
      </c>
      <c r="H25" s="845">
        <f t="shared" ref="H25" si="10">I25*G25</f>
        <v>0</v>
      </c>
      <c r="I25" s="779">
        <f>+[1]S6!$L$15</f>
        <v>0</v>
      </c>
      <c r="J25" s="436"/>
      <c r="K25" s="349"/>
      <c r="L25" s="1396" t="s">
        <v>277</v>
      </c>
      <c r="M25" s="1396"/>
      <c r="N25" s="1396"/>
      <c r="O25" s="1396"/>
    </row>
    <row r="26" spans="1:21" ht="21" customHeight="1" thickBot="1">
      <c r="B26" s="360"/>
      <c r="C26" s="817"/>
      <c r="D26" s="794"/>
      <c r="E26" s="796"/>
      <c r="F26" s="797"/>
      <c r="G26" s="795"/>
      <c r="H26" s="846"/>
      <c r="I26" s="798"/>
      <c r="J26" s="440"/>
      <c r="K26" s="349"/>
    </row>
    <row r="27" spans="1:21" s="260" customFormat="1" ht="37.5" customHeight="1" thickBot="1">
      <c r="A27" s="259"/>
      <c r="B27" s="361"/>
      <c r="C27" s="590"/>
      <c r="D27" s="769"/>
      <c r="E27" s="595">
        <f>SUM(E22:E26)</f>
        <v>20</v>
      </c>
      <c r="F27" s="595">
        <f t="shared" ref="F27" si="11">SUM(F22:F26)</f>
        <v>110</v>
      </c>
      <c r="G27" s="813">
        <f>AVERAGE(G22:G26)</f>
        <v>5.5</v>
      </c>
      <c r="H27" s="847">
        <f>SUM(H22:H26)</f>
        <v>38.5</v>
      </c>
      <c r="I27" s="770">
        <f>SUM(I22:I26)</f>
        <v>7</v>
      </c>
      <c r="J27" s="439"/>
      <c r="K27" s="359" t="s">
        <v>834</v>
      </c>
      <c r="L27" s="385">
        <v>7</v>
      </c>
      <c r="M27" s="805" t="s">
        <v>325</v>
      </c>
      <c r="N27" s="841"/>
      <c r="R27" s="335"/>
      <c r="S27" s="336"/>
    </row>
    <row r="28" spans="1:21" s="8" customFormat="1" ht="10.5" customHeight="1" thickBot="1">
      <c r="A28" s="17"/>
      <c r="B28" s="17"/>
      <c r="C28" s="453"/>
      <c r="D28" s="758"/>
      <c r="E28" s="758"/>
      <c r="F28" s="758"/>
      <c r="G28" s="758"/>
      <c r="H28" s="453"/>
      <c r="I28" s="453"/>
      <c r="J28" s="261"/>
      <c r="K28" s="150"/>
      <c r="N28" s="37"/>
      <c r="O28" s="37"/>
      <c r="P28" s="37"/>
      <c r="Q28" s="37"/>
      <c r="R28" s="335"/>
      <c r="S28" s="336"/>
      <c r="T28" s="37"/>
      <c r="U28" s="37"/>
    </row>
    <row r="29" spans="1:21" ht="21" customHeight="1" thickBot="1">
      <c r="A29" s="41">
        <v>208</v>
      </c>
      <c r="B29" s="42" t="s">
        <v>220</v>
      </c>
      <c r="C29" s="698"/>
      <c r="D29" s="455"/>
      <c r="E29" s="455"/>
      <c r="F29" s="455"/>
      <c r="G29" s="771" t="s">
        <v>207</v>
      </c>
      <c r="H29" s="842"/>
      <c r="I29" s="696"/>
      <c r="J29" s="437"/>
      <c r="K29" s="353"/>
      <c r="L29" s="1414" t="s">
        <v>251</v>
      </c>
      <c r="M29" s="1415"/>
      <c r="N29" s="1415"/>
      <c r="O29" s="1416"/>
      <c r="P29" s="208">
        <v>0</v>
      </c>
      <c r="Q29" s="253">
        <f>P29/$G$40</f>
        <v>0</v>
      </c>
    </row>
    <row r="30" spans="1:21" ht="21" customHeight="1">
      <c r="A30" s="11"/>
      <c r="B30" s="39"/>
      <c r="C30" s="788">
        <v>45104</v>
      </c>
      <c r="D30" s="794">
        <v>23132</v>
      </c>
      <c r="E30" s="796">
        <v>8</v>
      </c>
      <c r="F30" s="797">
        <v>45.6</v>
      </c>
      <c r="G30" s="793">
        <v>5.7</v>
      </c>
      <c r="H30" s="848">
        <f t="shared" ref="H30:H34" si="12">I30*G30</f>
        <v>5.7</v>
      </c>
      <c r="I30" s="827">
        <v>1</v>
      </c>
      <c r="J30" s="815">
        <v>45283</v>
      </c>
      <c r="K30" s="150">
        <v>1</v>
      </c>
      <c r="L30" s="1400" t="s">
        <v>252</v>
      </c>
      <c r="M30" s="1401"/>
      <c r="N30" s="1401"/>
      <c r="O30" s="1402"/>
      <c r="P30" s="209">
        <v>0</v>
      </c>
      <c r="Q30" s="254">
        <f>P30/$G$40</f>
        <v>0</v>
      </c>
    </row>
    <row r="31" spans="1:21" ht="21" customHeight="1" thickBot="1">
      <c r="A31" s="11"/>
      <c r="B31" s="39"/>
      <c r="C31" s="788">
        <v>45146</v>
      </c>
      <c r="D31" s="794">
        <v>23194</v>
      </c>
      <c r="E31" s="796">
        <v>5</v>
      </c>
      <c r="F31" s="797">
        <v>28.5</v>
      </c>
      <c r="G31" s="793">
        <v>5.7</v>
      </c>
      <c r="H31" s="848">
        <f t="shared" si="12"/>
        <v>28.5</v>
      </c>
      <c r="I31" s="827">
        <v>5</v>
      </c>
      <c r="J31" s="815">
        <v>45325</v>
      </c>
      <c r="K31" s="150">
        <v>5</v>
      </c>
      <c r="L31" s="1409" t="s">
        <v>242</v>
      </c>
      <c r="M31" s="1410"/>
      <c r="N31" s="1410"/>
      <c r="O31" s="1411"/>
      <c r="P31" s="210">
        <f>SUM(P29:P30)</f>
        <v>0</v>
      </c>
      <c r="Q31" s="255">
        <f>P31/$G$40</f>
        <v>0</v>
      </c>
    </row>
    <row r="32" spans="1:21" ht="21" customHeight="1" thickBot="1">
      <c r="B32" s="39"/>
      <c r="C32" s="788"/>
      <c r="D32" s="794"/>
      <c r="E32" s="796"/>
      <c r="F32" s="797"/>
      <c r="G32" s="793">
        <v>5.7</v>
      </c>
      <c r="H32" s="848">
        <f t="shared" si="12"/>
        <v>0</v>
      </c>
      <c r="I32" s="827"/>
      <c r="J32" s="815"/>
      <c r="K32" s="150"/>
      <c r="L32" s="1397" t="s">
        <v>243</v>
      </c>
      <c r="M32" s="1398"/>
      <c r="N32" s="1398"/>
      <c r="O32" s="1399"/>
      <c r="P32" s="211">
        <f>$H$40-P31</f>
        <v>34.200000000000003</v>
      </c>
      <c r="Q32" s="202">
        <f>I40-Q31</f>
        <v>6</v>
      </c>
    </row>
    <row r="33" spans="1:21" ht="21" customHeight="1">
      <c r="B33" s="39"/>
      <c r="C33" s="788"/>
      <c r="D33" s="794"/>
      <c r="E33" s="796"/>
      <c r="F33" s="797"/>
      <c r="G33" s="793">
        <v>5.7</v>
      </c>
      <c r="H33" s="848">
        <f t="shared" si="12"/>
        <v>0</v>
      </c>
      <c r="I33" s="827"/>
      <c r="J33" s="815"/>
      <c r="K33" s="150"/>
      <c r="L33" s="1396" t="s">
        <v>278</v>
      </c>
      <c r="M33" s="1396"/>
      <c r="N33" s="1396"/>
      <c r="O33" s="1396"/>
      <c r="R33" s="1395"/>
      <c r="S33" s="1395"/>
      <c r="T33" s="1395"/>
      <c r="U33" s="1395"/>
    </row>
    <row r="34" spans="1:21" ht="21" customHeight="1">
      <c r="B34" s="39"/>
      <c r="C34" s="788"/>
      <c r="D34" s="794"/>
      <c r="E34" s="796"/>
      <c r="F34" s="797"/>
      <c r="G34" s="793">
        <v>5.7</v>
      </c>
      <c r="H34" s="848">
        <f t="shared" si="12"/>
        <v>0</v>
      </c>
      <c r="I34" s="827"/>
      <c r="J34" s="815"/>
      <c r="K34" s="150"/>
      <c r="L34" s="435"/>
      <c r="M34" s="435"/>
      <c r="N34" s="435"/>
      <c r="O34" s="435"/>
      <c r="R34" s="1395"/>
      <c r="S34" s="1395"/>
      <c r="T34" s="1395"/>
      <c r="U34" s="1395"/>
    </row>
    <row r="35" spans="1:21" ht="21" customHeight="1">
      <c r="B35" s="39"/>
      <c r="C35" s="788"/>
      <c r="D35" s="794"/>
      <c r="E35" s="796"/>
      <c r="F35" s="797"/>
      <c r="G35" s="793">
        <v>5.7</v>
      </c>
      <c r="H35" s="848">
        <f t="shared" ref="H35:H36" si="13">I35*G35</f>
        <v>0</v>
      </c>
      <c r="I35" s="827"/>
      <c r="J35" s="815"/>
      <c r="K35" s="150"/>
      <c r="L35" s="435"/>
      <c r="M35" s="435"/>
      <c r="N35" s="435"/>
      <c r="O35" s="435"/>
      <c r="R35" s="1395"/>
      <c r="S35" s="1395"/>
      <c r="T35" s="1395"/>
      <c r="U35" s="1395"/>
    </row>
    <row r="36" spans="1:21" ht="21" customHeight="1">
      <c r="B36" s="39"/>
      <c r="C36" s="788"/>
      <c r="D36" s="794"/>
      <c r="E36" s="796"/>
      <c r="F36" s="797"/>
      <c r="G36" s="793">
        <v>5.7</v>
      </c>
      <c r="H36" s="848">
        <f t="shared" si="13"/>
        <v>0</v>
      </c>
      <c r="I36" s="827"/>
      <c r="J36" s="815"/>
      <c r="K36" s="150"/>
      <c r="L36" s="435"/>
      <c r="M36" s="435"/>
      <c r="N36" s="435"/>
      <c r="O36" s="435"/>
      <c r="P36" s="37" t="s">
        <v>499</v>
      </c>
      <c r="R36" s="1395"/>
      <c r="S36" s="1395"/>
      <c r="T36" s="1395"/>
      <c r="U36" s="1395"/>
    </row>
    <row r="37" spans="1:21" ht="21" customHeight="1">
      <c r="B37" s="39"/>
      <c r="C37" s="788"/>
      <c r="D37" s="794"/>
      <c r="E37" s="796"/>
      <c r="F37" s="797"/>
      <c r="G37" s="793">
        <v>5.7</v>
      </c>
      <c r="H37" s="848">
        <f t="shared" ref="H37:H39" si="14">I37*G37</f>
        <v>0</v>
      </c>
      <c r="I37" s="827"/>
      <c r="J37" s="815"/>
      <c r="K37" s="150"/>
      <c r="L37" s="435"/>
      <c r="M37" s="435"/>
      <c r="N37" s="435"/>
      <c r="O37" s="435"/>
      <c r="R37" s="1395"/>
      <c r="S37" s="1395"/>
      <c r="T37" s="1395"/>
      <c r="U37" s="1395"/>
    </row>
    <row r="38" spans="1:21" ht="21" customHeight="1">
      <c r="B38" s="39"/>
      <c r="C38" s="788"/>
      <c r="D38" s="794"/>
      <c r="E38" s="796"/>
      <c r="F38" s="797"/>
      <c r="G38" s="793">
        <v>5.7</v>
      </c>
      <c r="H38" s="848">
        <f t="shared" si="14"/>
        <v>0</v>
      </c>
      <c r="I38" s="827"/>
      <c r="J38" s="815"/>
      <c r="K38" s="150"/>
      <c r="L38" s="435"/>
      <c r="M38" s="435"/>
      <c r="N38" s="435"/>
      <c r="O38" s="435"/>
      <c r="R38" s="1395"/>
      <c r="S38" s="1395"/>
      <c r="T38" s="1395"/>
      <c r="U38" s="1395"/>
    </row>
    <row r="39" spans="1:21" ht="21" customHeight="1" thickBot="1">
      <c r="B39" s="39"/>
      <c r="C39" s="788"/>
      <c r="D39" s="794"/>
      <c r="E39" s="796"/>
      <c r="F39" s="797"/>
      <c r="G39" s="795">
        <v>5.7</v>
      </c>
      <c r="H39" s="848">
        <f t="shared" si="14"/>
        <v>0</v>
      </c>
      <c r="I39" s="810"/>
      <c r="J39" s="811"/>
      <c r="K39" s="399"/>
      <c r="R39" s="1395"/>
      <c r="S39" s="1395"/>
      <c r="T39" s="1395"/>
      <c r="U39" s="1395"/>
    </row>
    <row r="40" spans="1:21" s="260" customFormat="1" ht="37.5" customHeight="1" thickBot="1">
      <c r="A40" s="259"/>
      <c r="B40" s="362"/>
      <c r="C40" s="772"/>
      <c r="D40" s="773"/>
      <c r="E40" s="774">
        <f>SUM(E30:E39)</f>
        <v>13</v>
      </c>
      <c r="F40" s="774">
        <f t="shared" ref="F40" si="15">SUM(F30:F39)</f>
        <v>74.099999999999994</v>
      </c>
      <c r="G40" s="775">
        <f>AVERAGE(G30:G39)</f>
        <v>5.7000000000000011</v>
      </c>
      <c r="H40" s="847">
        <f>SUM(H30:H39)</f>
        <v>34.200000000000003</v>
      </c>
      <c r="I40" s="776">
        <f>SUM(I30:I39)</f>
        <v>6</v>
      </c>
      <c r="J40" s="441"/>
      <c r="K40" s="359" t="s">
        <v>834</v>
      </c>
      <c r="L40" s="385">
        <v>6</v>
      </c>
      <c r="M40" s="805" t="s">
        <v>325</v>
      </c>
      <c r="R40" s="1395"/>
      <c r="S40" s="1395"/>
      <c r="T40" s="1395"/>
      <c r="U40" s="1395"/>
    </row>
    <row r="41" spans="1:21" s="8" customFormat="1" ht="8.25" customHeight="1" thickBot="1">
      <c r="A41" s="17"/>
      <c r="B41" s="17"/>
      <c r="C41" s="453"/>
      <c r="D41" s="758"/>
      <c r="E41" s="758"/>
      <c r="F41" s="758"/>
      <c r="G41" s="758"/>
      <c r="H41" s="453"/>
      <c r="I41" s="453"/>
      <c r="J41" s="261"/>
      <c r="K41" s="150"/>
      <c r="N41" s="37"/>
      <c r="O41" s="37"/>
      <c r="P41" s="37"/>
      <c r="Q41" s="37"/>
      <c r="R41" s="1395"/>
      <c r="S41" s="1395"/>
      <c r="T41" s="1395"/>
      <c r="U41" s="1395"/>
    </row>
    <row r="42" spans="1:21" ht="21" customHeight="1" thickBot="1">
      <c r="A42" s="41">
        <v>250</v>
      </c>
      <c r="B42" s="42" t="s">
        <v>215</v>
      </c>
      <c r="C42" s="698"/>
      <c r="D42" s="455"/>
      <c r="E42" s="455"/>
      <c r="F42" s="455"/>
      <c r="G42" s="777" t="s">
        <v>206</v>
      </c>
      <c r="H42" s="849"/>
      <c r="I42" s="696"/>
      <c r="J42" s="437"/>
      <c r="K42" s="353"/>
      <c r="L42" s="1429" t="s">
        <v>251</v>
      </c>
      <c r="M42" s="1430"/>
      <c r="N42" s="1430"/>
      <c r="O42" s="1431"/>
      <c r="P42" s="212">
        <v>0</v>
      </c>
      <c r="Q42" s="448">
        <f>P42/$G$49</f>
        <v>0</v>
      </c>
      <c r="R42" s="1395"/>
      <c r="S42" s="1395"/>
      <c r="T42" s="1395"/>
      <c r="U42" s="1395"/>
    </row>
    <row r="43" spans="1:21" ht="21" customHeight="1">
      <c r="A43" s="11"/>
      <c r="B43" s="39"/>
      <c r="C43" s="788">
        <v>45132</v>
      </c>
      <c r="D43" s="780">
        <v>23157</v>
      </c>
      <c r="E43" s="593">
        <v>8</v>
      </c>
      <c r="F43" s="778">
        <v>42.4</v>
      </c>
      <c r="G43" s="782">
        <v>5.3</v>
      </c>
      <c r="H43" s="781">
        <f t="shared" ref="H43:H46" si="16">I43*G43</f>
        <v>37.1</v>
      </c>
      <c r="I43" s="814">
        <v>7</v>
      </c>
      <c r="J43" s="438">
        <v>45311</v>
      </c>
      <c r="K43" s="46">
        <v>7</v>
      </c>
      <c r="L43" s="1400" t="s">
        <v>252</v>
      </c>
      <c r="M43" s="1401"/>
      <c r="N43" s="1401"/>
      <c r="O43" s="1402"/>
      <c r="P43" s="213">
        <v>0</v>
      </c>
      <c r="Q43" s="350">
        <f>P43/$G$49</f>
        <v>0</v>
      </c>
    </row>
    <row r="44" spans="1:21" ht="21" customHeight="1" thickBot="1">
      <c r="B44" s="39"/>
      <c r="C44" s="788">
        <v>45146</v>
      </c>
      <c r="D44" s="780">
        <v>23157</v>
      </c>
      <c r="E44" s="593">
        <v>2</v>
      </c>
      <c r="F44" s="778">
        <v>10.6</v>
      </c>
      <c r="G44" s="782">
        <v>5.3</v>
      </c>
      <c r="H44" s="781">
        <f t="shared" si="16"/>
        <v>10.6</v>
      </c>
      <c r="I44" s="814">
        <v>2</v>
      </c>
      <c r="J44" s="438">
        <v>45325</v>
      </c>
      <c r="K44" s="46">
        <v>2</v>
      </c>
      <c r="L44" s="1403" t="s">
        <v>242</v>
      </c>
      <c r="M44" s="1404"/>
      <c r="N44" s="1404"/>
      <c r="O44" s="1405"/>
      <c r="P44" s="256">
        <f>SUM(P42:P43)</f>
        <v>0</v>
      </c>
      <c r="Q44" s="351">
        <f>P44/$G$49</f>
        <v>0</v>
      </c>
    </row>
    <row r="45" spans="1:21" ht="21" customHeight="1" thickBot="1">
      <c r="B45" s="39"/>
      <c r="C45" s="788"/>
      <c r="D45" s="780"/>
      <c r="E45" s="593"/>
      <c r="F45" s="778"/>
      <c r="G45" s="782">
        <v>5.3</v>
      </c>
      <c r="H45" s="781">
        <f t="shared" si="16"/>
        <v>0</v>
      </c>
      <c r="I45" s="814"/>
      <c r="J45" s="438"/>
      <c r="K45" s="46"/>
      <c r="L45" s="1406" t="s">
        <v>243</v>
      </c>
      <c r="M45" s="1407"/>
      <c r="N45" s="1407"/>
      <c r="O45" s="1408"/>
      <c r="P45" s="215">
        <f>$H$49-P44</f>
        <v>47.7</v>
      </c>
      <c r="Q45" s="252">
        <f>I49-Q44</f>
        <v>9</v>
      </c>
    </row>
    <row r="46" spans="1:21" ht="21" customHeight="1">
      <c r="B46" s="39"/>
      <c r="C46" s="788"/>
      <c r="D46" s="780"/>
      <c r="E46" s="593"/>
      <c r="F46" s="778"/>
      <c r="G46" s="782">
        <v>5.3</v>
      </c>
      <c r="H46" s="781">
        <f t="shared" si="16"/>
        <v>0</v>
      </c>
      <c r="I46" s="814"/>
      <c r="J46" s="438"/>
      <c r="K46" s="46"/>
      <c r="L46" s="1396" t="s">
        <v>279</v>
      </c>
      <c r="M46" s="1396"/>
      <c r="N46" s="1396"/>
      <c r="O46" s="1396"/>
    </row>
    <row r="47" spans="1:21" ht="21" customHeight="1">
      <c r="B47" s="39"/>
      <c r="C47" s="788"/>
      <c r="D47" s="780"/>
      <c r="E47" s="593"/>
      <c r="F47" s="778"/>
      <c r="G47" s="782">
        <v>5.3</v>
      </c>
      <c r="H47" s="781">
        <f t="shared" ref="H47" si="17">I47*G47</f>
        <v>0</v>
      </c>
      <c r="I47" s="814"/>
      <c r="J47" s="438"/>
      <c r="K47" s="46"/>
      <c r="L47" s="435"/>
      <c r="M47" s="435"/>
      <c r="N47" s="435"/>
      <c r="O47" s="435"/>
    </row>
    <row r="48" spans="1:21" ht="21" customHeight="1" thickBot="1">
      <c r="B48" s="39"/>
      <c r="C48" s="788"/>
      <c r="D48" s="780"/>
      <c r="E48" s="593"/>
      <c r="F48" s="778"/>
      <c r="G48" s="782">
        <v>5.3</v>
      </c>
      <c r="H48" s="781">
        <f t="shared" ref="H48" si="18">I48*G48</f>
        <v>0</v>
      </c>
      <c r="I48" s="814"/>
      <c r="J48" s="438"/>
      <c r="K48" s="46"/>
    </row>
    <row r="49" spans="1:21" s="260" customFormat="1" ht="39" customHeight="1" thickBot="1">
      <c r="A49" s="259"/>
      <c r="B49" s="362"/>
      <c r="C49" s="772"/>
      <c r="D49" s="783"/>
      <c r="E49" s="614">
        <f>SUM(E43:E48)</f>
        <v>10</v>
      </c>
      <c r="F49" s="614">
        <f>SUM(F43:F48)</f>
        <v>53</v>
      </c>
      <c r="G49" s="784">
        <f>AVERAGE(G43:G48)</f>
        <v>5.3</v>
      </c>
      <c r="H49" s="785">
        <f>SUM(H43:H48)</f>
        <v>47.7</v>
      </c>
      <c r="I49" s="786">
        <f>SUM(I43:I48)</f>
        <v>9</v>
      </c>
      <c r="J49" s="439"/>
      <c r="K49" s="359" t="s">
        <v>834</v>
      </c>
      <c r="L49" s="385">
        <v>9</v>
      </c>
      <c r="M49" s="805" t="s">
        <v>325</v>
      </c>
      <c r="N49" s="911"/>
      <c r="R49" s="335"/>
      <c r="S49" s="336"/>
    </row>
    <row r="50" spans="1:21" ht="9" customHeight="1" thickBot="1">
      <c r="B50" s="363"/>
      <c r="C50" s="453"/>
      <c r="J50" s="442"/>
      <c r="K50" s="150"/>
    </row>
    <row r="51" spans="1:21" ht="21" customHeight="1" thickBot="1">
      <c r="A51" s="41" t="s">
        <v>202</v>
      </c>
      <c r="B51" s="42" t="s">
        <v>327</v>
      </c>
      <c r="C51" s="455"/>
      <c r="D51" s="455"/>
      <c r="E51" s="455"/>
      <c r="F51" s="455"/>
      <c r="G51" s="787"/>
      <c r="H51" s="849"/>
      <c r="I51" s="696" t="s">
        <v>205</v>
      </c>
      <c r="J51" s="437"/>
      <c r="K51" s="353"/>
      <c r="L51" s="1414" t="s">
        <v>251</v>
      </c>
      <c r="M51" s="1415"/>
      <c r="N51" s="1415"/>
      <c r="O51" s="1416"/>
      <c r="P51" s="216">
        <v>0</v>
      </c>
      <c r="Q51" s="253">
        <f>P51/$G$59</f>
        <v>0</v>
      </c>
    </row>
    <row r="52" spans="1:21" ht="21" customHeight="1">
      <c r="A52" s="11"/>
      <c r="B52" s="39"/>
      <c r="C52" s="976">
        <v>45118</v>
      </c>
      <c r="D52" s="803">
        <v>2317906</v>
      </c>
      <c r="E52" s="804">
        <v>85</v>
      </c>
      <c r="F52" s="821">
        <v>21.25</v>
      </c>
      <c r="G52" s="868">
        <v>0.25</v>
      </c>
      <c r="H52" s="869">
        <f t="shared" ref="H52:H55" si="19">I52*G52</f>
        <v>4.5</v>
      </c>
      <c r="I52" s="789">
        <v>18</v>
      </c>
      <c r="J52" s="872">
        <v>45205</v>
      </c>
      <c r="K52" s="364">
        <v>18</v>
      </c>
      <c r="L52" s="1400" t="s">
        <v>252</v>
      </c>
      <c r="M52" s="1401"/>
      <c r="N52" s="1401"/>
      <c r="O52" s="1402"/>
      <c r="P52" s="217">
        <v>2.5</v>
      </c>
      <c r="Q52" s="254">
        <f>P52/$G$59</f>
        <v>10</v>
      </c>
    </row>
    <row r="53" spans="1:21" ht="21" customHeight="1" thickBot="1">
      <c r="B53" s="39"/>
      <c r="C53" s="976">
        <v>45125</v>
      </c>
      <c r="D53" s="803">
        <v>2317906</v>
      </c>
      <c r="E53" s="804">
        <v>85</v>
      </c>
      <c r="F53" s="821">
        <v>21.25</v>
      </c>
      <c r="G53" s="868">
        <v>0.25</v>
      </c>
      <c r="H53" s="869">
        <f t="shared" si="19"/>
        <v>21.25</v>
      </c>
      <c r="I53" s="789">
        <v>85</v>
      </c>
      <c r="J53" s="872">
        <v>45205</v>
      </c>
      <c r="K53" s="364">
        <v>85</v>
      </c>
      <c r="L53" s="1409" t="s">
        <v>242</v>
      </c>
      <c r="M53" s="1410"/>
      <c r="N53" s="1410"/>
      <c r="O53" s="1411"/>
      <c r="P53" s="214">
        <f>SUM(P51:P52)</f>
        <v>2.5</v>
      </c>
      <c r="Q53" s="255">
        <f>P53/$G$59</f>
        <v>10</v>
      </c>
    </row>
    <row r="54" spans="1:21" ht="21" customHeight="1" thickBot="1">
      <c r="B54" s="39"/>
      <c r="C54" s="976">
        <v>45132</v>
      </c>
      <c r="D54" s="803">
        <v>2318610</v>
      </c>
      <c r="E54" s="804">
        <v>119</v>
      </c>
      <c r="F54" s="821">
        <v>29.75</v>
      </c>
      <c r="G54" s="868">
        <v>0.25</v>
      </c>
      <c r="H54" s="869">
        <f t="shared" si="19"/>
        <v>29.75</v>
      </c>
      <c r="I54" s="789">
        <v>119</v>
      </c>
      <c r="J54" s="872">
        <v>45212</v>
      </c>
      <c r="K54" s="364">
        <v>119</v>
      </c>
      <c r="L54" s="1397" t="s">
        <v>243</v>
      </c>
      <c r="M54" s="1398"/>
      <c r="N54" s="1398"/>
      <c r="O54" s="1399"/>
      <c r="P54" s="215">
        <f>$H$59-P53</f>
        <v>61.5</v>
      </c>
      <c r="Q54" s="202">
        <f>I59-Q53</f>
        <v>246</v>
      </c>
      <c r="S54" s="355"/>
    </row>
    <row r="55" spans="1:21" ht="21" customHeight="1">
      <c r="B55" s="39"/>
      <c r="C55" s="976">
        <v>45146</v>
      </c>
      <c r="D55" s="803">
        <v>2320804</v>
      </c>
      <c r="E55" s="804">
        <v>34</v>
      </c>
      <c r="F55" s="821">
        <v>8.5</v>
      </c>
      <c r="G55" s="868">
        <v>0.25</v>
      </c>
      <c r="H55" s="869">
        <f t="shared" si="19"/>
        <v>8.5</v>
      </c>
      <c r="I55" s="789">
        <v>34</v>
      </c>
      <c r="J55" s="872">
        <v>45234</v>
      </c>
      <c r="K55" s="364">
        <v>34</v>
      </c>
      <c r="L55" s="1396" t="s">
        <v>280</v>
      </c>
      <c r="M55" s="1396"/>
      <c r="N55" s="1396"/>
      <c r="O55" s="1396"/>
      <c r="P55" s="307"/>
      <c r="S55" s="337"/>
      <c r="T55" s="1413"/>
    </row>
    <row r="56" spans="1:21" ht="21" customHeight="1">
      <c r="B56" s="39"/>
      <c r="C56" s="976"/>
      <c r="D56" s="803"/>
      <c r="E56" s="804"/>
      <c r="F56" s="821"/>
      <c r="G56" s="868">
        <v>0.25</v>
      </c>
      <c r="H56" s="869">
        <f t="shared" ref="H56" si="20">I56*G56</f>
        <v>0</v>
      </c>
      <c r="I56" s="789"/>
      <c r="J56" s="872"/>
      <c r="K56" s="364"/>
      <c r="L56" s="435"/>
      <c r="M56" s="435"/>
      <c r="N56" s="435"/>
      <c r="O56" s="435"/>
      <c r="P56" s="307"/>
      <c r="S56" s="337"/>
      <c r="T56" s="1413"/>
    </row>
    <row r="57" spans="1:21" ht="21" customHeight="1">
      <c r="B57" s="39"/>
      <c r="C57" s="976"/>
      <c r="D57" s="803"/>
      <c r="E57" s="804"/>
      <c r="F57" s="821"/>
      <c r="G57" s="868">
        <v>0.25</v>
      </c>
      <c r="H57" s="869">
        <f t="shared" ref="H57" si="21">I57*G57</f>
        <v>0</v>
      </c>
      <c r="I57" s="789"/>
      <c r="J57" s="872"/>
      <c r="K57" s="364"/>
      <c r="T57" s="1413"/>
    </row>
    <row r="58" spans="1:21" ht="21" customHeight="1" thickBot="1">
      <c r="B58" s="39"/>
      <c r="C58" s="818"/>
      <c r="D58" s="819"/>
      <c r="E58" s="820"/>
      <c r="F58" s="821"/>
      <c r="G58" s="822"/>
      <c r="H58" s="823"/>
      <c r="I58" s="798"/>
      <c r="J58" s="839"/>
      <c r="K58" s="444"/>
      <c r="T58" s="338"/>
    </row>
    <row r="59" spans="1:21" s="260" customFormat="1" ht="43.5" customHeight="1" thickBot="1">
      <c r="A59" s="259"/>
      <c r="B59" s="362"/>
      <c r="C59" s="772"/>
      <c r="D59" s="783"/>
      <c r="E59" s="614">
        <f>SUM(E52:E58)</f>
        <v>323</v>
      </c>
      <c r="F59" s="614">
        <f t="shared" ref="F59" si="22">SUM(F52:F58)</f>
        <v>80.75</v>
      </c>
      <c r="G59" s="784">
        <f>AVERAGE(G52:G58)</f>
        <v>0.25</v>
      </c>
      <c r="H59" s="785">
        <f>SUM(H52:H58)</f>
        <v>64</v>
      </c>
      <c r="I59" s="770">
        <f>SUM(I52:I58)</f>
        <v>256</v>
      </c>
      <c r="J59" s="439"/>
      <c r="K59" s="359" t="s">
        <v>834</v>
      </c>
      <c r="L59" s="385">
        <v>256</v>
      </c>
      <c r="M59" s="805" t="s">
        <v>325</v>
      </c>
      <c r="N59" s="1412"/>
      <c r="O59" s="1412"/>
      <c r="P59" s="1412"/>
      <c r="Q59" s="806"/>
      <c r="R59" s="806"/>
      <c r="S59" s="336"/>
    </row>
    <row r="60" spans="1:21" ht="21" customHeight="1">
      <c r="B60" s="363"/>
      <c r="C60" s="453"/>
      <c r="H60" s="453"/>
      <c r="J60" s="442"/>
      <c r="K60" s="150"/>
    </row>
    <row r="61" spans="1:21" s="8" customFormat="1" ht="21.75" customHeight="1" thickBot="1">
      <c r="A61" s="17"/>
      <c r="B61" s="17"/>
      <c r="C61" s="453"/>
      <c r="D61" s="758"/>
      <c r="E61" s="758"/>
      <c r="F61" s="758"/>
      <c r="G61" s="758"/>
      <c r="H61" s="453"/>
      <c r="I61" s="453"/>
      <c r="J61" s="261"/>
      <c r="K61" s="150"/>
      <c r="N61" s="37"/>
      <c r="O61" s="37"/>
      <c r="P61" s="38" t="s">
        <v>492</v>
      </c>
      <c r="Q61" s="37"/>
      <c r="R61" s="335"/>
      <c r="S61" s="336"/>
      <c r="T61" s="37"/>
      <c r="U61" s="37"/>
    </row>
    <row r="62" spans="1:21" s="17" customFormat="1" ht="32.25" customHeight="1" thickBot="1">
      <c r="A62" s="1007" t="s">
        <v>460</v>
      </c>
      <c r="B62" s="1023" t="s">
        <v>462</v>
      </c>
      <c r="C62" s="1014"/>
      <c r="D62" s="1014"/>
      <c r="E62" s="1015" t="s">
        <v>464</v>
      </c>
      <c r="F62" s="1015" t="s">
        <v>465</v>
      </c>
      <c r="G62" s="1016"/>
      <c r="H62" s="1013"/>
      <c r="I62" s="1026" t="s">
        <v>479</v>
      </c>
      <c r="J62" s="1017" t="s">
        <v>466</v>
      </c>
      <c r="K62" s="1018" t="s">
        <v>473</v>
      </c>
      <c r="L62" s="1414" t="s">
        <v>251</v>
      </c>
      <c r="M62" s="1415"/>
      <c r="N62" s="1415"/>
      <c r="O62" s="1416"/>
      <c r="P62" s="216">
        <v>0</v>
      </c>
      <c r="Q62" s="1019">
        <f>P62/$G$68</f>
        <v>0</v>
      </c>
      <c r="R62" s="335"/>
      <c r="S62" s="453"/>
      <c r="T62" s="38"/>
      <c r="U62" s="38"/>
    </row>
    <row r="63" spans="1:21" s="8" customFormat="1" ht="22.5" customHeight="1">
      <c r="A63" s="11" t="s">
        <v>461</v>
      </c>
      <c r="B63" s="1027" t="s">
        <v>483</v>
      </c>
      <c r="C63" s="976">
        <v>45098</v>
      </c>
      <c r="D63" s="803">
        <v>30617</v>
      </c>
      <c r="E63" s="804">
        <v>300</v>
      </c>
      <c r="F63" s="821">
        <v>3600</v>
      </c>
      <c r="G63" s="868">
        <v>0.18</v>
      </c>
      <c r="H63" s="869">
        <f t="shared" ref="H63:H65" si="23">I63*G63</f>
        <v>246.23999999999998</v>
      </c>
      <c r="I63" s="789">
        <v>1368</v>
      </c>
      <c r="J63" s="872">
        <v>46358</v>
      </c>
      <c r="K63" s="952" t="s">
        <v>835</v>
      </c>
      <c r="L63" s="1400" t="s">
        <v>252</v>
      </c>
      <c r="M63" s="1401"/>
      <c r="N63" s="1401"/>
      <c r="O63" s="1402"/>
      <c r="P63" s="217">
        <v>0</v>
      </c>
      <c r="Q63" s="254">
        <f>P63/$G$68</f>
        <v>0</v>
      </c>
      <c r="R63" s="335" t="s">
        <v>485</v>
      </c>
      <c r="S63" s="336"/>
      <c r="T63" s="37"/>
      <c r="U63" s="37"/>
    </row>
    <row r="64" spans="1:21" ht="27" thickBot="1">
      <c r="B64" s="39"/>
      <c r="C64" s="976"/>
      <c r="D64" s="803"/>
      <c r="E64" s="804"/>
      <c r="F64" s="821"/>
      <c r="G64" s="868">
        <v>0.18</v>
      </c>
      <c r="H64" s="869">
        <f t="shared" si="23"/>
        <v>0</v>
      </c>
      <c r="I64" s="789"/>
      <c r="J64" s="872"/>
      <c r="K64" s="952"/>
      <c r="L64" s="1409" t="s">
        <v>242</v>
      </c>
      <c r="M64" s="1410"/>
      <c r="N64" s="1410"/>
      <c r="O64" s="1411"/>
      <c r="P64" s="214">
        <f>SUM(P62:P63)</f>
        <v>0</v>
      </c>
      <c r="Q64" s="255">
        <f>P64/$G$68</f>
        <v>0</v>
      </c>
      <c r="R64" s="1034">
        <f>Q64/12</f>
        <v>0</v>
      </c>
      <c r="S64" s="336" t="s">
        <v>532</v>
      </c>
    </row>
    <row r="65" spans="1:19" ht="27" thickBot="1">
      <c r="B65" s="39"/>
      <c r="C65" s="976"/>
      <c r="D65" s="803"/>
      <c r="E65" s="804"/>
      <c r="F65" s="821"/>
      <c r="G65" s="868">
        <v>0.18</v>
      </c>
      <c r="H65" s="869">
        <f t="shared" si="23"/>
        <v>0</v>
      </c>
      <c r="I65" s="789"/>
      <c r="J65" s="872"/>
      <c r="K65" s="952"/>
      <c r="L65" s="1397" t="s">
        <v>243</v>
      </c>
      <c r="M65" s="1398"/>
      <c r="N65" s="1398"/>
      <c r="O65" s="1399"/>
      <c r="P65" s="215">
        <f>$H$68-P64</f>
        <v>246.23999999999998</v>
      </c>
      <c r="Q65" s="202">
        <f>I68-Q64</f>
        <v>1368</v>
      </c>
      <c r="R65" s="1034">
        <f>Q65/12</f>
        <v>114</v>
      </c>
      <c r="S65" s="336" t="s">
        <v>533</v>
      </c>
    </row>
    <row r="66" spans="1:19" ht="26.4">
      <c r="B66" s="39"/>
      <c r="C66" s="976"/>
      <c r="D66" s="803"/>
      <c r="E66" s="804"/>
      <c r="F66" s="821"/>
      <c r="G66" s="868">
        <v>0.18</v>
      </c>
      <c r="H66" s="869">
        <f t="shared" ref="H66" si="24">I66*G66</f>
        <v>0</v>
      </c>
      <c r="I66" s="789"/>
      <c r="J66" s="872"/>
      <c r="K66" s="952"/>
      <c r="L66" s="1396" t="s">
        <v>480</v>
      </c>
      <c r="M66" s="1396"/>
      <c r="N66" s="1396"/>
      <c r="O66" s="1396"/>
      <c r="P66" s="307"/>
    </row>
    <row r="67" spans="1:19" ht="27" thickBot="1">
      <c r="B67" s="39"/>
      <c r="C67" s="976"/>
      <c r="D67" s="803"/>
      <c r="E67" s="804"/>
      <c r="F67" s="821"/>
      <c r="G67" s="868"/>
      <c r="H67" s="869"/>
      <c r="I67" s="789"/>
      <c r="J67" s="872"/>
      <c r="K67" s="364"/>
      <c r="L67" s="435"/>
      <c r="M67" s="435"/>
      <c r="N67" s="435"/>
      <c r="O67" s="435"/>
      <c r="P67" s="307"/>
    </row>
    <row r="68" spans="1:19" ht="27" thickBot="1">
      <c r="A68" s="259"/>
      <c r="B68" s="362"/>
      <c r="C68" s="772"/>
      <c r="D68" s="783"/>
      <c r="E68" s="614">
        <f>SUM(E63:E67)</f>
        <v>300</v>
      </c>
      <c r="F68" s="614">
        <f>SUM(F63:F67)</f>
        <v>3600</v>
      </c>
      <c r="G68" s="784">
        <f>AVERAGE(G63:G67)</f>
        <v>0.18</v>
      </c>
      <c r="H68" s="785">
        <f>SUM(H63:H67)</f>
        <v>246.23999999999998</v>
      </c>
      <c r="I68" s="1020">
        <f>SUM(I63:I67)</f>
        <v>1368</v>
      </c>
      <c r="J68" s="1021"/>
      <c r="K68" s="359" t="s">
        <v>834</v>
      </c>
      <c r="L68" s="385">
        <v>114</v>
      </c>
      <c r="M68" s="805" t="s">
        <v>485</v>
      </c>
      <c r="N68" s="385">
        <f>L68*12</f>
        <v>1368</v>
      </c>
      <c r="O68" s="805" t="s">
        <v>486</v>
      </c>
      <c r="P68" s="1028"/>
      <c r="Q68" s="806"/>
    </row>
    <row r="69" spans="1:19" ht="25.8" thickBot="1">
      <c r="H69" s="1022" t="s">
        <v>467</v>
      </c>
      <c r="I69" s="1031">
        <f>I68/12</f>
        <v>114</v>
      </c>
      <c r="P69" s="38" t="s">
        <v>492</v>
      </c>
    </row>
    <row r="70" spans="1:19" ht="34.200000000000003" thickBot="1">
      <c r="A70" s="1007" t="s">
        <v>463</v>
      </c>
      <c r="B70" s="1008" t="s">
        <v>474</v>
      </c>
      <c r="C70" s="1009"/>
      <c r="D70" s="1009"/>
      <c r="E70" s="1015" t="s">
        <v>472</v>
      </c>
      <c r="F70" s="1015" t="s">
        <v>465</v>
      </c>
      <c r="G70" s="1010"/>
      <c r="H70" s="1011"/>
      <c r="I70" s="1012" t="s">
        <v>477</v>
      </c>
      <c r="J70" s="1024" t="s">
        <v>466</v>
      </c>
      <c r="K70" s="1025" t="s">
        <v>478</v>
      </c>
      <c r="L70" s="1414" t="s">
        <v>251</v>
      </c>
      <c r="M70" s="1415"/>
      <c r="N70" s="1415"/>
      <c r="O70" s="1416"/>
      <c r="P70" s="216">
        <v>0</v>
      </c>
      <c r="Q70" s="1019">
        <f>P70/(G71)</f>
        <v>0</v>
      </c>
    </row>
    <row r="71" spans="1:19" ht="26.4">
      <c r="A71" s="11"/>
      <c r="B71" s="354" t="s">
        <v>468</v>
      </c>
      <c r="C71" s="976">
        <v>44963</v>
      </c>
      <c r="D71" s="803">
        <v>29936</v>
      </c>
      <c r="E71" s="804">
        <v>60</v>
      </c>
      <c r="F71" s="821">
        <v>120</v>
      </c>
      <c r="G71" s="868">
        <v>0.36</v>
      </c>
      <c r="H71" s="869">
        <v>8.64</v>
      </c>
      <c r="I71" s="789">
        <v>24</v>
      </c>
      <c r="J71" s="872">
        <v>46356</v>
      </c>
      <c r="K71" s="364">
        <v>24</v>
      </c>
      <c r="L71" s="1400" t="s">
        <v>252</v>
      </c>
      <c r="M71" s="1401"/>
      <c r="N71" s="1401"/>
      <c r="O71" s="1402"/>
      <c r="P71" s="217">
        <v>0</v>
      </c>
      <c r="Q71" s="254">
        <f>P71/(G75)</f>
        <v>0</v>
      </c>
    </row>
    <row r="72" spans="1:19" ht="27" thickBot="1">
      <c r="B72" s="360" t="s">
        <v>470</v>
      </c>
      <c r="C72" s="976"/>
      <c r="D72" s="803"/>
      <c r="E72" s="804"/>
      <c r="F72" s="821"/>
      <c r="G72" s="868"/>
      <c r="H72" s="869"/>
      <c r="I72" s="789"/>
      <c r="J72" s="872"/>
      <c r="K72" s="364"/>
      <c r="L72" s="1409" t="s">
        <v>242</v>
      </c>
      <c r="M72" s="1410"/>
      <c r="N72" s="1410"/>
      <c r="O72" s="1411"/>
      <c r="P72" s="214">
        <f>SUM(P70:P71)</f>
        <v>0</v>
      </c>
      <c r="Q72" s="255">
        <f>SUM(Q70:Q71)</f>
        <v>0</v>
      </c>
    </row>
    <row r="73" spans="1:19" ht="27" thickBot="1">
      <c r="B73" s="39"/>
      <c r="C73" s="976"/>
      <c r="D73" s="803"/>
      <c r="E73" s="804"/>
      <c r="F73" s="821"/>
      <c r="G73" s="868"/>
      <c r="H73" s="869"/>
      <c r="I73" s="789"/>
      <c r="J73" s="872"/>
      <c r="K73" s="364"/>
      <c r="L73" s="1397" t="s">
        <v>243</v>
      </c>
      <c r="M73" s="1398"/>
      <c r="N73" s="1398"/>
      <c r="O73" s="1399"/>
      <c r="P73" s="215">
        <f>$H$75-P72</f>
        <v>8.64</v>
      </c>
      <c r="Q73" s="202">
        <f>I75-Q72</f>
        <v>24</v>
      </c>
    </row>
    <row r="74" spans="1:19" ht="27" thickBot="1">
      <c r="B74" s="354"/>
      <c r="C74" s="976"/>
      <c r="D74" s="803"/>
      <c r="E74" s="804"/>
      <c r="F74" s="821"/>
      <c r="G74" s="868"/>
      <c r="H74" s="869"/>
      <c r="I74" s="789"/>
      <c r="J74" s="872"/>
      <c r="K74" s="364"/>
      <c r="L74" s="1396" t="s">
        <v>481</v>
      </c>
      <c r="M74" s="1396"/>
      <c r="N74" s="1396"/>
      <c r="O74" s="1396"/>
      <c r="P74" s="307"/>
    </row>
    <row r="75" spans="1:19" ht="27" thickBot="1">
      <c r="A75" s="259"/>
      <c r="B75" s="362"/>
      <c r="C75" s="772"/>
      <c r="D75" s="783"/>
      <c r="E75" s="614">
        <f>SUM(E71:E74)</f>
        <v>60</v>
      </c>
      <c r="F75" s="614">
        <f>SUM(F71:F74)</f>
        <v>120</v>
      </c>
      <c r="G75" s="784">
        <f>AVERAGE(G71:G74)</f>
        <v>0.36</v>
      </c>
      <c r="H75" s="785">
        <f>SUM(H71:H74)</f>
        <v>8.64</v>
      </c>
      <c r="I75" s="770">
        <f>SUM(I71:I74)</f>
        <v>24</v>
      </c>
      <c r="J75" s="439"/>
      <c r="K75" s="359" t="s">
        <v>834</v>
      </c>
      <c r="L75" s="385">
        <v>24</v>
      </c>
      <c r="M75" s="805" t="s">
        <v>484</v>
      </c>
      <c r="N75" s="1412"/>
      <c r="O75" s="1412"/>
      <c r="P75" s="1412"/>
      <c r="Q75" s="806"/>
    </row>
    <row r="76" spans="1:19" ht="25.8" thickBot="1">
      <c r="G76" s="1393" t="s">
        <v>476</v>
      </c>
      <c r="H76" s="1394"/>
      <c r="I76" s="1030">
        <f>I75</f>
        <v>24</v>
      </c>
      <c r="J76" s="1029" t="s">
        <v>487</v>
      </c>
      <c r="K76" s="1031">
        <f>I76/12</f>
        <v>2</v>
      </c>
      <c r="P76" s="38" t="s">
        <v>492</v>
      </c>
    </row>
    <row r="77" spans="1:19" ht="34.200000000000003" thickBot="1">
      <c r="A77" s="1007" t="s">
        <v>463</v>
      </c>
      <c r="B77" s="1008" t="s">
        <v>475</v>
      </c>
      <c r="C77" s="1009"/>
      <c r="D77" s="1009"/>
      <c r="E77" s="1015" t="s">
        <v>472</v>
      </c>
      <c r="F77" s="1015" t="s">
        <v>465</v>
      </c>
      <c r="G77" s="1010"/>
      <c r="H77" s="1011"/>
      <c r="I77" s="1012" t="s">
        <v>477</v>
      </c>
      <c r="J77" s="1024" t="s">
        <v>466</v>
      </c>
      <c r="K77" s="1025" t="s">
        <v>478</v>
      </c>
      <c r="L77" s="1414" t="s">
        <v>251</v>
      </c>
      <c r="M77" s="1415"/>
      <c r="N77" s="1415"/>
      <c r="O77" s="1416"/>
      <c r="P77" s="216">
        <v>0</v>
      </c>
      <c r="Q77" s="253">
        <f>P77/(G84)</f>
        <v>0</v>
      </c>
    </row>
    <row r="78" spans="1:19" ht="26.4">
      <c r="A78" s="11"/>
      <c r="B78" s="354" t="s">
        <v>469</v>
      </c>
      <c r="C78" s="976">
        <v>44963</v>
      </c>
      <c r="D78" s="803">
        <v>29935</v>
      </c>
      <c r="E78" s="804">
        <v>60</v>
      </c>
      <c r="F78" s="821">
        <f>E78*2</f>
        <v>120</v>
      </c>
      <c r="G78" s="868">
        <v>0.36</v>
      </c>
      <c r="H78" s="869">
        <f t="shared" ref="H78" si="25">I78*G78</f>
        <v>8.2799999999999994</v>
      </c>
      <c r="I78" s="789">
        <v>23</v>
      </c>
      <c r="J78" s="872">
        <v>46356</v>
      </c>
      <c r="K78" s="364">
        <v>23</v>
      </c>
      <c r="L78" s="1400" t="s">
        <v>252</v>
      </c>
      <c r="M78" s="1401"/>
      <c r="N78" s="1401"/>
      <c r="O78" s="1402"/>
      <c r="P78" s="217">
        <v>0</v>
      </c>
      <c r="Q78" s="254">
        <f>P78/(G84)</f>
        <v>0</v>
      </c>
    </row>
    <row r="79" spans="1:19" ht="27" thickBot="1">
      <c r="B79" s="360" t="s">
        <v>471</v>
      </c>
      <c r="C79" s="976"/>
      <c r="D79" s="803"/>
      <c r="E79" s="804"/>
      <c r="F79" s="821"/>
      <c r="G79" s="868"/>
      <c r="H79" s="869"/>
      <c r="I79" s="789"/>
      <c r="J79" s="870"/>
      <c r="K79" s="364"/>
      <c r="L79" s="1409" t="s">
        <v>242</v>
      </c>
      <c r="M79" s="1410"/>
      <c r="N79" s="1410"/>
      <c r="O79" s="1411"/>
      <c r="P79" s="214">
        <f>SUM(P77:P78)</f>
        <v>0</v>
      </c>
      <c r="Q79" s="255">
        <f>SUM(Q77:Q78)</f>
        <v>0</v>
      </c>
    </row>
    <row r="80" spans="1:19" ht="27" thickBot="1">
      <c r="B80" s="39"/>
      <c r="C80" s="976"/>
      <c r="D80" s="803"/>
      <c r="E80" s="804"/>
      <c r="F80" s="821"/>
      <c r="G80" s="868"/>
      <c r="H80" s="869"/>
      <c r="I80" s="789"/>
      <c r="J80" s="870"/>
      <c r="K80" s="364"/>
      <c r="L80" s="1397" t="s">
        <v>243</v>
      </c>
      <c r="M80" s="1398"/>
      <c r="N80" s="1398"/>
      <c r="O80" s="1399"/>
      <c r="P80" s="215">
        <f>$H$75-P79</f>
        <v>8.64</v>
      </c>
      <c r="Q80" s="202">
        <f>I84-Q79</f>
        <v>23</v>
      </c>
    </row>
    <row r="81" spans="1:17" ht="27" thickBot="1">
      <c r="B81" s="354"/>
      <c r="C81" s="976"/>
      <c r="D81" s="803"/>
      <c r="E81" s="804"/>
      <c r="F81" s="821"/>
      <c r="G81" s="868"/>
      <c r="H81" s="869"/>
      <c r="I81" s="789"/>
      <c r="J81" s="872"/>
      <c r="K81" s="364"/>
      <c r="L81" s="1396" t="s">
        <v>482</v>
      </c>
      <c r="M81" s="1396"/>
      <c r="N81" s="1396"/>
      <c r="O81" s="1396"/>
      <c r="P81" s="307"/>
    </row>
    <row r="82" spans="1:17" ht="26.4" hidden="1">
      <c r="B82" s="39"/>
      <c r="C82" s="976"/>
      <c r="D82" s="803"/>
      <c r="E82" s="804"/>
      <c r="F82" s="821"/>
      <c r="G82" s="868"/>
      <c r="H82" s="869"/>
      <c r="I82" s="789"/>
      <c r="J82" s="870"/>
      <c r="K82" s="364"/>
    </row>
    <row r="83" spans="1:17" ht="27" hidden="1" thickBot="1">
      <c r="B83" s="39"/>
      <c r="C83" s="818"/>
      <c r="D83" s="819"/>
      <c r="E83" s="820"/>
      <c r="F83" s="821"/>
      <c r="G83" s="822"/>
      <c r="H83" s="823"/>
      <c r="I83" s="798"/>
      <c r="J83" s="839"/>
      <c r="K83" s="444"/>
    </row>
    <row r="84" spans="1:17" ht="27" thickBot="1">
      <c r="A84" s="259"/>
      <c r="B84" s="362"/>
      <c r="C84" s="772"/>
      <c r="D84" s="783"/>
      <c r="E84" s="614">
        <f>SUM(E78:E83)</f>
        <v>60</v>
      </c>
      <c r="F84" s="614">
        <f>SUM(F78:F83)</f>
        <v>120</v>
      </c>
      <c r="G84" s="784">
        <f>AVERAGE(G78:G83)</f>
        <v>0.36</v>
      </c>
      <c r="H84" s="785">
        <f>SUM(H78:H83)</f>
        <v>8.2799999999999994</v>
      </c>
      <c r="I84" s="770">
        <f>SUM(I78:I83)</f>
        <v>23</v>
      </c>
      <c r="J84" s="439"/>
      <c r="K84" s="359" t="s">
        <v>834</v>
      </c>
      <c r="L84" s="385">
        <v>23</v>
      </c>
      <c r="M84" s="805" t="s">
        <v>484</v>
      </c>
      <c r="N84" s="1412"/>
      <c r="O84" s="1412"/>
      <c r="P84" s="1412"/>
      <c r="Q84" s="806"/>
    </row>
    <row r="85" spans="1:17" ht="25.2">
      <c r="G85" s="1393" t="s">
        <v>476</v>
      </c>
      <c r="H85" s="1394"/>
      <c r="I85" s="1030">
        <f>I84</f>
        <v>23</v>
      </c>
      <c r="J85" s="1029" t="s">
        <v>487</v>
      </c>
      <c r="K85" s="1031">
        <f>I85/12</f>
        <v>1.9166666666666667</v>
      </c>
    </row>
  </sheetData>
  <protectedRanges>
    <protectedRange sqref="A11:C11 A20:C20 A28:C28 A61:C61 L2:L5 L29:L32 L42:L45 L51:L54 L21:L24 L12:L15 A41:C41 L62:L65 L70:L73 L77:L80" name="Plage1_2_1"/>
  </protectedRanges>
  <mergeCells count="55">
    <mergeCell ref="L80:O80"/>
    <mergeCell ref="L81:O81"/>
    <mergeCell ref="N84:P84"/>
    <mergeCell ref="L77:O77"/>
    <mergeCell ref="L78:O78"/>
    <mergeCell ref="L79:O79"/>
    <mergeCell ref="L74:O74"/>
    <mergeCell ref="N75:P75"/>
    <mergeCell ref="L70:O70"/>
    <mergeCell ref="L71:O71"/>
    <mergeCell ref="L72:O72"/>
    <mergeCell ref="L73:O73"/>
    <mergeCell ref="T3:Y15"/>
    <mergeCell ref="L52:O52"/>
    <mergeCell ref="L6:O6"/>
    <mergeCell ref="L16:O16"/>
    <mergeCell ref="L25:O25"/>
    <mergeCell ref="L33:O33"/>
    <mergeCell ref="L46:O46"/>
    <mergeCell ref="L51:O51"/>
    <mergeCell ref="L32:O32"/>
    <mergeCell ref="L31:O31"/>
    <mergeCell ref="L30:O30"/>
    <mergeCell ref="L29:O29"/>
    <mergeCell ref="L42:O42"/>
    <mergeCell ref="S24:T24"/>
    <mergeCell ref="L1:Q1"/>
    <mergeCell ref="L24:O24"/>
    <mergeCell ref="L2:O2"/>
    <mergeCell ref="L3:O3"/>
    <mergeCell ref="L4:O4"/>
    <mergeCell ref="L5:O5"/>
    <mergeCell ref="L23:O23"/>
    <mergeCell ref="L12:O12"/>
    <mergeCell ref="L13:O13"/>
    <mergeCell ref="L14:O14"/>
    <mergeCell ref="L15:O15"/>
    <mergeCell ref="L21:O21"/>
    <mergeCell ref="L22:O22"/>
    <mergeCell ref="G85:H85"/>
    <mergeCell ref="G76:H76"/>
    <mergeCell ref="R33:U42"/>
    <mergeCell ref="L55:O55"/>
    <mergeCell ref="L54:O54"/>
    <mergeCell ref="L43:O43"/>
    <mergeCell ref="L44:O44"/>
    <mergeCell ref="L45:O45"/>
    <mergeCell ref="L53:O53"/>
    <mergeCell ref="N59:P59"/>
    <mergeCell ref="T55:T57"/>
    <mergeCell ref="L62:O62"/>
    <mergeCell ref="L63:O63"/>
    <mergeCell ref="L64:O64"/>
    <mergeCell ref="L65:O65"/>
    <mergeCell ref="L66:O66"/>
  </mergeCells>
  <pageMargins left="0.25" right="0.25" top="0.75" bottom="0.75" header="0.3" footer="0.3"/>
  <pageSetup paperSize="9" scale="78" fitToHeight="0" orientation="landscape" r:id="rId1"/>
  <headerFooter>
    <oddHeader>&amp;C&amp;F&amp;R&amp;A</oddHeader>
    <oddFooter>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63C2-D693-4A9C-A52B-42FDA21D7583}">
  <sheetPr codeName="Feuil7">
    <pageSetUpPr fitToPage="1"/>
  </sheetPr>
  <dimension ref="A1:AB73"/>
  <sheetViews>
    <sheetView showGridLines="0" topLeftCell="B1" zoomScale="85" zoomScaleNormal="85" workbookViewId="0">
      <pane ySplit="2" topLeftCell="A15" activePane="bottomLeft" state="frozen"/>
      <selection activeCell="H4" sqref="H4"/>
      <selection pane="bottomLeft" activeCell="H15" sqref="H15"/>
    </sheetView>
  </sheetViews>
  <sheetFormatPr defaultColWidth="11.44140625" defaultRowHeight="21"/>
  <cols>
    <col min="1" max="1" width="11.44140625" style="8"/>
    <col min="2" max="2" width="34.44140625" style="8" customWidth="1"/>
    <col min="3" max="3" width="10.6640625" style="453" customWidth="1"/>
    <col min="4" max="4" width="11.88671875" style="711" customWidth="1"/>
    <col min="5" max="5" width="18.109375" style="613" customWidth="1"/>
    <col min="6" max="6" width="11.44140625" style="758"/>
    <col min="7" max="7" width="11.44140625" style="763" customWidth="1"/>
    <col min="8" max="8" width="11.44140625" style="453"/>
    <col min="9" max="9" width="1.44140625" style="181" customWidth="1"/>
    <col min="10" max="10" width="13.33203125" style="8" customWidth="1"/>
    <col min="11" max="11" width="11.44140625" style="17"/>
    <col min="12" max="12" width="13.33203125" style="17" customWidth="1"/>
    <col min="13" max="14" width="38.5546875" style="17" customWidth="1"/>
    <col min="15" max="16" width="11.44140625" style="8"/>
    <col min="17" max="17" width="20.5546875" style="8" bestFit="1" customWidth="1"/>
    <col min="18" max="19" width="11.5546875" style="8" bestFit="1" customWidth="1"/>
    <col min="20" max="20" width="21.44140625" style="8" customWidth="1"/>
    <col min="21" max="21" width="12.109375" style="17" customWidth="1"/>
    <col min="22" max="22" width="11.44140625" style="8"/>
    <col min="23" max="23" width="15" style="8" customWidth="1"/>
    <col min="24" max="30" width="11.44140625" style="8"/>
    <col min="31" max="33" width="12.5546875" style="8" bestFit="1" customWidth="1"/>
    <col min="34" max="34" width="11.5546875" style="8" bestFit="1" customWidth="1"/>
    <col min="35" max="35" width="11.44140625" style="8"/>
    <col min="36" max="36" width="12.44140625" style="8" bestFit="1" customWidth="1"/>
    <col min="37" max="37" width="27.6640625" style="8" bestFit="1" customWidth="1"/>
    <col min="38" max="16384" width="11.44140625" style="8"/>
  </cols>
  <sheetData>
    <row r="1" spans="1:27" ht="37.5" customHeight="1">
      <c r="B1" s="1463" t="s">
        <v>16</v>
      </c>
      <c r="C1" s="1451" t="s">
        <v>8</v>
      </c>
      <c r="D1" s="1453" t="s">
        <v>11</v>
      </c>
      <c r="E1" s="1455" t="s">
        <v>1</v>
      </c>
      <c r="F1" s="1446" t="s">
        <v>9</v>
      </c>
      <c r="G1" s="1446" t="s">
        <v>241</v>
      </c>
      <c r="H1" s="1208" t="s">
        <v>223</v>
      </c>
      <c r="I1" s="175"/>
      <c r="J1" s="1443" t="s">
        <v>222</v>
      </c>
      <c r="K1" s="1444"/>
      <c r="L1" s="1445"/>
      <c r="M1" s="26"/>
      <c r="Q1" s="266"/>
    </row>
    <row r="2" spans="1:27" ht="68.25" customHeight="1" thickBot="1">
      <c r="A2" s="7" t="s">
        <v>0</v>
      </c>
      <c r="B2" s="1464"/>
      <c r="C2" s="1452"/>
      <c r="D2" s="1454"/>
      <c r="E2" s="1456"/>
      <c r="F2" s="1447"/>
      <c r="G2" s="1447"/>
      <c r="H2" s="1448"/>
      <c r="I2" s="176"/>
      <c r="J2" s="21" t="s">
        <v>221</v>
      </c>
      <c r="K2" s="21" t="s">
        <v>13</v>
      </c>
      <c r="L2" s="21" t="s">
        <v>17</v>
      </c>
      <c r="M2" s="21" t="s">
        <v>14</v>
      </c>
      <c r="N2" s="1056"/>
    </row>
    <row r="3" spans="1:27" ht="28.5" customHeight="1" thickBot="1">
      <c r="A3" s="9">
        <v>220</v>
      </c>
      <c r="B3" s="10" t="s">
        <v>256</v>
      </c>
      <c r="C3" s="705"/>
      <c r="D3" s="1471"/>
      <c r="E3" s="1472"/>
      <c r="F3" s="706"/>
      <c r="G3" s="706" t="s">
        <v>179</v>
      </c>
      <c r="H3" s="707"/>
      <c r="I3" s="177"/>
      <c r="J3" s="247"/>
      <c r="K3" s="248">
        <v>30</v>
      </c>
      <c r="L3" s="249" t="s">
        <v>39</v>
      </c>
      <c r="M3" s="250"/>
      <c r="Q3" s="1457" t="s">
        <v>258</v>
      </c>
      <c r="R3" s="1458"/>
      <c r="S3" s="1458"/>
      <c r="T3" s="1458"/>
      <c r="U3" s="1458"/>
      <c r="V3" s="1458"/>
      <c r="W3" s="1458"/>
      <c r="X3" s="1459"/>
    </row>
    <row r="4" spans="1:27" ht="25.5" hidden="1" customHeight="1">
      <c r="A4" s="11">
        <v>2201</v>
      </c>
      <c r="B4" s="1465" t="s">
        <v>314</v>
      </c>
      <c r="C4" s="832"/>
      <c r="D4" s="833"/>
      <c r="E4" s="708"/>
      <c r="F4" s="593"/>
      <c r="G4" s="732">
        <f t="shared" ref="G4:G5" si="0">J4*0.4</f>
        <v>0</v>
      </c>
      <c r="H4" s="733">
        <f t="shared" ref="H4:H5" si="1">G4/0.4</f>
        <v>0</v>
      </c>
      <c r="I4" s="178"/>
      <c r="J4" s="23">
        <f t="shared" ref="J4:J10" si="2">(K4*$K$3)+L4</f>
        <v>0</v>
      </c>
      <c r="K4" s="24"/>
      <c r="L4" s="24"/>
      <c r="M4" s="24">
        <v>0</v>
      </c>
      <c r="Q4" s="1460"/>
      <c r="R4" s="1461"/>
      <c r="S4" s="1461"/>
      <c r="T4" s="1461"/>
      <c r="U4" s="1461"/>
      <c r="V4" s="1461"/>
      <c r="W4" s="1461"/>
      <c r="X4" s="1462"/>
    </row>
    <row r="5" spans="1:27" ht="25.5" hidden="1" customHeight="1">
      <c r="A5" s="11">
        <v>2202</v>
      </c>
      <c r="B5" s="1461"/>
      <c r="C5" s="832"/>
      <c r="D5" s="833"/>
      <c r="E5" s="708"/>
      <c r="F5" s="593"/>
      <c r="G5" s="732">
        <f t="shared" si="0"/>
        <v>0</v>
      </c>
      <c r="H5" s="733">
        <f t="shared" si="1"/>
        <v>0</v>
      </c>
      <c r="I5" s="178"/>
      <c r="J5" s="23">
        <f t="shared" si="2"/>
        <v>0</v>
      </c>
      <c r="K5" s="24"/>
      <c r="L5" s="24"/>
      <c r="M5" s="24">
        <v>0</v>
      </c>
      <c r="Q5" s="1460"/>
      <c r="R5" s="1461"/>
      <c r="S5" s="1461"/>
      <c r="T5" s="1461"/>
      <c r="U5" s="1461"/>
      <c r="V5" s="1461"/>
      <c r="W5" s="1461"/>
      <c r="X5" s="1462"/>
    </row>
    <row r="6" spans="1:27" ht="25.5" hidden="1" customHeight="1">
      <c r="A6" s="11" t="s">
        <v>182</v>
      </c>
      <c r="B6" s="1466"/>
      <c r="C6" s="832"/>
      <c r="D6" s="833"/>
      <c r="E6" s="708"/>
      <c r="F6" s="593"/>
      <c r="G6" s="732">
        <f t="shared" ref="G6:G10" si="3">J6*0.4</f>
        <v>0</v>
      </c>
      <c r="H6" s="733">
        <f t="shared" ref="H6:H10" si="4">G6/0.4</f>
        <v>0</v>
      </c>
      <c r="I6" s="178"/>
      <c r="J6" s="23">
        <f t="shared" si="2"/>
        <v>0</v>
      </c>
      <c r="K6" s="24"/>
      <c r="L6" s="24"/>
      <c r="M6" s="24">
        <v>0</v>
      </c>
      <c r="Q6" s="1460"/>
      <c r="R6" s="1461"/>
      <c r="S6" s="1461"/>
      <c r="T6" s="1461"/>
      <c r="U6" s="1461"/>
      <c r="V6" s="1461"/>
      <c r="W6" s="1461"/>
      <c r="X6" s="1462"/>
    </row>
    <row r="7" spans="1:27" ht="25.5" hidden="1" customHeight="1">
      <c r="A7" s="11" t="s">
        <v>183</v>
      </c>
      <c r="B7" s="13"/>
      <c r="C7" s="832"/>
      <c r="D7" s="833"/>
      <c r="E7" s="708"/>
      <c r="F7" s="593"/>
      <c r="G7" s="732">
        <f t="shared" si="3"/>
        <v>0</v>
      </c>
      <c r="H7" s="733">
        <f t="shared" si="4"/>
        <v>0</v>
      </c>
      <c r="I7" s="178"/>
      <c r="J7" s="23">
        <f t="shared" si="2"/>
        <v>0</v>
      </c>
      <c r="K7" s="24"/>
      <c r="L7" s="24"/>
      <c r="M7" s="24"/>
      <c r="Q7" s="1460"/>
      <c r="R7" s="1461"/>
      <c r="S7" s="1461"/>
      <c r="T7" s="1461"/>
      <c r="U7" s="1461"/>
      <c r="V7" s="1461"/>
      <c r="W7" s="1461"/>
      <c r="X7" s="1462"/>
    </row>
    <row r="8" spans="1:27" ht="25.5" hidden="1" customHeight="1">
      <c r="A8" s="11" t="s">
        <v>184</v>
      </c>
      <c r="B8" s="13"/>
      <c r="C8" s="832"/>
      <c r="D8" s="833"/>
      <c r="E8" s="708"/>
      <c r="F8" s="593"/>
      <c r="G8" s="732">
        <f t="shared" si="3"/>
        <v>0</v>
      </c>
      <c r="H8" s="733">
        <f t="shared" si="4"/>
        <v>0</v>
      </c>
      <c r="I8" s="178"/>
      <c r="J8" s="23">
        <f t="shared" si="2"/>
        <v>0</v>
      </c>
      <c r="K8" s="24"/>
      <c r="L8" s="24"/>
      <c r="M8" s="24"/>
      <c r="Q8" s="1460"/>
      <c r="R8" s="1461"/>
      <c r="S8" s="1461"/>
      <c r="T8" s="1461"/>
      <c r="U8" s="1461"/>
      <c r="V8" s="1461"/>
      <c r="W8" s="1461"/>
      <c r="X8" s="1462"/>
    </row>
    <row r="9" spans="1:27" ht="25.5" hidden="1" customHeight="1" thickBot="1">
      <c r="A9" s="11" t="s">
        <v>185</v>
      </c>
      <c r="B9" s="816"/>
      <c r="C9" s="832"/>
      <c r="D9" s="833"/>
      <c r="E9" s="708"/>
      <c r="F9" s="593"/>
      <c r="G9" s="732">
        <f t="shared" si="3"/>
        <v>0</v>
      </c>
      <c r="H9" s="733">
        <f t="shared" si="4"/>
        <v>0</v>
      </c>
      <c r="I9" s="178"/>
      <c r="J9" s="23">
        <f t="shared" si="2"/>
        <v>0</v>
      </c>
      <c r="K9" s="24"/>
      <c r="L9" s="24"/>
      <c r="M9" s="24"/>
      <c r="N9" s="14"/>
      <c r="O9" s="46"/>
      <c r="Q9" s="829"/>
      <c r="R9" s="830"/>
      <c r="S9" s="830"/>
      <c r="T9" s="830"/>
      <c r="U9" s="830"/>
      <c r="V9" s="830"/>
      <c r="W9" s="830"/>
      <c r="X9" s="831"/>
    </row>
    <row r="10" spans="1:27" ht="25.5" hidden="1" customHeight="1">
      <c r="A10" s="11"/>
      <c r="B10" s="816"/>
      <c r="C10" s="832"/>
      <c r="D10" s="833"/>
      <c r="E10" s="708"/>
      <c r="F10" s="593"/>
      <c r="G10" s="732">
        <f t="shared" si="3"/>
        <v>0</v>
      </c>
      <c r="H10" s="733">
        <f t="shared" si="4"/>
        <v>0</v>
      </c>
      <c r="I10" s="178"/>
      <c r="J10" s="23">
        <f t="shared" si="2"/>
        <v>0</v>
      </c>
      <c r="K10" s="24"/>
      <c r="L10" s="24"/>
      <c r="M10" s="24"/>
      <c r="O10" s="150"/>
      <c r="Q10" s="871"/>
      <c r="R10" s="871"/>
      <c r="S10" s="871"/>
      <c r="T10" s="871"/>
      <c r="U10" s="871"/>
      <c r="V10" s="871"/>
      <c r="W10" s="871"/>
      <c r="X10" s="871"/>
    </row>
    <row r="11" spans="1:27" ht="25.5" hidden="1" customHeight="1">
      <c r="A11" s="11"/>
      <c r="B11" s="816"/>
      <c r="C11" s="832"/>
      <c r="D11" s="833"/>
      <c r="E11" s="708"/>
      <c r="F11" s="593"/>
      <c r="G11" s="732">
        <f t="shared" ref="G11" si="5">J11*0.4</f>
        <v>0</v>
      </c>
      <c r="H11" s="733">
        <f t="shared" ref="H11" si="6">G11/0.4</f>
        <v>0</v>
      </c>
      <c r="I11" s="178"/>
      <c r="J11" s="23">
        <f t="shared" ref="J11" si="7">(K11*$K$3)+L11</f>
        <v>0</v>
      </c>
      <c r="K11" s="24"/>
      <c r="L11" s="24"/>
      <c r="M11" s="24"/>
      <c r="O11" s="150"/>
      <c r="Q11" s="871"/>
      <c r="R11" s="871"/>
      <c r="S11" s="871"/>
      <c r="T11" s="871"/>
      <c r="U11" s="871"/>
      <c r="V11" s="871"/>
      <c r="W11" s="871"/>
      <c r="X11" s="871"/>
    </row>
    <row r="12" spans="1:27" ht="25.5" hidden="1" customHeight="1">
      <c r="A12" s="11" t="s">
        <v>186</v>
      </c>
      <c r="B12" s="13"/>
      <c r="C12" s="832"/>
      <c r="D12" s="833"/>
      <c r="E12" s="708"/>
      <c r="F12" s="593"/>
      <c r="G12" s="732">
        <f t="shared" ref="G12" si="8">J12*0.4</f>
        <v>0</v>
      </c>
      <c r="H12" s="733">
        <f t="shared" ref="H12" si="9">G12/0.4</f>
        <v>0</v>
      </c>
      <c r="I12" s="178"/>
      <c r="J12" s="23">
        <f t="shared" ref="J12" si="10">(K12*$K$3)+L12</f>
        <v>0</v>
      </c>
      <c r="K12" s="24"/>
      <c r="L12" s="24"/>
      <c r="M12" s="24"/>
      <c r="Q12" s="266"/>
      <c r="R12" s="266"/>
      <c r="S12" s="266"/>
      <c r="T12" s="266"/>
      <c r="U12" s="325"/>
      <c r="V12" s="266"/>
      <c r="W12" s="160"/>
    </row>
    <row r="13" spans="1:27" ht="25.5" hidden="1" customHeight="1">
      <c r="A13" s="11" t="s">
        <v>187</v>
      </c>
      <c r="B13" s="13"/>
      <c r="C13" s="832"/>
      <c r="D13" s="833"/>
      <c r="E13" s="708"/>
      <c r="F13" s="593"/>
      <c r="G13" s="732">
        <f t="shared" ref="G13" si="11">J13*0.4</f>
        <v>0</v>
      </c>
      <c r="H13" s="733">
        <f t="shared" ref="H13" si="12">G13/0.4</f>
        <v>0</v>
      </c>
      <c r="I13" s="178"/>
      <c r="J13" s="23">
        <f t="shared" ref="J13" si="13">(K13*$K$3)+L13</f>
        <v>0</v>
      </c>
      <c r="K13" s="24"/>
      <c r="L13" s="24"/>
      <c r="M13" s="24"/>
      <c r="Q13" s="919"/>
      <c r="R13" s="266"/>
      <c r="S13" s="266"/>
      <c r="T13" s="266"/>
      <c r="U13" s="325"/>
      <c r="V13" s="266"/>
      <c r="W13" s="160"/>
    </row>
    <row r="14" spans="1:27" ht="25.5" hidden="1" customHeight="1" thickBot="1">
      <c r="A14" s="11"/>
      <c r="B14" s="13"/>
      <c r="C14" s="832"/>
      <c r="D14" s="833"/>
      <c r="E14" s="708"/>
      <c r="F14" s="593"/>
      <c r="G14" s="732">
        <f t="shared" ref="G14" si="14">J14*0.4</f>
        <v>0</v>
      </c>
      <c r="H14" s="733">
        <f t="shared" ref="H14" si="15">G14/0.4</f>
        <v>0</v>
      </c>
      <c r="I14" s="178"/>
      <c r="J14" s="23">
        <f t="shared" ref="J14" si="16">(K14*$K$3)+L14</f>
        <v>0</v>
      </c>
      <c r="K14" s="24"/>
      <c r="L14" s="24"/>
      <c r="M14" s="24"/>
      <c r="Q14" s="266"/>
      <c r="R14" s="266"/>
      <c r="S14" s="266"/>
      <c r="T14" s="266"/>
      <c r="U14" s="325"/>
      <c r="V14" s="266"/>
      <c r="W14" s="160"/>
    </row>
    <row r="15" spans="1:27" ht="25.5" customHeight="1" thickBot="1">
      <c r="A15" s="11"/>
      <c r="B15" s="13"/>
      <c r="C15" s="832"/>
      <c r="D15" s="833"/>
      <c r="E15" s="708"/>
      <c r="F15" s="593"/>
      <c r="G15" s="732">
        <f t="shared" ref="G15:G16" si="17">J15*0.4</f>
        <v>0</v>
      </c>
      <c r="H15" s="733">
        <f t="shared" ref="H15:H16" si="18">G15/0.4</f>
        <v>0</v>
      </c>
      <c r="I15" s="178"/>
      <c r="J15" s="23">
        <f t="shared" ref="J15:J16" si="19">(K15*$K$3)+L15</f>
        <v>0</v>
      </c>
      <c r="K15" s="24"/>
      <c r="L15" s="24"/>
      <c r="M15" s="24"/>
      <c r="O15" s="1449" t="s">
        <v>316</v>
      </c>
      <c r="P15" s="1449"/>
      <c r="Q15" s="1450"/>
      <c r="R15" s="275" t="s">
        <v>259</v>
      </c>
      <c r="S15" s="276" t="s">
        <v>260</v>
      </c>
      <c r="T15" s="323" t="s">
        <v>274</v>
      </c>
      <c r="U15" s="323" t="s">
        <v>273</v>
      </c>
      <c r="V15" s="301"/>
      <c r="W15" s="302"/>
      <c r="X15" s="1"/>
      <c r="Y15" s="1"/>
      <c r="Z15" s="1"/>
      <c r="AA15" s="1"/>
    </row>
    <row r="16" spans="1:27" ht="25.5" customHeight="1">
      <c r="B16" s="13"/>
      <c r="C16" s="832"/>
      <c r="D16" s="833"/>
      <c r="E16" s="708"/>
      <c r="F16" s="593"/>
      <c r="G16" s="732">
        <f t="shared" si="17"/>
        <v>0</v>
      </c>
      <c r="H16" s="733">
        <f t="shared" si="18"/>
        <v>0</v>
      </c>
      <c r="I16" s="178"/>
      <c r="J16" s="23">
        <f t="shared" si="19"/>
        <v>0</v>
      </c>
      <c r="K16" s="24"/>
      <c r="L16" s="24"/>
      <c r="M16" s="24"/>
      <c r="N16" s="1136"/>
      <c r="O16" s="1190" t="s">
        <v>246</v>
      </c>
      <c r="P16" s="1191"/>
      <c r="Q16" s="1192"/>
      <c r="R16" s="274"/>
      <c r="S16" s="268">
        <f>R16/0.4</f>
        <v>0</v>
      </c>
      <c r="T16" s="324"/>
      <c r="U16" s="323"/>
      <c r="V16" s="301"/>
      <c r="W16" s="302"/>
      <c r="X16" s="1"/>
      <c r="Y16" s="1"/>
      <c r="Z16" s="1"/>
      <c r="AA16" s="1"/>
    </row>
    <row r="17" spans="1:27" ht="22.5" customHeight="1" thickBot="1">
      <c r="B17" s="40"/>
      <c r="C17" s="834"/>
      <c r="D17" s="835"/>
      <c r="E17" s="709"/>
      <c r="F17" s="736"/>
      <c r="G17" s="737">
        <f t="shared" ref="G17" si="20">J17*0.4</f>
        <v>0</v>
      </c>
      <c r="H17" s="738">
        <f t="shared" ref="H17:H25" si="21">G17/0.4</f>
        <v>0</v>
      </c>
      <c r="I17" s="178"/>
      <c r="J17" s="204">
        <f t="shared" ref="J17:J22" si="22">(K17*$K$3)+L17</f>
        <v>0</v>
      </c>
      <c r="K17" s="205"/>
      <c r="L17" s="205"/>
      <c r="M17" s="909"/>
      <c r="N17" s="1137"/>
      <c r="O17" s="1258" t="s">
        <v>247</v>
      </c>
      <c r="P17" s="1259"/>
      <c r="Q17" s="1260"/>
      <c r="R17" s="158"/>
      <c r="S17" s="268">
        <f>R17/0.4</f>
        <v>0</v>
      </c>
      <c r="T17" s="324"/>
      <c r="U17" s="323"/>
      <c r="V17" s="301"/>
      <c r="W17" s="302"/>
      <c r="X17" s="1"/>
      <c r="Y17" s="1"/>
      <c r="Z17" s="1"/>
      <c r="AA17" s="1"/>
    </row>
    <row r="18" spans="1:27" ht="22.5" customHeight="1" thickBot="1">
      <c r="A18" s="892" t="s">
        <v>255</v>
      </c>
      <c r="B18" s="893"/>
      <c r="C18" s="739" t="s">
        <v>785</v>
      </c>
      <c r="D18" s="740" t="s">
        <v>217</v>
      </c>
      <c r="E18" s="710" t="s">
        <v>786</v>
      </c>
      <c r="F18" s="743">
        <v>75</v>
      </c>
      <c r="G18" s="741">
        <f>H18*0.4</f>
        <v>1.6</v>
      </c>
      <c r="H18" s="742">
        <v>4</v>
      </c>
      <c r="I18" s="178"/>
      <c r="J18" s="23">
        <f t="shared" si="22"/>
        <v>185</v>
      </c>
      <c r="K18" s="24">
        <v>6</v>
      </c>
      <c r="L18" s="24">
        <v>5</v>
      </c>
      <c r="M18" s="24">
        <v>67</v>
      </c>
      <c r="N18" s="1149">
        <v>45198</v>
      </c>
      <c r="O18" s="1258" t="s">
        <v>248</v>
      </c>
      <c r="P18" s="1259"/>
      <c r="Q18" s="1260"/>
      <c r="R18" s="366"/>
      <c r="S18" s="268">
        <f>R18/0.4</f>
        <v>0</v>
      </c>
      <c r="T18" s="1441"/>
      <c r="U18" s="1442"/>
      <c r="V18" s="301"/>
      <c r="W18" s="1"/>
      <c r="X18" s="1"/>
      <c r="Y18" s="1"/>
      <c r="Z18" s="1"/>
      <c r="AA18" s="1"/>
    </row>
    <row r="19" spans="1:27" ht="22.5" customHeight="1">
      <c r="A19" s="11"/>
      <c r="B19" s="12"/>
      <c r="C19" s="739" t="s">
        <v>785</v>
      </c>
      <c r="D19" s="740" t="s">
        <v>217</v>
      </c>
      <c r="E19" s="710" t="s">
        <v>801</v>
      </c>
      <c r="F19" s="743">
        <v>75</v>
      </c>
      <c r="G19" s="741">
        <f>186*0.4</f>
        <v>74.400000000000006</v>
      </c>
      <c r="H19" s="742">
        <f t="shared" si="21"/>
        <v>186</v>
      </c>
      <c r="I19" s="178"/>
      <c r="J19" s="23">
        <f t="shared" si="22"/>
        <v>184</v>
      </c>
      <c r="K19" s="24">
        <v>6</v>
      </c>
      <c r="L19" s="24">
        <v>4</v>
      </c>
      <c r="M19" s="24">
        <v>186</v>
      </c>
      <c r="N19" s="1149">
        <v>45205</v>
      </c>
      <c r="O19" s="1258" t="s">
        <v>249</v>
      </c>
      <c r="P19" s="1259"/>
      <c r="Q19" s="1260"/>
      <c r="R19" s="158">
        <v>20.12</v>
      </c>
      <c r="S19" s="268">
        <f t="shared" ref="S19:S20" si="23">R19/0.4</f>
        <v>50.3</v>
      </c>
      <c r="T19" s="324"/>
      <c r="U19" s="323"/>
      <c r="V19" s="301"/>
      <c r="W19" s="1"/>
      <c r="X19" s="1"/>
      <c r="Y19" s="1"/>
      <c r="Z19" s="1"/>
      <c r="AA19" s="1"/>
    </row>
    <row r="20" spans="1:27" ht="21.75" customHeight="1">
      <c r="A20" s="11"/>
      <c r="B20" s="13"/>
      <c r="C20" s="739"/>
      <c r="D20" s="740"/>
      <c r="E20" s="710"/>
      <c r="F20" s="743"/>
      <c r="G20" s="741">
        <f t="shared" ref="G20:G22" si="24">J20*0.4</f>
        <v>0</v>
      </c>
      <c r="H20" s="742">
        <f t="shared" si="21"/>
        <v>0</v>
      </c>
      <c r="I20" s="178"/>
      <c r="J20" s="23">
        <f t="shared" si="22"/>
        <v>0</v>
      </c>
      <c r="K20" s="24"/>
      <c r="L20" s="24"/>
      <c r="M20" s="24"/>
      <c r="N20" s="1136"/>
      <c r="O20" s="1258" t="s">
        <v>250</v>
      </c>
      <c r="P20" s="1259"/>
      <c r="Q20" s="1260"/>
      <c r="R20" s="158">
        <v>4.8</v>
      </c>
      <c r="S20" s="268">
        <f t="shared" si="23"/>
        <v>11.999999999999998</v>
      </c>
      <c r="T20" s="1441"/>
      <c r="U20" s="1442"/>
      <c r="V20" s="301"/>
      <c r="W20" s="1"/>
      <c r="X20" s="1"/>
      <c r="Y20" s="1"/>
      <c r="Z20" s="1"/>
      <c r="AA20" s="1"/>
    </row>
    <row r="21" spans="1:27" ht="21.75" customHeight="1">
      <c r="A21" s="11"/>
      <c r="B21" s="13"/>
      <c r="C21" s="739"/>
      <c r="D21" s="740"/>
      <c r="E21" s="710"/>
      <c r="F21" s="743"/>
      <c r="G21" s="741">
        <f t="shared" si="24"/>
        <v>0</v>
      </c>
      <c r="H21" s="742">
        <f t="shared" si="21"/>
        <v>0</v>
      </c>
      <c r="I21" s="178"/>
      <c r="J21" s="23">
        <f t="shared" si="22"/>
        <v>0</v>
      </c>
      <c r="K21" s="24"/>
      <c r="L21" s="24"/>
      <c r="M21" s="24"/>
      <c r="O21" s="889"/>
      <c r="P21" s="890"/>
      <c r="Q21" s="891"/>
      <c r="R21" s="158"/>
      <c r="S21" s="268"/>
      <c r="T21" s="888"/>
      <c r="U21" s="888"/>
      <c r="V21" s="301"/>
      <c r="W21" s="1"/>
      <c r="X21" s="1"/>
      <c r="Y21" s="1"/>
      <c r="Z21" s="1"/>
      <c r="AA21" s="1"/>
    </row>
    <row r="22" spans="1:27" ht="21.75" customHeight="1">
      <c r="A22" s="11"/>
      <c r="B22" s="13"/>
      <c r="C22" s="739"/>
      <c r="D22" s="740"/>
      <c r="E22" s="710"/>
      <c r="F22" s="743"/>
      <c r="G22" s="741">
        <f t="shared" si="24"/>
        <v>0</v>
      </c>
      <c r="H22" s="742">
        <f t="shared" si="21"/>
        <v>0</v>
      </c>
      <c r="I22" s="178"/>
      <c r="J22" s="23">
        <f t="shared" si="22"/>
        <v>0</v>
      </c>
      <c r="K22" s="24"/>
      <c r="L22" s="24"/>
      <c r="M22" s="24"/>
      <c r="N22" s="1136"/>
      <c r="O22" s="889"/>
      <c r="P22" s="890"/>
      <c r="Q22" s="891"/>
      <c r="R22" s="158"/>
      <c r="S22" s="268"/>
      <c r="T22" s="888"/>
      <c r="U22" s="888"/>
      <c r="V22" s="301"/>
      <c r="W22" s="1"/>
      <c r="X22" s="1"/>
      <c r="Y22" s="1"/>
      <c r="Z22" s="1"/>
      <c r="AA22" s="1"/>
    </row>
    <row r="23" spans="1:27" ht="21.75" customHeight="1">
      <c r="A23" s="11"/>
      <c r="B23" s="13"/>
      <c r="C23" s="739"/>
      <c r="D23" s="740"/>
      <c r="E23" s="710"/>
      <c r="F23" s="743"/>
      <c r="G23" s="741">
        <f t="shared" ref="G23:G24" si="25">J23*0.4</f>
        <v>0</v>
      </c>
      <c r="H23" s="742">
        <f t="shared" ref="H23:H24" si="26">G23/0.4</f>
        <v>0</v>
      </c>
      <c r="I23" s="178"/>
      <c r="J23" s="23">
        <f t="shared" ref="J23:J24" si="27">(K23*$K$3)+L23</f>
        <v>0</v>
      </c>
      <c r="K23" s="24"/>
      <c r="L23" s="24"/>
      <c r="M23" s="24"/>
      <c r="N23" s="1136"/>
      <c r="O23" s="889"/>
      <c r="P23" s="890"/>
      <c r="Q23" s="891"/>
      <c r="R23" s="158"/>
      <c r="S23" s="268"/>
      <c r="T23" s="888"/>
      <c r="U23" s="888"/>
      <c r="V23" s="301"/>
      <c r="W23" s="1"/>
      <c r="X23" s="1"/>
      <c r="Y23" s="1"/>
      <c r="Z23" s="1"/>
      <c r="AA23" s="1"/>
    </row>
    <row r="24" spans="1:27" ht="21.75" customHeight="1">
      <c r="A24" s="11"/>
      <c r="B24" s="13"/>
      <c r="C24" s="739"/>
      <c r="D24" s="740"/>
      <c r="E24" s="710"/>
      <c r="F24" s="743"/>
      <c r="G24" s="741">
        <f t="shared" si="25"/>
        <v>0</v>
      </c>
      <c r="H24" s="742">
        <f t="shared" si="26"/>
        <v>0</v>
      </c>
      <c r="I24" s="178"/>
      <c r="J24" s="23">
        <f t="shared" si="27"/>
        <v>0</v>
      </c>
      <c r="K24" s="24"/>
      <c r="L24" s="24"/>
      <c r="M24" s="24"/>
      <c r="O24" s="889"/>
      <c r="P24" s="890"/>
      <c r="Q24" s="891"/>
      <c r="R24" s="158"/>
      <c r="S24" s="268"/>
      <c r="T24" s="888"/>
      <c r="U24" s="888"/>
      <c r="V24" s="301"/>
      <c r="W24" s="1"/>
      <c r="X24" s="1"/>
      <c r="Y24" s="1"/>
      <c r="Z24" s="1"/>
      <c r="AA24" s="1"/>
    </row>
    <row r="25" spans="1:27" ht="21.75" customHeight="1">
      <c r="A25" s="11"/>
      <c r="B25" s="13"/>
      <c r="C25" s="739"/>
      <c r="D25" s="740"/>
      <c r="E25" s="710"/>
      <c r="F25" s="743"/>
      <c r="G25" s="741">
        <f t="shared" ref="G25" si="28">J25*0.4</f>
        <v>0</v>
      </c>
      <c r="H25" s="742">
        <f t="shared" si="21"/>
        <v>0</v>
      </c>
      <c r="I25" s="178"/>
      <c r="J25" s="23">
        <f t="shared" ref="J25" si="29">(K25*$K$3)+L25</f>
        <v>0</v>
      </c>
      <c r="K25" s="24"/>
      <c r="L25" s="24"/>
      <c r="M25" s="24"/>
      <c r="O25" s="889"/>
      <c r="P25" s="890"/>
      <c r="Q25" s="891"/>
      <c r="R25" s="158"/>
      <c r="S25" s="268"/>
      <c r="T25" s="888"/>
      <c r="U25" s="888"/>
      <c r="V25" s="301"/>
      <c r="W25" s="1"/>
      <c r="X25" s="1"/>
      <c r="Y25" s="1"/>
      <c r="Z25" s="1"/>
      <c r="AA25" s="1"/>
    </row>
    <row r="26" spans="1:27" ht="21.75" customHeight="1">
      <c r="A26" s="11"/>
      <c r="B26" s="13"/>
      <c r="C26" s="739"/>
      <c r="D26" s="740"/>
      <c r="E26" s="710"/>
      <c r="F26" s="743"/>
      <c r="G26" s="741">
        <f t="shared" ref="G26:G27" si="30">J26*0.4</f>
        <v>0</v>
      </c>
      <c r="H26" s="742">
        <f t="shared" ref="H26" si="31">G26/0.4</f>
        <v>0</v>
      </c>
      <c r="I26" s="178"/>
      <c r="J26" s="23">
        <f t="shared" ref="J26" si="32">(K26*$K$3)+L26</f>
        <v>0</v>
      </c>
      <c r="K26" s="24"/>
      <c r="L26" s="24"/>
      <c r="M26" s="24"/>
      <c r="O26" s="889"/>
      <c r="P26" s="890"/>
      <c r="Q26" s="891"/>
      <c r="R26" s="158"/>
      <c r="S26" s="268"/>
      <c r="T26" s="888"/>
      <c r="U26" s="888"/>
      <c r="V26" s="301"/>
      <c r="W26" s="1"/>
      <c r="X26" s="1"/>
      <c r="Y26" s="1"/>
      <c r="Z26" s="1"/>
      <c r="AA26" s="1"/>
    </row>
    <row r="27" spans="1:27" ht="22.5" customHeight="1" thickBot="1">
      <c r="A27" s="11"/>
      <c r="B27" s="13"/>
      <c r="C27" s="739"/>
      <c r="D27" s="740"/>
      <c r="E27" s="710"/>
      <c r="F27" s="743"/>
      <c r="G27" s="741">
        <f t="shared" si="30"/>
        <v>0</v>
      </c>
      <c r="H27" s="742">
        <f t="shared" ref="H27" si="33">G27/0.4</f>
        <v>0</v>
      </c>
      <c r="I27" s="178"/>
      <c r="J27" s="23">
        <f t="shared" ref="J27" si="34">(K27*$K$3)+L27</f>
        <v>0</v>
      </c>
      <c r="K27" s="24"/>
      <c r="L27" s="24"/>
      <c r="M27" s="24"/>
      <c r="O27" s="1187" t="s">
        <v>242</v>
      </c>
      <c r="P27" s="1188"/>
      <c r="Q27" s="1189"/>
      <c r="R27" s="221">
        <f>SUM(R16:R24)</f>
        <v>24.92</v>
      </c>
      <c r="S27" s="376">
        <f>SUM(S16:S20)</f>
        <v>62.3</v>
      </c>
      <c r="T27" s="324"/>
      <c r="U27" s="323"/>
      <c r="V27" s="301"/>
      <c r="W27" s="1"/>
      <c r="X27" s="1"/>
      <c r="Y27" s="1"/>
      <c r="Z27" s="1"/>
      <c r="AA27" s="1"/>
    </row>
    <row r="28" spans="1:27" s="117" customFormat="1" ht="38.25" customHeight="1" thickBot="1">
      <c r="A28" s="11"/>
      <c r="B28" s="269"/>
      <c r="C28" s="453"/>
      <c r="D28" s="711"/>
      <c r="E28" s="613"/>
      <c r="F28" s="712"/>
      <c r="G28" s="713">
        <f>SUM(G4:G27)</f>
        <v>76</v>
      </c>
      <c r="H28" s="714">
        <f>SUM(H4:H27)</f>
        <v>190</v>
      </c>
      <c r="I28" s="270"/>
      <c r="J28" s="60"/>
      <c r="K28" s="64">
        <f>253-190</f>
        <v>63</v>
      </c>
      <c r="L28" s="64"/>
      <c r="M28" s="64"/>
      <c r="N28" s="64"/>
      <c r="O28" s="1175" t="s">
        <v>243</v>
      </c>
      <c r="P28" s="1176"/>
      <c r="Q28" s="1177"/>
      <c r="R28" s="222">
        <f>$G$28-R27</f>
        <v>51.08</v>
      </c>
      <c r="S28" s="157">
        <f>H28-S27</f>
        <v>127.7</v>
      </c>
      <c r="T28" s="873" t="s">
        <v>834</v>
      </c>
      <c r="U28" s="873">
        <v>253</v>
      </c>
      <c r="V28" s="1437"/>
      <c r="W28" s="1437"/>
      <c r="X28" s="1437"/>
      <c r="Y28" s="1437"/>
      <c r="Z28" s="303"/>
      <c r="AA28" s="303"/>
    </row>
    <row r="29" spans="1:27" s="117" customFormat="1" ht="38.25" customHeight="1" thickBot="1">
      <c r="A29" s="11"/>
      <c r="C29" s="453"/>
      <c r="D29" s="711"/>
      <c r="E29" s="613"/>
      <c r="F29" s="459"/>
      <c r="G29" s="945"/>
      <c r="H29" s="946"/>
      <c r="I29" s="947"/>
      <c r="J29" s="948"/>
      <c r="K29" s="64"/>
      <c r="L29" s="64"/>
      <c r="M29" s="64"/>
      <c r="N29" s="64"/>
      <c r="O29" s="340"/>
      <c r="P29" s="340"/>
      <c r="Q29" s="340"/>
      <c r="R29" s="860"/>
      <c r="S29" s="861"/>
      <c r="T29" s="873"/>
      <c r="U29" s="873"/>
      <c r="V29" s="942"/>
      <c r="W29" s="942"/>
      <c r="X29" s="942"/>
      <c r="Y29" s="942"/>
      <c r="Z29" s="303"/>
      <c r="AA29" s="303"/>
    </row>
    <row r="30" spans="1:27" s="207" customFormat="1" ht="26.25" customHeight="1" thickBot="1">
      <c r="A30" s="181"/>
      <c r="B30" s="181"/>
      <c r="C30" s="744"/>
      <c r="D30" s="745"/>
      <c r="E30" s="746"/>
      <c r="F30" s="745"/>
      <c r="G30" s="715"/>
      <c r="H30" s="747"/>
      <c r="I30" s="179"/>
      <c r="J30" s="8"/>
      <c r="K30" s="8"/>
      <c r="L30" s="8"/>
      <c r="M30" s="8"/>
      <c r="N30" s="8"/>
      <c r="O30" s="1433"/>
      <c r="P30" s="1433"/>
      <c r="Q30" s="1433"/>
      <c r="R30" s="1433"/>
      <c r="S30" s="452"/>
      <c r="T30" s="887"/>
      <c r="U30" s="887"/>
      <c r="V30" s="304"/>
      <c r="W30" s="304"/>
      <c r="X30" s="304"/>
      <c r="Y30" s="304"/>
      <c r="Z30" s="304"/>
      <c r="AA30" s="304"/>
    </row>
    <row r="31" spans="1:27" ht="21.6" thickBot="1">
      <c r="A31" s="16">
        <v>144</v>
      </c>
      <c r="B31" s="32" t="s">
        <v>188</v>
      </c>
      <c r="C31" s="716"/>
      <c r="D31" s="717"/>
      <c r="E31" s="718"/>
      <c r="F31" s="719"/>
      <c r="G31" s="719" t="s">
        <v>179</v>
      </c>
      <c r="H31" s="720"/>
      <c r="I31" s="177"/>
      <c r="J31" s="247"/>
      <c r="K31" s="248">
        <v>30</v>
      </c>
      <c r="L31" s="249" t="s">
        <v>39</v>
      </c>
      <c r="M31" s="250"/>
      <c r="N31" s="17">
        <v>220</v>
      </c>
      <c r="R31" s="450"/>
      <c r="S31" s="451"/>
      <c r="T31" s="887"/>
      <c r="U31" s="887"/>
      <c r="V31" s="1"/>
      <c r="W31" s="1"/>
      <c r="X31" s="1"/>
      <c r="Y31" s="1"/>
      <c r="Z31" s="1"/>
      <c r="AA31" s="1"/>
    </row>
    <row r="32" spans="1:27" hidden="1">
      <c r="A32" s="11" t="s">
        <v>190</v>
      </c>
      <c r="B32" s="1465" t="s">
        <v>314</v>
      </c>
      <c r="C32" s="832"/>
      <c r="D32" s="833"/>
      <c r="E32" s="708"/>
      <c r="F32" s="593"/>
      <c r="G32" s="732">
        <f t="shared" ref="G32" si="35">J32*0.4</f>
        <v>0</v>
      </c>
      <c r="H32" s="556">
        <f t="shared" ref="H32" si="36">G32/0.4</f>
        <v>0</v>
      </c>
      <c r="I32" s="180"/>
      <c r="J32" s="27">
        <f t="shared" ref="J32" si="37">(K32*$K$31)+L32</f>
        <v>0</v>
      </c>
      <c r="K32" s="24"/>
      <c r="L32" s="24"/>
      <c r="M32" s="24"/>
      <c r="T32" s="312"/>
      <c r="U32" s="101"/>
      <c r="V32" s="1"/>
      <c r="W32" s="1"/>
      <c r="X32" s="1"/>
      <c r="Y32" s="1"/>
      <c r="Z32" s="1"/>
      <c r="AA32" s="1"/>
    </row>
    <row r="33" spans="1:27" hidden="1">
      <c r="A33" s="11" t="s">
        <v>191</v>
      </c>
      <c r="B33" s="1461"/>
      <c r="C33" s="832"/>
      <c r="D33" s="833"/>
      <c r="E33" s="708"/>
      <c r="F33" s="593"/>
      <c r="G33" s="732">
        <f t="shared" ref="G33:G36" si="38">J33*0.4</f>
        <v>0</v>
      </c>
      <c r="H33" s="556">
        <f t="shared" ref="H33:H36" si="39">G33/0.4</f>
        <v>0</v>
      </c>
      <c r="I33" s="180"/>
      <c r="J33" s="27">
        <f t="shared" ref="J33:J36" si="40">(K33*$K$31)+L33</f>
        <v>0</v>
      </c>
      <c r="K33" s="24"/>
      <c r="L33" s="24"/>
      <c r="M33" s="24"/>
      <c r="T33" s="312"/>
      <c r="U33" s="101"/>
      <c r="V33" s="1"/>
      <c r="W33" s="1"/>
      <c r="X33" s="1"/>
      <c r="Y33" s="1"/>
      <c r="Z33" s="1"/>
      <c r="AA33" s="1"/>
    </row>
    <row r="34" spans="1:27" hidden="1">
      <c r="A34" s="11" t="s">
        <v>185</v>
      </c>
      <c r="B34" s="1466"/>
      <c r="C34" s="832"/>
      <c r="D34" s="833"/>
      <c r="E34" s="708"/>
      <c r="F34" s="593"/>
      <c r="G34" s="732">
        <f t="shared" si="38"/>
        <v>0</v>
      </c>
      <c r="H34" s="556">
        <f t="shared" si="39"/>
        <v>0</v>
      </c>
      <c r="I34" s="180"/>
      <c r="J34" s="27">
        <f t="shared" si="40"/>
        <v>0</v>
      </c>
      <c r="K34" s="24"/>
      <c r="L34" s="24"/>
      <c r="M34" s="24"/>
      <c r="T34" s="312"/>
      <c r="U34" s="101"/>
      <c r="V34" s="1"/>
      <c r="W34" s="1"/>
      <c r="X34" s="1"/>
      <c r="Y34" s="1"/>
      <c r="Z34" s="1"/>
      <c r="AA34" s="1"/>
    </row>
    <row r="35" spans="1:27" hidden="1">
      <c r="A35" s="11" t="s">
        <v>186</v>
      </c>
      <c r="B35" s="13"/>
      <c r="C35" s="832"/>
      <c r="D35" s="833"/>
      <c r="E35" s="708"/>
      <c r="F35" s="593"/>
      <c r="G35" s="732">
        <f t="shared" si="38"/>
        <v>0</v>
      </c>
      <c r="H35" s="556">
        <f t="shared" si="39"/>
        <v>0</v>
      </c>
      <c r="I35" s="180"/>
      <c r="J35" s="27">
        <f t="shared" si="40"/>
        <v>0</v>
      </c>
      <c r="K35" s="24"/>
      <c r="L35" s="24"/>
      <c r="M35" s="24"/>
      <c r="T35" s="312"/>
      <c r="U35" s="101"/>
      <c r="V35" s="1"/>
      <c r="W35" s="1"/>
      <c r="X35" s="1"/>
      <c r="Y35" s="1"/>
      <c r="Z35" s="1"/>
      <c r="AA35" s="1"/>
    </row>
    <row r="36" spans="1:27" hidden="1">
      <c r="A36" s="11"/>
      <c r="B36" s="13"/>
      <c r="C36" s="832"/>
      <c r="D36" s="833"/>
      <c r="E36" s="708"/>
      <c r="F36" s="593"/>
      <c r="G36" s="732">
        <f t="shared" si="38"/>
        <v>0</v>
      </c>
      <c r="H36" s="556">
        <f t="shared" si="39"/>
        <v>0</v>
      </c>
      <c r="I36" s="180"/>
      <c r="J36" s="27">
        <f t="shared" si="40"/>
        <v>0</v>
      </c>
      <c r="K36" s="24"/>
      <c r="L36" s="24"/>
      <c r="M36" s="24"/>
      <c r="N36" s="14"/>
      <c r="O36" s="46"/>
      <c r="T36" s="312"/>
      <c r="U36" s="101"/>
      <c r="V36" s="1"/>
      <c r="W36" s="1"/>
      <c r="X36" s="1"/>
      <c r="Y36" s="1"/>
      <c r="Z36" s="1"/>
      <c r="AA36" s="1"/>
    </row>
    <row r="37" spans="1:27" hidden="1">
      <c r="A37" s="11"/>
      <c r="B37" s="13"/>
      <c r="C37" s="832"/>
      <c r="D37" s="833"/>
      <c r="E37" s="708"/>
      <c r="F37" s="593"/>
      <c r="G37" s="732">
        <f t="shared" ref="G37:G38" si="41">J37*0.4</f>
        <v>0</v>
      </c>
      <c r="H37" s="556">
        <f t="shared" ref="H37:H38" si="42">G37/0.4</f>
        <v>0</v>
      </c>
      <c r="I37" s="180"/>
      <c r="J37" s="27">
        <f t="shared" ref="J37:J38" si="43">(K37*$K$31)+L37</f>
        <v>0</v>
      </c>
      <c r="K37" s="24"/>
      <c r="L37" s="24"/>
      <c r="M37" s="24"/>
      <c r="Q37" s="8" t="s">
        <v>347</v>
      </c>
      <c r="T37" s="312"/>
      <c r="U37" s="101"/>
      <c r="V37" s="1"/>
      <c r="W37" s="1"/>
      <c r="X37" s="1"/>
      <c r="Y37" s="1"/>
      <c r="Z37" s="1"/>
      <c r="AA37" s="1"/>
    </row>
    <row r="38" spans="1:27" hidden="1">
      <c r="A38" s="11"/>
      <c r="B38" s="13"/>
      <c r="C38" s="832"/>
      <c r="D38" s="833"/>
      <c r="E38" s="708"/>
      <c r="F38" s="593"/>
      <c r="G38" s="732">
        <f t="shared" si="41"/>
        <v>0</v>
      </c>
      <c r="H38" s="556">
        <f t="shared" si="42"/>
        <v>0</v>
      </c>
      <c r="I38" s="180"/>
      <c r="J38" s="27">
        <f t="shared" si="43"/>
        <v>0</v>
      </c>
      <c r="K38" s="24"/>
      <c r="L38" s="24"/>
      <c r="M38" s="24"/>
      <c r="T38" s="312"/>
      <c r="U38" s="101"/>
      <c r="V38" s="1"/>
      <c r="W38" s="1"/>
      <c r="X38" s="1"/>
      <c r="Y38" s="1"/>
      <c r="Z38" s="1"/>
      <c r="AA38" s="1"/>
    </row>
    <row r="39" spans="1:27" ht="21.6" hidden="1" thickBot="1">
      <c r="A39" s="11"/>
      <c r="B39" s="13"/>
      <c r="C39" s="832"/>
      <c r="D39" s="833"/>
      <c r="E39" s="708"/>
      <c r="F39" s="593"/>
      <c r="G39" s="732">
        <f t="shared" ref="G39" si="44">J39*0.4</f>
        <v>0</v>
      </c>
      <c r="H39" s="556">
        <f t="shared" ref="H39" si="45">G39/0.4</f>
        <v>0</v>
      </c>
      <c r="I39" s="180"/>
      <c r="J39" s="27">
        <f t="shared" ref="J39" si="46">(K39*$K$31)+L39</f>
        <v>0</v>
      </c>
      <c r="K39" s="24"/>
      <c r="L39" s="24"/>
      <c r="M39" s="24"/>
      <c r="T39" s="312"/>
      <c r="U39" s="101"/>
      <c r="V39" s="1"/>
      <c r="W39" s="1"/>
      <c r="X39" s="1"/>
      <c r="Y39" s="1"/>
      <c r="Z39" s="1"/>
      <c r="AA39" s="1"/>
    </row>
    <row r="40" spans="1:27" ht="21.6" thickBot="1">
      <c r="A40" s="11"/>
      <c r="B40" s="13"/>
      <c r="C40" s="832"/>
      <c r="D40" s="833"/>
      <c r="E40" s="708"/>
      <c r="F40" s="593"/>
      <c r="G40" s="732">
        <f t="shared" ref="G40" si="47">J40*0.4</f>
        <v>0</v>
      </c>
      <c r="H40" s="556">
        <f t="shared" ref="H40" si="48">G40/0.4</f>
        <v>0</v>
      </c>
      <c r="I40" s="180"/>
      <c r="J40" s="27">
        <f t="shared" ref="J40" si="49">(K40*$K$31)+L40</f>
        <v>0</v>
      </c>
      <c r="K40" s="24"/>
      <c r="L40" s="24"/>
      <c r="M40" s="24"/>
      <c r="O40" s="1439" t="s">
        <v>265</v>
      </c>
      <c r="P40" s="1439"/>
      <c r="Q40" s="1440"/>
      <c r="R40" s="275" t="s">
        <v>259</v>
      </c>
      <c r="S40" s="276" t="s">
        <v>260</v>
      </c>
      <c r="T40" s="323" t="s">
        <v>274</v>
      </c>
      <c r="U40" s="323" t="s">
        <v>273</v>
      </c>
      <c r="V40" s="1"/>
      <c r="W40" s="1"/>
      <c r="X40" s="1"/>
      <c r="Y40" s="1"/>
      <c r="Z40" s="1"/>
      <c r="AA40" s="1"/>
    </row>
    <row r="41" spans="1:27">
      <c r="B41" s="13"/>
      <c r="C41" s="832"/>
      <c r="D41" s="833"/>
      <c r="E41" s="708"/>
      <c r="F41" s="593"/>
      <c r="G41" s="732">
        <f t="shared" ref="G41" si="50">J41*0.4</f>
        <v>0</v>
      </c>
      <c r="H41" s="556">
        <f t="shared" ref="H41" si="51">G41/0.4</f>
        <v>0</v>
      </c>
      <c r="I41" s="180"/>
      <c r="J41" s="27">
        <f t="shared" ref="J41" si="52">(K41*$K$31)+L41</f>
        <v>0</v>
      </c>
      <c r="K41" s="24"/>
      <c r="L41" s="24"/>
      <c r="M41" s="24"/>
      <c r="O41" s="1190" t="s">
        <v>246</v>
      </c>
      <c r="P41" s="1191"/>
      <c r="Q41" s="1192"/>
      <c r="R41" s="300"/>
      <c r="S41" s="268">
        <f t="shared" ref="S41:S46" si="53">R41/0.4</f>
        <v>0</v>
      </c>
      <c r="T41" s="312"/>
      <c r="U41" s="101"/>
      <c r="V41" s="1"/>
      <c r="W41" s="1"/>
      <c r="X41" s="1"/>
      <c r="Y41" s="1"/>
      <c r="Z41" s="1"/>
      <c r="AA41" s="1"/>
    </row>
    <row r="42" spans="1:27" ht="27" thickBot="1">
      <c r="B42" s="13"/>
      <c r="C42" s="834"/>
      <c r="D42" s="835"/>
      <c r="E42" s="709"/>
      <c r="F42" s="736"/>
      <c r="G42" s="737">
        <f t="shared" ref="G42" si="54">J42*0.4</f>
        <v>0</v>
      </c>
      <c r="H42" s="748">
        <f t="shared" ref="H42:H48" si="55">G42/0.4</f>
        <v>0</v>
      </c>
      <c r="I42" s="180"/>
      <c r="J42" s="82">
        <f t="shared" ref="J42:J48" si="56">(K42*$K$31)+L42</f>
        <v>0</v>
      </c>
      <c r="K42" s="205"/>
      <c r="L42" s="205"/>
      <c r="M42" s="205"/>
      <c r="O42" s="1258" t="s">
        <v>247</v>
      </c>
      <c r="P42" s="1259"/>
      <c r="Q42" s="1260"/>
      <c r="R42" s="158"/>
      <c r="S42" s="268">
        <f t="shared" si="53"/>
        <v>0</v>
      </c>
      <c r="T42" s="312"/>
      <c r="U42" s="101"/>
      <c r="V42" s="1"/>
      <c r="W42" s="1"/>
      <c r="X42" s="1"/>
      <c r="Y42" s="1"/>
      <c r="Z42" s="1"/>
      <c r="AA42" s="1"/>
    </row>
    <row r="43" spans="1:27" ht="27" thickBot="1">
      <c r="A43" s="316" t="s">
        <v>189</v>
      </c>
      <c r="B43" s="317"/>
      <c r="C43" s="749" t="s">
        <v>654</v>
      </c>
      <c r="D43" s="750" t="s">
        <v>217</v>
      </c>
      <c r="E43" s="721" t="s">
        <v>666</v>
      </c>
      <c r="F43" s="751">
        <v>75</v>
      </c>
      <c r="G43" s="752">
        <f>9*0.4</f>
        <v>3.6</v>
      </c>
      <c r="H43" s="753">
        <f t="shared" ref="H43:H45" si="57">G43/0.4</f>
        <v>9</v>
      </c>
      <c r="I43" s="206"/>
      <c r="J43" s="27">
        <v>200</v>
      </c>
      <c r="K43" s="24">
        <v>6</v>
      </c>
      <c r="L43" s="24">
        <v>20</v>
      </c>
      <c r="M43" s="24">
        <v>9</v>
      </c>
      <c r="N43" s="1150">
        <v>45177</v>
      </c>
      <c r="O43" s="1258" t="s">
        <v>248</v>
      </c>
      <c r="P43" s="1259"/>
      <c r="Q43" s="1260"/>
      <c r="R43" s="158"/>
      <c r="S43" s="268">
        <f t="shared" si="53"/>
        <v>0</v>
      </c>
      <c r="T43" s="312"/>
      <c r="U43" s="101"/>
      <c r="V43" s="1"/>
      <c r="W43" s="1"/>
      <c r="X43" s="1"/>
      <c r="Y43" s="1"/>
      <c r="Z43" s="1"/>
      <c r="AA43" s="1"/>
    </row>
    <row r="44" spans="1:27" ht="26.4">
      <c r="A44" s="11"/>
      <c r="B44" s="12"/>
      <c r="C44" s="749" t="s">
        <v>785</v>
      </c>
      <c r="D44" s="750" t="s">
        <v>217</v>
      </c>
      <c r="E44" s="721" t="s">
        <v>801</v>
      </c>
      <c r="F44" s="751">
        <v>75</v>
      </c>
      <c r="G44" s="752">
        <f>183*0.4</f>
        <v>73.2</v>
      </c>
      <c r="H44" s="753">
        <f t="shared" si="57"/>
        <v>183</v>
      </c>
      <c r="I44" s="206"/>
      <c r="J44" s="27">
        <f t="shared" ref="J44:J45" si="58">(K44*$K$31)+L44</f>
        <v>196</v>
      </c>
      <c r="K44" s="24">
        <v>6</v>
      </c>
      <c r="L44" s="24">
        <v>16</v>
      </c>
      <c r="M44" s="24">
        <v>183</v>
      </c>
      <c r="N44" s="1136"/>
      <c r="O44" s="1258" t="s">
        <v>249</v>
      </c>
      <c r="P44" s="1259"/>
      <c r="Q44" s="1260"/>
      <c r="R44" s="158"/>
      <c r="S44" s="268">
        <f t="shared" si="53"/>
        <v>0</v>
      </c>
      <c r="T44" s="312"/>
      <c r="U44" s="101"/>
      <c r="V44" s="1"/>
      <c r="W44" s="1"/>
      <c r="X44" s="1"/>
      <c r="Y44" s="1"/>
      <c r="Z44" s="1"/>
      <c r="AA44" s="1"/>
    </row>
    <row r="45" spans="1:27" ht="26.4">
      <c r="A45" s="11"/>
      <c r="B45" s="13"/>
      <c r="C45" s="749"/>
      <c r="D45" s="750"/>
      <c r="E45" s="721"/>
      <c r="F45" s="751"/>
      <c r="G45" s="752">
        <f t="shared" ref="G45" si="59">J45*0.4</f>
        <v>0</v>
      </c>
      <c r="H45" s="753">
        <f t="shared" si="57"/>
        <v>0</v>
      </c>
      <c r="I45" s="206"/>
      <c r="J45" s="27">
        <f t="shared" si="58"/>
        <v>0</v>
      </c>
      <c r="K45" s="24"/>
      <c r="L45" s="24"/>
      <c r="M45" s="24"/>
      <c r="O45" s="1258" t="s">
        <v>250</v>
      </c>
      <c r="P45" s="1259"/>
      <c r="Q45" s="1260"/>
      <c r="R45" s="158"/>
      <c r="S45" s="268">
        <f t="shared" si="53"/>
        <v>0</v>
      </c>
      <c r="T45" s="312"/>
      <c r="U45" s="101"/>
      <c r="V45" s="1"/>
      <c r="W45" s="1"/>
      <c r="X45" s="1"/>
      <c r="Y45" s="1"/>
      <c r="Z45" s="1"/>
      <c r="AA45" s="1"/>
    </row>
    <row r="46" spans="1:27" ht="26.4">
      <c r="A46" s="11"/>
      <c r="B46" s="13"/>
      <c r="C46" s="749"/>
      <c r="D46" s="750"/>
      <c r="E46" s="721"/>
      <c r="F46" s="751"/>
      <c r="G46" s="752">
        <f t="shared" ref="G46:G47" si="60">J46*0.4</f>
        <v>0</v>
      </c>
      <c r="H46" s="753">
        <f t="shared" si="55"/>
        <v>0</v>
      </c>
      <c r="I46" s="206"/>
      <c r="J46" s="27">
        <f t="shared" si="56"/>
        <v>0</v>
      </c>
      <c r="K46" s="24"/>
      <c r="L46" s="24"/>
      <c r="M46" s="24"/>
      <c r="O46" s="889"/>
      <c r="P46" s="890"/>
      <c r="Q46" s="891"/>
      <c r="R46" s="158"/>
      <c r="S46" s="268">
        <f t="shared" si="53"/>
        <v>0</v>
      </c>
      <c r="T46" s="312" t="s">
        <v>501</v>
      </c>
      <c r="U46" s="101"/>
      <c r="V46" s="1"/>
      <c r="W46" s="1"/>
      <c r="X46" s="1"/>
      <c r="Y46" s="1"/>
      <c r="Z46" s="1"/>
      <c r="AA46" s="1"/>
    </row>
    <row r="47" spans="1:27" ht="26.4">
      <c r="A47" s="11"/>
      <c r="B47" s="13"/>
      <c r="C47" s="749"/>
      <c r="D47" s="750"/>
      <c r="E47" s="721"/>
      <c r="F47" s="751"/>
      <c r="G47" s="752">
        <f t="shared" si="60"/>
        <v>0</v>
      </c>
      <c r="H47" s="753">
        <f t="shared" ref="H47" si="61">G47/0.4</f>
        <v>0</v>
      </c>
      <c r="I47" s="206"/>
      <c r="J47" s="27">
        <f t="shared" ref="J47" si="62">(K47*$K$31)+L47</f>
        <v>0</v>
      </c>
      <c r="K47" s="24"/>
      <c r="L47" s="24"/>
      <c r="M47" s="24"/>
      <c r="O47" s="889"/>
      <c r="P47" s="890"/>
      <c r="Q47" s="891"/>
      <c r="R47" s="158"/>
      <c r="S47" s="268"/>
      <c r="T47" s="312"/>
      <c r="U47" s="101"/>
      <c r="V47" s="1"/>
      <c r="W47" s="1"/>
      <c r="X47" s="1"/>
      <c r="Y47" s="1"/>
      <c r="Z47" s="1"/>
      <c r="AA47" s="1"/>
    </row>
    <row r="48" spans="1:27" ht="26.4">
      <c r="A48" s="11"/>
      <c r="B48" s="13"/>
      <c r="C48" s="749"/>
      <c r="D48" s="750"/>
      <c r="E48" s="721"/>
      <c r="F48" s="751"/>
      <c r="G48" s="752">
        <f t="shared" ref="G48" si="63">J48*0.4</f>
        <v>0</v>
      </c>
      <c r="H48" s="753">
        <f t="shared" si="55"/>
        <v>0</v>
      </c>
      <c r="I48" s="206"/>
      <c r="J48" s="27">
        <f t="shared" si="56"/>
        <v>0</v>
      </c>
      <c r="K48" s="24"/>
      <c r="L48" s="24"/>
      <c r="M48" s="24"/>
      <c r="O48" s="889"/>
      <c r="P48" s="890"/>
      <c r="Q48" s="891"/>
      <c r="R48" s="158"/>
      <c r="S48" s="268"/>
      <c r="T48" s="312"/>
      <c r="U48" s="101"/>
      <c r="V48" s="1"/>
      <c r="W48" s="1"/>
      <c r="X48" s="1"/>
      <c r="Y48" s="1"/>
      <c r="Z48" s="1"/>
      <c r="AA48" s="1"/>
    </row>
    <row r="49" spans="1:28" ht="27" thickBot="1">
      <c r="A49" s="11"/>
      <c r="B49" s="13"/>
      <c r="C49" s="749"/>
      <c r="D49" s="750"/>
      <c r="E49" s="721"/>
      <c r="F49" s="751"/>
      <c r="G49" s="752">
        <f t="shared" ref="G49" si="64">J49*0.4</f>
        <v>0</v>
      </c>
      <c r="H49" s="753">
        <f t="shared" ref="H49" si="65">G49/0.4</f>
        <v>0</v>
      </c>
      <c r="I49" s="206"/>
      <c r="J49" s="27">
        <f t="shared" ref="J49" si="66">(K49*$K$31)+L49</f>
        <v>0</v>
      </c>
      <c r="K49" s="24"/>
      <c r="L49" s="24"/>
      <c r="M49" s="24"/>
      <c r="O49" s="1187" t="s">
        <v>242</v>
      </c>
      <c r="P49" s="1188"/>
      <c r="Q49" s="1189"/>
      <c r="R49" s="221">
        <f>SUM(R41:R46)</f>
        <v>0</v>
      </c>
      <c r="S49" s="375">
        <f>SUM(S41:S46)</f>
        <v>0</v>
      </c>
      <c r="T49" s="312"/>
      <c r="U49" s="101"/>
      <c r="V49" s="1"/>
      <c r="W49" s="1"/>
      <c r="X49" s="1"/>
      <c r="Y49" s="1"/>
      <c r="Z49" s="1"/>
      <c r="AA49" s="1"/>
    </row>
    <row r="50" spans="1:28" s="117" customFormat="1" ht="42.75" customHeight="1" thickBot="1">
      <c r="A50" s="11"/>
      <c r="B50" s="271"/>
      <c r="C50" s="453"/>
      <c r="D50" s="711"/>
      <c r="E50" s="613"/>
      <c r="F50" s="712"/>
      <c r="G50" s="713">
        <f>SUM(G32:G49)</f>
        <v>76.8</v>
      </c>
      <c r="H50" s="714">
        <f>SUM(H32:H49)</f>
        <v>192</v>
      </c>
      <c r="I50" s="270"/>
      <c r="J50" s="60">
        <f>SUM(J32:J49)</f>
        <v>396</v>
      </c>
      <c r="K50" s="64"/>
      <c r="L50" s="64"/>
      <c r="M50" s="64"/>
      <c r="N50" s="64"/>
      <c r="O50" s="1175" t="s">
        <v>243</v>
      </c>
      <c r="P50" s="1176"/>
      <c r="Q50" s="1177"/>
      <c r="R50" s="222">
        <f>$G$50-R49</f>
        <v>76.8</v>
      </c>
      <c r="S50" s="157">
        <f>H50-S49</f>
        <v>192</v>
      </c>
      <c r="T50" s="873" t="s">
        <v>834</v>
      </c>
      <c r="U50" s="873">
        <v>192</v>
      </c>
      <c r="V50" s="1437"/>
      <c r="W50" s="1437"/>
      <c r="X50" s="1437"/>
      <c r="Y50" s="1437"/>
      <c r="Z50" s="303"/>
      <c r="AA50" s="303"/>
    </row>
    <row r="51" spans="1:28" s="207" customFormat="1" ht="28.5" customHeight="1" thickBot="1">
      <c r="A51" s="181"/>
      <c r="B51" s="181"/>
      <c r="C51" s="744"/>
      <c r="D51" s="745"/>
      <c r="E51" s="746"/>
      <c r="F51" s="745"/>
      <c r="G51" s="722"/>
      <c r="H51" s="754"/>
      <c r="I51" s="179"/>
      <c r="J51" s="8"/>
      <c r="K51" s="8"/>
      <c r="L51" s="8"/>
      <c r="M51" s="8"/>
      <c r="N51" s="8"/>
      <c r="O51" s="1433"/>
      <c r="P51" s="1433"/>
      <c r="Q51" s="1433"/>
      <c r="R51" s="1433"/>
      <c r="S51" s="452"/>
      <c r="T51" s="856"/>
      <c r="U51" s="857"/>
      <c r="V51" s="304"/>
      <c r="W51" s="304"/>
      <c r="X51" s="304"/>
      <c r="Y51" s="304"/>
      <c r="Z51" s="304"/>
      <c r="AA51" s="304"/>
    </row>
    <row r="52" spans="1:28" s="207" customFormat="1" ht="28.5" customHeight="1" thickBot="1">
      <c r="A52" s="181"/>
      <c r="B52" s="181"/>
      <c r="C52" s="744"/>
      <c r="D52" s="745"/>
      <c r="E52" s="746"/>
      <c r="F52" s="745"/>
      <c r="G52" s="722"/>
      <c r="H52" s="754"/>
      <c r="I52" s="179"/>
      <c r="J52" s="8"/>
      <c r="K52" s="8"/>
      <c r="L52" s="8"/>
      <c r="M52" s="8"/>
      <c r="N52" s="8"/>
      <c r="O52" s="864"/>
      <c r="P52" s="864"/>
      <c r="Q52" s="864"/>
      <c r="R52" s="864"/>
      <c r="S52" s="865"/>
      <c r="T52" s="856"/>
      <c r="U52" s="857"/>
      <c r="V52" s="1438"/>
      <c r="W52" s="1438"/>
      <c r="X52" s="304"/>
      <c r="Y52" s="304"/>
      <c r="Z52" s="304"/>
      <c r="AA52" s="304"/>
    </row>
    <row r="53" spans="1:28" ht="27" hidden="1" thickBot="1">
      <c r="A53" s="149">
        <v>247</v>
      </c>
      <c r="B53" s="35" t="s">
        <v>362</v>
      </c>
      <c r="C53" s="723"/>
      <c r="D53" s="1467"/>
      <c r="E53" s="1468"/>
      <c r="F53" s="724"/>
      <c r="G53" s="724" t="s">
        <v>179</v>
      </c>
      <c r="H53" s="725"/>
      <c r="I53" s="177"/>
      <c r="J53" s="247"/>
      <c r="K53" s="248">
        <v>30</v>
      </c>
      <c r="L53" s="249" t="s">
        <v>39</v>
      </c>
      <c r="M53" s="250"/>
      <c r="N53" s="1075"/>
      <c r="O53" s="1434" t="s">
        <v>192</v>
      </c>
      <c r="P53" s="1435"/>
      <c r="Q53" s="1436"/>
      <c r="R53" s="275" t="s">
        <v>259</v>
      </c>
      <c r="S53" s="276" t="s">
        <v>260</v>
      </c>
      <c r="T53" s="1"/>
      <c r="U53" s="101"/>
      <c r="V53" s="1"/>
      <c r="W53" s="1"/>
      <c r="X53" s="1"/>
      <c r="Y53" s="1"/>
      <c r="Z53" s="1"/>
      <c r="AA53" s="1"/>
    </row>
    <row r="54" spans="1:28" ht="26.4" hidden="1">
      <c r="A54" s="11">
        <v>247</v>
      </c>
      <c r="B54" s="13"/>
      <c r="C54" s="590"/>
      <c r="D54" s="731"/>
      <c r="E54" s="708"/>
      <c r="F54" s="755"/>
      <c r="G54" s="756">
        <f>8*0.4</f>
        <v>3.2</v>
      </c>
      <c r="H54" s="556">
        <f t="shared" ref="H54:H55" si="67">G54/0.4</f>
        <v>8</v>
      </c>
      <c r="I54" s="245"/>
      <c r="J54" s="28">
        <f t="shared" ref="J54:J55" si="68">(K54*$K$53)+L54</f>
        <v>0</v>
      </c>
      <c r="K54" s="24"/>
      <c r="L54" s="24"/>
      <c r="M54" s="24"/>
      <c r="O54" s="1190" t="s">
        <v>246</v>
      </c>
      <c r="P54" s="1191"/>
      <c r="Q54" s="1192"/>
      <c r="R54" s="300"/>
      <c r="S54" s="267">
        <f>R54/0.4</f>
        <v>0</v>
      </c>
      <c r="T54" s="1"/>
      <c r="U54" s="101"/>
      <c r="V54" s="1"/>
      <c r="W54" s="1"/>
      <c r="X54" s="1"/>
      <c r="Y54" s="1"/>
      <c r="Z54" s="1"/>
      <c r="AA54" s="1"/>
    </row>
    <row r="55" spans="1:28" ht="26.4" hidden="1">
      <c r="A55" s="11" t="s">
        <v>360</v>
      </c>
      <c r="B55" s="13"/>
      <c r="C55" s="590"/>
      <c r="D55" s="731"/>
      <c r="E55" s="708"/>
      <c r="F55" s="755"/>
      <c r="G55" s="756">
        <f t="shared" ref="G55" si="69">J55*0.4</f>
        <v>0</v>
      </c>
      <c r="H55" s="556">
        <f t="shared" si="67"/>
        <v>0</v>
      </c>
      <c r="I55" s="245"/>
      <c r="J55" s="28">
        <f t="shared" si="68"/>
        <v>0</v>
      </c>
      <c r="K55" s="24"/>
      <c r="L55" s="24"/>
      <c r="M55" s="24"/>
      <c r="O55" s="1258" t="s">
        <v>247</v>
      </c>
      <c r="P55" s="1259"/>
      <c r="Q55" s="1260"/>
      <c r="R55" s="158"/>
      <c r="S55" s="268">
        <f t="shared" ref="S55:S59" si="70">R55/0.4</f>
        <v>0</v>
      </c>
      <c r="T55" s="1"/>
      <c r="U55" s="101"/>
      <c r="V55" s="1"/>
      <c r="W55" s="1"/>
      <c r="X55" s="1"/>
      <c r="Y55" s="1"/>
      <c r="Z55" s="1"/>
      <c r="AA55" s="1"/>
    </row>
    <row r="56" spans="1:28" ht="26.4" hidden="1">
      <c r="A56" s="11" t="s">
        <v>361</v>
      </c>
      <c r="B56" s="13"/>
      <c r="C56" s="590"/>
      <c r="D56" s="731"/>
      <c r="E56" s="708"/>
      <c r="F56" s="755"/>
      <c r="G56" s="756">
        <f t="shared" ref="G56:G57" si="71">J56*0.4</f>
        <v>0</v>
      </c>
      <c r="H56" s="556">
        <f t="shared" ref="H56:H57" si="72">G56/0.4</f>
        <v>0</v>
      </c>
      <c r="I56" s="245"/>
      <c r="J56" s="28">
        <f t="shared" ref="J56:J57" si="73">(K56*$K$53)+L56</f>
        <v>0</v>
      </c>
      <c r="K56" s="24"/>
      <c r="L56" s="24"/>
      <c r="M56" s="24"/>
      <c r="O56" s="1258" t="s">
        <v>248</v>
      </c>
      <c r="P56" s="1259"/>
      <c r="Q56" s="1260"/>
      <c r="R56" s="158"/>
      <c r="S56" s="268">
        <f t="shared" si="70"/>
        <v>0</v>
      </c>
      <c r="T56" s="1"/>
      <c r="U56" s="101"/>
      <c r="V56" s="1"/>
      <c r="W56" s="1"/>
      <c r="X56" s="1"/>
      <c r="Y56" s="1"/>
      <c r="Z56" s="1"/>
      <c r="AA56" s="1"/>
    </row>
    <row r="57" spans="1:28" ht="26.4" hidden="1">
      <c r="A57" s="11"/>
      <c r="B57" s="13"/>
      <c r="C57" s="590"/>
      <c r="D57" s="731"/>
      <c r="E57" s="708"/>
      <c r="F57" s="755"/>
      <c r="G57" s="756">
        <f t="shared" si="71"/>
        <v>0</v>
      </c>
      <c r="H57" s="556">
        <f t="shared" si="72"/>
        <v>0</v>
      </c>
      <c r="I57" s="245"/>
      <c r="J57" s="28">
        <f t="shared" si="73"/>
        <v>0</v>
      </c>
      <c r="K57" s="24"/>
      <c r="L57" s="24"/>
      <c r="M57" s="24"/>
      <c r="O57" s="1258" t="s">
        <v>249</v>
      </c>
      <c r="P57" s="1259"/>
      <c r="Q57" s="1260"/>
      <c r="R57" s="158"/>
      <c r="S57" s="268">
        <f t="shared" si="70"/>
        <v>0</v>
      </c>
      <c r="T57" s="1"/>
      <c r="U57" s="101"/>
      <c r="V57" s="1"/>
      <c r="W57" s="1"/>
      <c r="X57" s="1"/>
      <c r="Y57" s="1"/>
      <c r="Z57" s="1"/>
      <c r="AA57" s="1"/>
    </row>
    <row r="58" spans="1:28" ht="26.4" hidden="1">
      <c r="A58" s="11"/>
      <c r="B58" s="13"/>
      <c r="C58" s="590"/>
      <c r="D58" s="731"/>
      <c r="E58" s="708"/>
      <c r="F58" s="755"/>
      <c r="G58" s="756">
        <f t="shared" ref="G58" si="74">J58*0.4</f>
        <v>0</v>
      </c>
      <c r="H58" s="556">
        <f t="shared" ref="H58" si="75">G58/0.4</f>
        <v>0</v>
      </c>
      <c r="I58" s="245"/>
      <c r="J58" s="28">
        <f t="shared" ref="J58" si="76">(K58*$K$53)+L58</f>
        <v>0</v>
      </c>
      <c r="K58" s="24"/>
      <c r="L58" s="24"/>
      <c r="M58" s="24"/>
      <c r="O58" s="1258" t="s">
        <v>250</v>
      </c>
      <c r="P58" s="1259"/>
      <c r="Q58" s="1260"/>
      <c r="R58" s="158"/>
      <c r="S58" s="268">
        <f t="shared" si="70"/>
        <v>0</v>
      </c>
      <c r="T58" s="1" t="s">
        <v>501</v>
      </c>
      <c r="U58" s="101"/>
      <c r="V58" s="1"/>
      <c r="W58" s="1"/>
      <c r="X58" s="1"/>
      <c r="Y58" s="1"/>
      <c r="Z58" s="1"/>
      <c r="AA58" s="1"/>
    </row>
    <row r="59" spans="1:28" ht="27" hidden="1" thickBot="1">
      <c r="A59" s="11"/>
      <c r="B59" s="40"/>
      <c r="C59" s="734"/>
      <c r="D59" s="735"/>
      <c r="E59" s="709"/>
      <c r="F59" s="757"/>
      <c r="G59" s="756">
        <f>J59*0.4</f>
        <v>0</v>
      </c>
      <c r="H59" s="556">
        <f>G59/0.4</f>
        <v>0</v>
      </c>
      <c r="I59" s="245"/>
      <c r="J59" s="28">
        <f>(K59*$K$53)+L59</f>
        <v>0</v>
      </c>
      <c r="K59" s="205"/>
      <c r="L59" s="205"/>
      <c r="M59" s="205"/>
      <c r="O59" s="1187" t="s">
        <v>242</v>
      </c>
      <c r="P59" s="1188"/>
      <c r="Q59" s="1189"/>
      <c r="R59" s="221">
        <f>SUM(R54:R58)</f>
        <v>0</v>
      </c>
      <c r="S59" s="268">
        <f t="shared" si="70"/>
        <v>0</v>
      </c>
      <c r="T59" s="1"/>
      <c r="U59" s="101"/>
      <c r="V59" s="1"/>
      <c r="W59" s="1"/>
      <c r="X59" s="1"/>
      <c r="Y59" s="1"/>
      <c r="Z59" s="1"/>
      <c r="AA59" s="1"/>
    </row>
    <row r="60" spans="1:28" s="117" customFormat="1" ht="42.75" hidden="1" customHeight="1" thickBot="1">
      <c r="C60" s="453"/>
      <c r="D60" s="711"/>
      <c r="E60" s="613"/>
      <c r="F60" s="712"/>
      <c r="G60" s="726">
        <f>SUM(G54:G59)</f>
        <v>3.2</v>
      </c>
      <c r="H60" s="727">
        <f>SUM(H54:H59)</f>
        <v>8</v>
      </c>
      <c r="I60" s="272"/>
      <c r="J60" s="273">
        <f>SUM(J54:J56)</f>
        <v>0</v>
      </c>
      <c r="K60" s="64"/>
      <c r="L60" s="64"/>
      <c r="M60" s="64" t="s">
        <v>287</v>
      </c>
      <c r="N60" s="64"/>
      <c r="O60" s="1175" t="s">
        <v>243</v>
      </c>
      <c r="P60" s="1176"/>
      <c r="Q60" s="1177"/>
      <c r="R60" s="222">
        <f>$G$60-R59</f>
        <v>3.2</v>
      </c>
      <c r="S60" s="157">
        <f>R60/0.4</f>
        <v>8</v>
      </c>
      <c r="T60" s="873" t="s">
        <v>511</v>
      </c>
      <c r="U60" s="873">
        <v>0</v>
      </c>
      <c r="V60" s="303"/>
      <c r="W60" s="303"/>
      <c r="X60" s="303"/>
      <c r="Y60" s="303"/>
      <c r="Z60" s="303"/>
      <c r="AA60" s="303"/>
    </row>
    <row r="61" spans="1:28" s="117" customFormat="1" ht="42.75" hidden="1" customHeight="1">
      <c r="C61" s="453"/>
      <c r="D61" s="711"/>
      <c r="E61" s="613"/>
      <c r="F61" s="459"/>
      <c r="G61" s="862"/>
      <c r="H61" s="863"/>
      <c r="I61" s="858"/>
      <c r="J61" s="859"/>
      <c r="K61" s="64"/>
      <c r="L61" s="64"/>
      <c r="M61" s="64"/>
      <c r="N61" s="64"/>
      <c r="O61" s="340"/>
      <c r="P61" s="340"/>
      <c r="Q61" s="340"/>
      <c r="R61" s="860"/>
      <c r="S61" s="861"/>
      <c r="T61" s="884"/>
      <c r="U61" s="339"/>
      <c r="V61" s="303"/>
      <c r="W61" s="303"/>
      <c r="X61" s="303"/>
      <c r="Y61" s="303"/>
      <c r="Z61" s="303"/>
      <c r="AA61" s="303"/>
    </row>
    <row r="62" spans="1:28" ht="18.75" customHeight="1" thickBot="1">
      <c r="A62" s="17"/>
      <c r="B62" s="17"/>
      <c r="C62" s="758"/>
      <c r="D62" s="758"/>
      <c r="E62" s="632"/>
      <c r="G62" s="758"/>
      <c r="H62" s="758"/>
      <c r="I62" s="179"/>
      <c r="K62" s="8"/>
      <c r="L62" s="8"/>
      <c r="M62" s="8"/>
      <c r="N62" s="8"/>
      <c r="P62" s="8" t="s">
        <v>287</v>
      </c>
      <c r="R62" s="299"/>
      <c r="T62" s="1"/>
      <c r="U62" s="101"/>
      <c r="V62" s="1"/>
      <c r="W62" s="1"/>
      <c r="X62" s="1"/>
      <c r="Y62" s="1"/>
      <c r="Z62" s="1"/>
      <c r="AA62" s="1"/>
    </row>
    <row r="63" spans="1:28" ht="18.75" customHeight="1" thickBot="1">
      <c r="A63" s="18">
        <v>229</v>
      </c>
      <c r="B63" s="19" t="s">
        <v>193</v>
      </c>
      <c r="C63" s="728"/>
      <c r="D63" s="1469"/>
      <c r="E63" s="1470"/>
      <c r="F63" s="729"/>
      <c r="G63" s="900" t="s">
        <v>194</v>
      </c>
      <c r="H63" s="855"/>
      <c r="I63" s="177"/>
      <c r="J63" s="247"/>
      <c r="K63" s="248">
        <v>24</v>
      </c>
      <c r="L63" s="249" t="s">
        <v>39</v>
      </c>
      <c r="M63" s="250"/>
      <c r="T63" s="1"/>
      <c r="U63" s="101"/>
      <c r="V63" s="1"/>
      <c r="W63" s="1"/>
      <c r="X63" s="1"/>
      <c r="Y63" s="1"/>
      <c r="Z63" s="1"/>
      <c r="AA63" s="1"/>
    </row>
    <row r="64" spans="1:28" ht="25.5" customHeight="1" thickBot="1">
      <c r="A64" s="11">
        <v>229</v>
      </c>
      <c r="B64" s="13"/>
      <c r="C64" s="836" t="s">
        <v>654</v>
      </c>
      <c r="D64" s="837" t="s">
        <v>217</v>
      </c>
      <c r="E64" s="1103" t="s">
        <v>671</v>
      </c>
      <c r="F64" s="1104">
        <v>50</v>
      </c>
      <c r="G64" s="1105">
        <f>30*0.6</f>
        <v>18</v>
      </c>
      <c r="H64" s="556">
        <f t="shared" ref="H64:H66" si="77">G64/0.6</f>
        <v>30</v>
      </c>
      <c r="I64" s="182"/>
      <c r="J64" s="28">
        <v>90</v>
      </c>
      <c r="K64" s="24">
        <v>3</v>
      </c>
      <c r="L64" s="1106">
        <v>18</v>
      </c>
      <c r="M64" s="24">
        <v>30</v>
      </c>
      <c r="N64" s="1150">
        <v>45178</v>
      </c>
      <c r="O64" s="1473" t="s">
        <v>193</v>
      </c>
      <c r="P64" s="1473"/>
      <c r="Q64" s="1474"/>
      <c r="R64" s="275" t="s">
        <v>259</v>
      </c>
      <c r="S64" s="276" t="s">
        <v>260</v>
      </c>
      <c r="T64" s="383" t="s">
        <v>274</v>
      </c>
      <c r="U64" s="383" t="s">
        <v>273</v>
      </c>
      <c r="V64" s="327"/>
      <c r="X64" s="840"/>
      <c r="Y64" s="840"/>
      <c r="Z64" s="840"/>
      <c r="AA64" s="840"/>
      <c r="AB64" s="840"/>
    </row>
    <row r="65" spans="1:28" ht="25.5" customHeight="1">
      <c r="A65" s="11" t="s">
        <v>195</v>
      </c>
      <c r="B65" s="13"/>
      <c r="C65" s="832"/>
      <c r="D65" s="833"/>
      <c r="E65" s="708"/>
      <c r="F65" s="755"/>
      <c r="G65" s="759">
        <f t="shared" ref="G65:G66" si="78">J65*0.6</f>
        <v>0</v>
      </c>
      <c r="H65" s="556">
        <f t="shared" si="77"/>
        <v>0</v>
      </c>
      <c r="I65" s="182"/>
      <c r="J65" s="28">
        <f t="shared" ref="J65:J66" si="79">(K65*$K$63)+L65</f>
        <v>0</v>
      </c>
      <c r="K65" s="24"/>
      <c r="L65" s="24"/>
      <c r="M65" s="1133"/>
      <c r="N65" s="1136"/>
      <c r="O65" s="1190" t="s">
        <v>246</v>
      </c>
      <c r="P65" s="1191"/>
      <c r="Q65" s="1192"/>
      <c r="R65" s="300"/>
      <c r="S65" s="267">
        <f>R65/0.6</f>
        <v>0</v>
      </c>
      <c r="T65" s="384"/>
      <c r="U65" s="384"/>
      <c r="V65" s="327"/>
      <c r="W65" s="327"/>
      <c r="X65" s="840"/>
      <c r="Y65" s="840"/>
      <c r="Z65" s="840"/>
      <c r="AA65" s="840"/>
      <c r="AB65" s="840"/>
    </row>
    <row r="66" spans="1:28" ht="25.5" customHeight="1">
      <c r="A66" s="11"/>
      <c r="B66" s="13"/>
      <c r="C66" s="832"/>
      <c r="D66" s="833"/>
      <c r="E66" s="708"/>
      <c r="F66" s="755"/>
      <c r="G66" s="759">
        <f t="shared" si="78"/>
        <v>0</v>
      </c>
      <c r="H66" s="556">
        <f t="shared" si="77"/>
        <v>0</v>
      </c>
      <c r="I66" s="182"/>
      <c r="J66" s="28">
        <f t="shared" si="79"/>
        <v>0</v>
      </c>
      <c r="K66" s="24"/>
      <c r="L66" s="24"/>
      <c r="M66" s="24"/>
      <c r="O66" s="1258" t="s">
        <v>247</v>
      </c>
      <c r="P66" s="1259"/>
      <c r="Q66" s="1260"/>
      <c r="R66" s="158"/>
      <c r="S66" s="268">
        <f t="shared" ref="S66:S69" si="80">R66/0.6</f>
        <v>0</v>
      </c>
      <c r="T66" s="384"/>
      <c r="U66" s="384"/>
      <c r="V66" s="327"/>
      <c r="W66" s="327"/>
      <c r="X66" s="840"/>
      <c r="Y66" s="840"/>
      <c r="Z66" s="840"/>
      <c r="AA66" s="840"/>
      <c r="AB66" s="840"/>
    </row>
    <row r="67" spans="1:28" ht="25.5" customHeight="1">
      <c r="A67" s="11"/>
      <c r="B67" s="13"/>
      <c r="C67" s="832"/>
      <c r="D67" s="833"/>
      <c r="E67" s="708"/>
      <c r="F67" s="755"/>
      <c r="G67" s="759">
        <f t="shared" ref="G67:G68" si="81">J67*0.6</f>
        <v>0</v>
      </c>
      <c r="H67" s="556">
        <f t="shared" ref="H67:H68" si="82">G67/0.6</f>
        <v>0</v>
      </c>
      <c r="I67" s="182"/>
      <c r="J67" s="28">
        <f t="shared" ref="J67:J68" si="83">(K67*$K$63)+L67</f>
        <v>0</v>
      </c>
      <c r="K67" s="24"/>
      <c r="L67" s="24"/>
      <c r="M67" s="24"/>
      <c r="O67" s="1258" t="s">
        <v>248</v>
      </c>
      <c r="P67" s="1259"/>
      <c r="Q67" s="1260"/>
      <c r="R67" s="158"/>
      <c r="S67" s="268">
        <f t="shared" si="80"/>
        <v>0</v>
      </c>
      <c r="T67" s="378"/>
      <c r="U67" s="378"/>
      <c r="V67" s="327"/>
      <c r="X67" s="840"/>
      <c r="Y67" s="840"/>
      <c r="Z67" s="840"/>
      <c r="AA67" s="840"/>
      <c r="AB67" s="840"/>
    </row>
    <row r="68" spans="1:28" ht="27.75" customHeight="1">
      <c r="A68" s="11"/>
      <c r="B68" s="13"/>
      <c r="C68" s="832"/>
      <c r="D68" s="833"/>
      <c r="E68" s="708"/>
      <c r="F68" s="755"/>
      <c r="G68" s="759">
        <f t="shared" si="81"/>
        <v>0</v>
      </c>
      <c r="H68" s="556">
        <f t="shared" si="82"/>
        <v>0</v>
      </c>
      <c r="I68" s="182"/>
      <c r="J68" s="28">
        <f t="shared" si="83"/>
        <v>0</v>
      </c>
      <c r="K68" s="24"/>
      <c r="L68" s="24"/>
      <c r="M68" s="24"/>
      <c r="O68" s="1258" t="s">
        <v>249</v>
      </c>
      <c r="P68" s="1259"/>
      <c r="Q68" s="1260"/>
      <c r="R68" s="158"/>
      <c r="S68" s="268">
        <f t="shared" si="80"/>
        <v>0</v>
      </c>
      <c r="T68" s="378"/>
      <c r="U68" s="378"/>
      <c r="V68" s="327"/>
      <c r="X68" s="840"/>
      <c r="Y68" s="840"/>
      <c r="Z68" s="840"/>
      <c r="AA68" s="840"/>
      <c r="AB68" s="840"/>
    </row>
    <row r="69" spans="1:28" ht="26.4">
      <c r="B69" s="1078"/>
      <c r="C69" s="832"/>
      <c r="D69" s="833"/>
      <c r="E69" s="708"/>
      <c r="F69" s="755"/>
      <c r="G69" s="759">
        <f t="shared" ref="G69" si="84">J69*0.6</f>
        <v>0</v>
      </c>
      <c r="H69" s="556">
        <f t="shared" ref="H69" si="85">G69/0.6</f>
        <v>0</v>
      </c>
      <c r="I69" s="182"/>
      <c r="J69" s="28">
        <f t="shared" ref="J69" si="86">(K69*$K$63)+L69</f>
        <v>0</v>
      </c>
      <c r="K69" s="24"/>
      <c r="L69" s="24"/>
      <c r="M69" s="24"/>
      <c r="O69" s="1258" t="s">
        <v>250</v>
      </c>
      <c r="P69" s="1259"/>
      <c r="Q69" s="1260"/>
      <c r="R69" s="158"/>
      <c r="S69" s="268">
        <f t="shared" si="80"/>
        <v>0</v>
      </c>
      <c r="T69" s="1"/>
      <c r="U69" s="101"/>
      <c r="V69" s="1"/>
      <c r="W69" s="1"/>
      <c r="X69" s="1"/>
      <c r="Y69" s="1"/>
      <c r="Z69" s="1"/>
      <c r="AA69" s="1"/>
    </row>
    <row r="70" spans="1:28" ht="27" thickBot="1">
      <c r="B70" s="13"/>
      <c r="C70" s="836"/>
      <c r="D70" s="837"/>
      <c r="E70" s="730"/>
      <c r="F70" s="760"/>
      <c r="G70" s="759">
        <f t="shared" ref="G70" si="87">J70*0.6</f>
        <v>0</v>
      </c>
      <c r="H70" s="556">
        <f t="shared" ref="H70" si="88">G70/0.6</f>
        <v>0</v>
      </c>
      <c r="I70" s="182"/>
      <c r="J70" s="28">
        <f t="shared" ref="J70" si="89">(K70*$K$63)+L70</f>
        <v>0</v>
      </c>
      <c r="K70" s="24"/>
      <c r="L70" s="374"/>
      <c r="M70" s="377"/>
      <c r="N70" s="1076"/>
      <c r="O70" s="1187" t="s">
        <v>242</v>
      </c>
      <c r="P70" s="1188"/>
      <c r="Q70" s="1189"/>
      <c r="R70" s="221">
        <f>SUM(R65:R69)</f>
        <v>0</v>
      </c>
      <c r="S70" s="375">
        <f>SUM(S65:S69)</f>
        <v>0</v>
      </c>
      <c r="T70" s="1"/>
      <c r="U70" s="101"/>
      <c r="V70" s="1"/>
      <c r="W70" s="1"/>
      <c r="X70" s="1"/>
      <c r="Y70" s="1"/>
      <c r="Z70" s="1"/>
      <c r="AA70" s="1"/>
    </row>
    <row r="71" spans="1:28" s="117" customFormat="1" ht="41.25" customHeight="1" thickBot="1">
      <c r="C71" s="453"/>
      <c r="D71" s="711"/>
      <c r="E71" s="613"/>
      <c r="F71" s="712"/>
      <c r="G71" s="885">
        <f>SUM(G64:G70)</f>
        <v>18</v>
      </c>
      <c r="H71" s="714">
        <f>SUM(H64:H70)</f>
        <v>30</v>
      </c>
      <c r="I71" s="886"/>
      <c r="J71" s="60">
        <f>SUM(J64:J69)</f>
        <v>90</v>
      </c>
      <c r="K71" s="64"/>
      <c r="L71" s="64"/>
      <c r="M71" s="64"/>
      <c r="N71" s="64"/>
      <c r="O71" s="1175" t="s">
        <v>243</v>
      </c>
      <c r="P71" s="1176"/>
      <c r="Q71" s="1177"/>
      <c r="R71" s="222">
        <f>$G$71-R70</f>
        <v>18</v>
      </c>
      <c r="S71" s="157">
        <f>H71-S70</f>
        <v>30</v>
      </c>
      <c r="T71" s="873" t="s">
        <v>834</v>
      </c>
      <c r="U71" s="873">
        <v>30</v>
      </c>
      <c r="V71" s="1437"/>
      <c r="W71" s="1437"/>
      <c r="X71" s="1437"/>
      <c r="Y71" s="1437"/>
      <c r="Z71" s="1"/>
      <c r="AA71" s="303"/>
    </row>
    <row r="72" spans="1:28" ht="25.8" thickBot="1">
      <c r="A72" s="17"/>
      <c r="B72" s="17"/>
      <c r="C72" s="758"/>
      <c r="D72" s="758"/>
      <c r="E72" s="632"/>
      <c r="G72" s="758"/>
      <c r="H72" s="758"/>
      <c r="I72" s="179"/>
      <c r="K72" s="246"/>
      <c r="L72" s="8"/>
      <c r="M72" s="8"/>
      <c r="N72" s="8"/>
      <c r="O72" s="1433"/>
      <c r="P72" s="1433"/>
      <c r="Q72" s="1433"/>
      <c r="R72" s="1433"/>
      <c r="S72" s="452"/>
      <c r="T72" s="1093"/>
      <c r="U72" s="1093"/>
      <c r="V72" s="1"/>
      <c r="W72" s="1"/>
      <c r="X72" s="1"/>
      <c r="Y72" s="1"/>
      <c r="Z72" s="1"/>
      <c r="AA72" s="1"/>
    </row>
    <row r="73" spans="1:28" ht="26.4">
      <c r="S73" s="117"/>
      <c r="T73" s="117"/>
      <c r="U73" s="117"/>
    </row>
  </sheetData>
  <protectedRanges>
    <protectedRange sqref="K64:N71 A64:E71 O16:P18 O41:P43 O54:P56 O65:P67 O9:O11 A4:A17 B6:B17 A32:A34 B4 A27:E29 A50:E50 A44:B49 K50:N50 O36 A40:E42 B34 B32 A35:B39 C32:E39 K32:N42 A19:B26 A54:E61 K54:N61 K4:N29 C4:E26" name="Plage1_1"/>
  </protectedRanges>
  <mergeCells count="55">
    <mergeCell ref="O64:Q64"/>
    <mergeCell ref="O72:R72"/>
    <mergeCell ref="O70:Q70"/>
    <mergeCell ref="O71:Q71"/>
    <mergeCell ref="V71:Y71"/>
    <mergeCell ref="O68:Q68"/>
    <mergeCell ref="O69:Q69"/>
    <mergeCell ref="O65:Q65"/>
    <mergeCell ref="O66:Q66"/>
    <mergeCell ref="O67:Q67"/>
    <mergeCell ref="O58:Q58"/>
    <mergeCell ref="O42:Q42"/>
    <mergeCell ref="O55:Q55"/>
    <mergeCell ref="O56:Q56"/>
    <mergeCell ref="O57:Q57"/>
    <mergeCell ref="O50:Q50"/>
    <mergeCell ref="B1:B2"/>
    <mergeCell ref="B4:B6"/>
    <mergeCell ref="D53:E53"/>
    <mergeCell ref="D63:E63"/>
    <mergeCell ref="B32:B34"/>
    <mergeCell ref="D3:E3"/>
    <mergeCell ref="J1:L1"/>
    <mergeCell ref="G1:G2"/>
    <mergeCell ref="H1:H2"/>
    <mergeCell ref="O15:Q15"/>
    <mergeCell ref="C1:C2"/>
    <mergeCell ref="D1:D2"/>
    <mergeCell ref="E1:E2"/>
    <mergeCell ref="F1:F2"/>
    <mergeCell ref="Q3:X8"/>
    <mergeCell ref="O27:Q27"/>
    <mergeCell ref="T18:U18"/>
    <mergeCell ref="T20:U20"/>
    <mergeCell ref="O16:Q16"/>
    <mergeCell ref="O17:Q17"/>
    <mergeCell ref="O18:Q18"/>
    <mergeCell ref="O19:Q19"/>
    <mergeCell ref="O20:Q20"/>
    <mergeCell ref="O60:Q60"/>
    <mergeCell ref="O54:Q54"/>
    <mergeCell ref="O51:R51"/>
    <mergeCell ref="O53:Q53"/>
    <mergeCell ref="V28:Y28"/>
    <mergeCell ref="O30:R30"/>
    <mergeCell ref="O28:Q28"/>
    <mergeCell ref="V52:W52"/>
    <mergeCell ref="O40:Q40"/>
    <mergeCell ref="O49:Q49"/>
    <mergeCell ref="V50:Y50"/>
    <mergeCell ref="O41:Q41"/>
    <mergeCell ref="O43:Q43"/>
    <mergeCell ref="O44:Q44"/>
    <mergeCell ref="O45:Q45"/>
    <mergeCell ref="O59:Q59"/>
  </mergeCells>
  <pageMargins left="0.70866141732283461" right="0.70866141732283461" top="0.74803149606299213" bottom="0.74803149606299213" header="0.31496062992125984" footer="0.31496062992125984"/>
  <pageSetup paperSize="9" scale="65" fitToHeight="0" orientation="landscape" r:id="rId1"/>
  <headerFooter>
    <oddHeader>&amp;C&amp;F&amp;R&amp;A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PROCEDURE MAJ STOCK</vt:lpstr>
      <vt:lpstr>HALAL</vt:lpstr>
      <vt:lpstr>H.G + S.A.G + FILET MIGNON</vt:lpstr>
      <vt:lpstr>BN 200</vt:lpstr>
      <vt:lpstr>H.M</vt:lpstr>
      <vt:lpstr>SPECIALITES</vt:lpstr>
      <vt:lpstr>NEGOCE (Jambon + Terrine)</vt:lpstr>
      <vt:lpstr>A CUIRE</vt:lpstr>
      <vt:lpstr>'A CUIRE'!Print_Area</vt:lpstr>
      <vt:lpstr>'BN 200'!Print_Area</vt:lpstr>
      <vt:lpstr>'H.G + S.A.G + FILET MIGNON'!Print_Area</vt:lpstr>
      <vt:lpstr>H.M!Print_Area</vt:lpstr>
      <vt:lpstr>HALAL!Print_Area</vt:lpstr>
      <vt:lpstr>'NEGOCE (Jambon + Terrine)'!Print_Area</vt:lpstr>
      <vt:lpstr>SPECIALITES!Print_Area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marjolaine</dc:creator>
  <cp:lastModifiedBy>rlawl</cp:lastModifiedBy>
  <cp:lastPrinted>2023-08-18T10:02:53Z</cp:lastPrinted>
  <dcterms:created xsi:type="dcterms:W3CDTF">2019-11-05T08:28:38Z</dcterms:created>
  <dcterms:modified xsi:type="dcterms:W3CDTF">2023-08-24T13:34:11Z</dcterms:modified>
</cp:coreProperties>
</file>